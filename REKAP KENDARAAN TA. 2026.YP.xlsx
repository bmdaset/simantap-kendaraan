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anur\Downloads\aplikasi online\"/>
    </mc:Choice>
  </mc:AlternateContent>
  <xr:revisionPtr revIDLastSave="0" documentId="13_ncr:1_{4BB91BA3-FC9A-46CC-8CDB-59049AEF3984}" xr6:coauthVersionLast="47" xr6:coauthVersionMax="47" xr10:uidLastSave="{00000000-0000-0000-0000-000000000000}"/>
  <bookViews>
    <workbookView xWindow="20" yWindow="20" windowWidth="25580" windowHeight="15260" xr2:uid="{00000000-000D-0000-FFFF-FFFF00000000}"/>
  </bookViews>
  <sheets>
    <sheet name="KENDARAAN DINAS" sheetId="1" r:id="rId1"/>
    <sheet name="REKAP KENDARAAN DINAS" sheetId="2" r:id="rId2"/>
  </sheets>
  <definedNames>
    <definedName name="_xlnm._FilterDatabase" localSheetId="0" hidden="1">'KENDARAAN DINAS'!$A$16:$W$1621</definedName>
    <definedName name="arb_2014" localSheetId="1">#REF!</definedName>
    <definedName name="arb_2014">#REF!</definedName>
    <definedName name="ATB_2014" localSheetId="1">#REF!</definedName>
    <definedName name="ATB_2014">#REF!</definedName>
    <definedName name="ATB_2015" localSheetId="1">#REF!</definedName>
    <definedName name="ATB_2015">#REF!</definedName>
    <definedName name="biek_2015" localSheetId="1">#REF!</definedName>
    <definedName name="biek_2015">#REF!</definedName>
    <definedName name="LRA_64" localSheetId="1">#REF!</definedName>
    <definedName name="LRA_64">#REF!</definedName>
    <definedName name="No_2020" localSheetId="1">#REF!</definedName>
    <definedName name="No_2020">#REF!</definedName>
    <definedName name="non_op" localSheetId="1">#REF!</definedName>
    <definedName name="non_op">#REF!</definedName>
    <definedName name="op" localSheetId="1">#REF!</definedName>
    <definedName name="op">#REF!</definedName>
    <definedName name="peralatan_dan_Mesin">'KENDARAAN DINAS'!$A:$AV</definedName>
    <definedName name="saldo_arb" localSheetId="1">#REF!</definedName>
    <definedName name="saldo_arb">#REF!</definedName>
    <definedName name="saldo_atb" localSheetId="1">#REF!</definedName>
    <definedName name="saldo_atb">#REF!</definedName>
    <definedName name="saldo_biek" localSheetId="1">#REF!</definedName>
    <definedName name="saldo_biek">#REF!</definedName>
    <definedName name="tanah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vnWoGE7jInuVteT967KwJb8hThrHvPaefNF1DWeWpgM="/>
    </ext>
  </extLst>
</workbook>
</file>

<file path=xl/calcChain.xml><?xml version="1.0" encoding="utf-8"?>
<calcChain xmlns="http://schemas.openxmlformats.org/spreadsheetml/2006/main">
  <c r="P1621" i="1" l="1"/>
  <c r="N45" i="2"/>
  <c r="M45" i="2"/>
  <c r="L45" i="2"/>
  <c r="K45" i="2"/>
  <c r="J45" i="2"/>
  <c r="I45" i="2"/>
  <c r="H45" i="2"/>
  <c r="G45" i="2"/>
  <c r="F45" i="2"/>
  <c r="E45" i="2"/>
  <c r="D45" i="2"/>
  <c r="C45" i="2"/>
  <c r="N44" i="2"/>
  <c r="M44" i="2"/>
  <c r="L44" i="2"/>
  <c r="K44" i="2"/>
  <c r="J44" i="2"/>
  <c r="I44" i="2"/>
  <c r="H44" i="2"/>
  <c r="G44" i="2"/>
  <c r="F44" i="2"/>
  <c r="E44" i="2"/>
  <c r="D44" i="2"/>
  <c r="C44" i="2"/>
  <c r="N43" i="2"/>
  <c r="M43" i="2"/>
  <c r="L43" i="2"/>
  <c r="K43" i="2"/>
  <c r="J43" i="2"/>
  <c r="I43" i="2"/>
  <c r="H43" i="2"/>
  <c r="G43" i="2"/>
  <c r="F43" i="2"/>
  <c r="E43" i="2"/>
  <c r="D43" i="2"/>
  <c r="C43" i="2"/>
  <c r="N42" i="2"/>
  <c r="M42" i="2"/>
  <c r="L42" i="2"/>
  <c r="K42" i="2"/>
  <c r="J42" i="2"/>
  <c r="I42" i="2"/>
  <c r="H42" i="2"/>
  <c r="G42" i="2"/>
  <c r="F42" i="2"/>
  <c r="E42" i="2"/>
  <c r="D42" i="2"/>
  <c r="C42" i="2"/>
  <c r="N41" i="2"/>
  <c r="M41" i="2"/>
  <c r="L41" i="2"/>
  <c r="K41" i="2"/>
  <c r="J41" i="2"/>
  <c r="I41" i="2"/>
  <c r="H41" i="2"/>
  <c r="G41" i="2"/>
  <c r="F41" i="2"/>
  <c r="E41" i="2"/>
  <c r="D41" i="2"/>
  <c r="C41" i="2"/>
  <c r="N40" i="2"/>
  <c r="M40" i="2"/>
  <c r="L40" i="2"/>
  <c r="K40" i="2"/>
  <c r="J40" i="2"/>
  <c r="I40" i="2"/>
  <c r="H40" i="2"/>
  <c r="G40" i="2"/>
  <c r="F40" i="2"/>
  <c r="E40" i="2"/>
  <c r="D40" i="2"/>
  <c r="C40" i="2"/>
  <c r="N39" i="2"/>
  <c r="M39" i="2"/>
  <c r="L39" i="2"/>
  <c r="K39" i="2"/>
  <c r="J39" i="2"/>
  <c r="I39" i="2"/>
  <c r="H39" i="2"/>
  <c r="G39" i="2"/>
  <c r="F39" i="2"/>
  <c r="E39" i="2"/>
  <c r="D39" i="2"/>
  <c r="C39" i="2"/>
  <c r="N38" i="2"/>
  <c r="M38" i="2"/>
  <c r="L38" i="2"/>
  <c r="K38" i="2"/>
  <c r="J38" i="2"/>
  <c r="I38" i="2"/>
  <c r="H38" i="2"/>
  <c r="G38" i="2"/>
  <c r="F38" i="2"/>
  <c r="E38" i="2"/>
  <c r="D38" i="2"/>
  <c r="C38" i="2"/>
  <c r="N37" i="2"/>
  <c r="M37" i="2"/>
  <c r="L37" i="2"/>
  <c r="K37" i="2"/>
  <c r="J37" i="2"/>
  <c r="I37" i="2"/>
  <c r="H37" i="2"/>
  <c r="G37" i="2"/>
  <c r="F37" i="2"/>
  <c r="E37" i="2"/>
  <c r="D37" i="2"/>
  <c r="C37" i="2"/>
  <c r="N36" i="2"/>
  <c r="M36" i="2"/>
  <c r="L36" i="2"/>
  <c r="K36" i="2"/>
  <c r="J36" i="2"/>
  <c r="I36" i="2"/>
  <c r="G36" i="2"/>
  <c r="F36" i="2"/>
  <c r="E36" i="2"/>
  <c r="D36" i="2"/>
  <c r="C36" i="2"/>
  <c r="N35" i="2"/>
  <c r="M35" i="2"/>
  <c r="L35" i="2"/>
  <c r="K35" i="2"/>
  <c r="J35" i="2"/>
  <c r="I35" i="2"/>
  <c r="H35" i="2"/>
  <c r="G35" i="2"/>
  <c r="F35" i="2"/>
  <c r="E35" i="2"/>
  <c r="D35" i="2"/>
  <c r="C35" i="2"/>
  <c r="N34" i="2"/>
  <c r="M34" i="2"/>
  <c r="L34" i="2"/>
  <c r="K34" i="2"/>
  <c r="J34" i="2"/>
  <c r="I34" i="2"/>
  <c r="H34" i="2"/>
  <c r="G34" i="2"/>
  <c r="F34" i="2"/>
  <c r="E34" i="2"/>
  <c r="D34" i="2"/>
  <c r="C34" i="2"/>
  <c r="N33" i="2"/>
  <c r="M33" i="2"/>
  <c r="L33" i="2"/>
  <c r="K33" i="2"/>
  <c r="J33" i="2"/>
  <c r="I33" i="2"/>
  <c r="H33" i="2"/>
  <c r="G33" i="2"/>
  <c r="F33" i="2"/>
  <c r="E33" i="2"/>
  <c r="D33" i="2"/>
  <c r="C33" i="2"/>
  <c r="N32" i="2"/>
  <c r="M32" i="2"/>
  <c r="L32" i="2"/>
  <c r="K32" i="2"/>
  <c r="J32" i="2"/>
  <c r="I32" i="2"/>
  <c r="H32" i="2"/>
  <c r="G32" i="2"/>
  <c r="F32" i="2"/>
  <c r="E32" i="2"/>
  <c r="D32" i="2"/>
  <c r="C32" i="2"/>
  <c r="N31" i="2"/>
  <c r="M31" i="2"/>
  <c r="L31" i="2"/>
  <c r="K31" i="2"/>
  <c r="J31" i="2"/>
  <c r="I31" i="2"/>
  <c r="H31" i="2"/>
  <c r="G31" i="2"/>
  <c r="F31" i="2"/>
  <c r="E31" i="2"/>
  <c r="D31" i="2"/>
  <c r="C31" i="2"/>
  <c r="N30" i="2"/>
  <c r="M30" i="2"/>
  <c r="L30" i="2"/>
  <c r="K30" i="2"/>
  <c r="J30" i="2"/>
  <c r="I30" i="2"/>
  <c r="H30" i="2"/>
  <c r="G30" i="2"/>
  <c r="F30" i="2"/>
  <c r="E30" i="2"/>
  <c r="D30" i="2"/>
  <c r="C30" i="2"/>
  <c r="N29" i="2"/>
  <c r="M29" i="2"/>
  <c r="L29" i="2"/>
  <c r="K29" i="2"/>
  <c r="J29" i="2"/>
  <c r="I29" i="2"/>
  <c r="H29" i="2"/>
  <c r="G29" i="2"/>
  <c r="F29" i="2"/>
  <c r="E29" i="2"/>
  <c r="D29" i="2"/>
  <c r="C29" i="2"/>
  <c r="N28" i="2"/>
  <c r="M28" i="2"/>
  <c r="L28" i="2"/>
  <c r="K28" i="2"/>
  <c r="J28" i="2"/>
  <c r="I28" i="2"/>
  <c r="H28" i="2"/>
  <c r="G28" i="2"/>
  <c r="F28" i="2"/>
  <c r="E28" i="2"/>
  <c r="D28" i="2"/>
  <c r="C28" i="2"/>
  <c r="N27" i="2"/>
  <c r="M27" i="2"/>
  <c r="L27" i="2"/>
  <c r="K27" i="2"/>
  <c r="J27" i="2"/>
  <c r="I27" i="2"/>
  <c r="H27" i="2"/>
  <c r="G27" i="2"/>
  <c r="F27" i="2"/>
  <c r="E27" i="2"/>
  <c r="D27" i="2"/>
  <c r="C27" i="2"/>
  <c r="N26" i="2"/>
  <c r="M26" i="2"/>
  <c r="L26" i="2"/>
  <c r="K26" i="2"/>
  <c r="J26" i="2"/>
  <c r="I26" i="2"/>
  <c r="H26" i="2"/>
  <c r="G26" i="2"/>
  <c r="F26" i="2"/>
  <c r="E26" i="2"/>
  <c r="D26" i="2"/>
  <c r="C26" i="2"/>
  <c r="N25" i="2"/>
  <c r="M25" i="2"/>
  <c r="L25" i="2"/>
  <c r="K25" i="2"/>
  <c r="J25" i="2"/>
  <c r="I25" i="2"/>
  <c r="H25" i="2"/>
  <c r="G25" i="2"/>
  <c r="F25" i="2"/>
  <c r="E25" i="2"/>
  <c r="D25" i="2"/>
  <c r="C25" i="2"/>
  <c r="N24" i="2"/>
  <c r="M24" i="2"/>
  <c r="L24" i="2"/>
  <c r="K24" i="2"/>
  <c r="J24" i="2"/>
  <c r="I24" i="2"/>
  <c r="H24" i="2"/>
  <c r="G24" i="2"/>
  <c r="F24" i="2"/>
  <c r="E24" i="2"/>
  <c r="D24" i="2"/>
  <c r="C24" i="2"/>
  <c r="N23" i="2"/>
  <c r="M23" i="2"/>
  <c r="L23" i="2"/>
  <c r="K23" i="2"/>
  <c r="J23" i="2"/>
  <c r="I23" i="2"/>
  <c r="H23" i="2"/>
  <c r="G23" i="2"/>
  <c r="F23" i="2"/>
  <c r="E23" i="2"/>
  <c r="D23" i="2"/>
  <c r="C23" i="2"/>
  <c r="N22" i="2"/>
  <c r="M22" i="2"/>
  <c r="L22" i="2"/>
  <c r="K22" i="2"/>
  <c r="J22" i="2"/>
  <c r="I22" i="2"/>
  <c r="H22" i="2"/>
  <c r="G22" i="2"/>
  <c r="F22" i="2"/>
  <c r="E22" i="2"/>
  <c r="D22" i="2"/>
  <c r="C22" i="2"/>
  <c r="N21" i="2"/>
  <c r="M21" i="2"/>
  <c r="L21" i="2"/>
  <c r="K21" i="2"/>
  <c r="J21" i="2"/>
  <c r="I21" i="2"/>
  <c r="H21" i="2"/>
  <c r="G21" i="2"/>
  <c r="F21" i="2"/>
  <c r="E21" i="2"/>
  <c r="D21" i="2"/>
  <c r="C21" i="2"/>
  <c r="N20" i="2"/>
  <c r="M20" i="2"/>
  <c r="L20" i="2"/>
  <c r="K20" i="2"/>
  <c r="J20" i="2"/>
  <c r="I20" i="2"/>
  <c r="H20" i="2"/>
  <c r="G20" i="2"/>
  <c r="F20" i="2"/>
  <c r="E20" i="2"/>
  <c r="D20" i="2"/>
  <c r="C20" i="2"/>
  <c r="N19" i="2"/>
  <c r="M19" i="2"/>
  <c r="L19" i="2"/>
  <c r="K19" i="2"/>
  <c r="J19" i="2"/>
  <c r="I19" i="2"/>
  <c r="H19" i="2"/>
  <c r="G19" i="2"/>
  <c r="F19" i="2"/>
  <c r="E19" i="2"/>
  <c r="D19" i="2"/>
  <c r="C19" i="2"/>
  <c r="N18" i="2"/>
  <c r="M18" i="2"/>
  <c r="L18" i="2"/>
  <c r="K18" i="2"/>
  <c r="J18" i="2"/>
  <c r="I18" i="2"/>
  <c r="H18" i="2"/>
  <c r="G18" i="2"/>
  <c r="F18" i="2"/>
  <c r="E18" i="2"/>
  <c r="D18" i="2"/>
  <c r="C18" i="2"/>
  <c r="N17" i="2"/>
  <c r="M17" i="2"/>
  <c r="L17" i="2"/>
  <c r="K17" i="2"/>
  <c r="J17" i="2"/>
  <c r="I17" i="2"/>
  <c r="H17" i="2"/>
  <c r="G17" i="2"/>
  <c r="F17" i="2"/>
  <c r="E17" i="2"/>
  <c r="D17" i="2"/>
  <c r="C17" i="2"/>
  <c r="N16" i="2"/>
  <c r="M16" i="2"/>
  <c r="L16" i="2"/>
  <c r="K16" i="2"/>
  <c r="J16" i="2"/>
  <c r="I16" i="2"/>
  <c r="H16" i="2"/>
  <c r="G16" i="2"/>
  <c r="F16" i="2"/>
  <c r="E16" i="2"/>
  <c r="D16" i="2"/>
  <c r="C16" i="2"/>
  <c r="N15" i="2"/>
  <c r="M15" i="2"/>
  <c r="L15" i="2"/>
  <c r="K15" i="2"/>
  <c r="J15" i="2"/>
  <c r="I15" i="2"/>
  <c r="H15" i="2"/>
  <c r="G15" i="2"/>
  <c r="F15" i="2"/>
  <c r="E15" i="2"/>
  <c r="D15" i="2"/>
  <c r="C15" i="2"/>
  <c r="N14" i="2"/>
  <c r="M14" i="2"/>
  <c r="L14" i="2"/>
  <c r="K14" i="2"/>
  <c r="J14" i="2"/>
  <c r="I14" i="2"/>
  <c r="H14" i="2"/>
  <c r="G14" i="2"/>
  <c r="F14" i="2"/>
  <c r="E14" i="2"/>
  <c r="D14" i="2"/>
  <c r="C14" i="2"/>
  <c r="N13" i="2"/>
  <c r="M13" i="2"/>
  <c r="L13" i="2"/>
  <c r="K13" i="2"/>
  <c r="J13" i="2"/>
  <c r="I13" i="2"/>
  <c r="H13" i="2"/>
  <c r="G13" i="2"/>
  <c r="F13" i="2"/>
  <c r="E13" i="2"/>
  <c r="D13" i="2"/>
  <c r="C13" i="2"/>
  <c r="N12" i="2"/>
  <c r="M12" i="2"/>
  <c r="L12" i="2"/>
  <c r="K12" i="2"/>
  <c r="J12" i="2"/>
  <c r="I12" i="2"/>
  <c r="H12" i="2"/>
  <c r="G12" i="2"/>
  <c r="F12" i="2"/>
  <c r="E12" i="2"/>
  <c r="D12" i="2"/>
  <c r="C12" i="2"/>
  <c r="N11" i="2"/>
  <c r="M11" i="2"/>
  <c r="L11" i="2"/>
  <c r="K11" i="2"/>
  <c r="J11" i="2"/>
  <c r="I11" i="2"/>
  <c r="H11" i="2"/>
  <c r="G11" i="2"/>
  <c r="F11" i="2"/>
  <c r="E11" i="2"/>
  <c r="D11" i="2"/>
  <c r="C11" i="2"/>
  <c r="N10" i="2"/>
  <c r="M10" i="2"/>
  <c r="L10" i="2"/>
  <c r="K10" i="2"/>
  <c r="J10" i="2"/>
  <c r="I10" i="2"/>
  <c r="H10" i="2"/>
  <c r="G10" i="2"/>
  <c r="F10" i="2"/>
  <c r="E10" i="2"/>
  <c r="D10" i="2"/>
  <c r="C10" i="2"/>
  <c r="N9" i="2"/>
  <c r="M9" i="2"/>
  <c r="L9" i="2"/>
  <c r="K9" i="2"/>
  <c r="J9" i="2"/>
  <c r="I9" i="2"/>
  <c r="H9" i="2"/>
  <c r="G9" i="2"/>
  <c r="F9" i="2"/>
  <c r="E9" i="2"/>
  <c r="D9" i="2"/>
  <c r="C9" i="2"/>
  <c r="N8" i="2"/>
  <c r="M8" i="2"/>
  <c r="L8" i="2"/>
  <c r="K8" i="2"/>
  <c r="J8" i="2"/>
  <c r="I8" i="2"/>
  <c r="H8" i="2"/>
  <c r="G8" i="2"/>
  <c r="F8" i="2"/>
  <c r="E8" i="2"/>
  <c r="D8" i="2"/>
  <c r="C8" i="2"/>
  <c r="N7" i="2"/>
  <c r="M7" i="2"/>
  <c r="L7" i="2"/>
  <c r="K7" i="2"/>
  <c r="J7" i="2"/>
  <c r="I7" i="2"/>
  <c r="H7" i="2"/>
  <c r="G7" i="2"/>
  <c r="F7" i="2"/>
  <c r="E7" i="2"/>
  <c r="D7" i="2"/>
  <c r="C7" i="2"/>
  <c r="N6" i="2"/>
  <c r="M6" i="2"/>
  <c r="L6" i="2"/>
  <c r="K6" i="2"/>
  <c r="J6" i="2"/>
  <c r="I6" i="2"/>
  <c r="H6" i="2"/>
  <c r="G6" i="2"/>
  <c r="F6" i="2"/>
  <c r="E6" i="2"/>
  <c r="D6" i="2"/>
  <c r="C6" i="2"/>
  <c r="N5" i="2"/>
  <c r="M5" i="2"/>
  <c r="L5" i="2"/>
  <c r="K5" i="2"/>
  <c r="J5" i="2"/>
  <c r="I5" i="2"/>
  <c r="H5" i="2"/>
  <c r="G5" i="2"/>
  <c r="F5" i="2"/>
  <c r="E5" i="2"/>
  <c r="D5" i="2"/>
  <c r="C5" i="2"/>
  <c r="N4" i="2"/>
  <c r="M4" i="2"/>
  <c r="L4" i="2"/>
  <c r="K4" i="2"/>
  <c r="J4" i="2"/>
  <c r="I4" i="2"/>
  <c r="H4" i="2"/>
  <c r="G4" i="2"/>
  <c r="F4" i="2"/>
  <c r="E4" i="2"/>
  <c r="D4" i="2"/>
  <c r="C4" i="2"/>
  <c r="P1620" i="1"/>
  <c r="O41" i="2" l="1"/>
  <c r="O34" i="2"/>
  <c r="P33" i="2"/>
  <c r="P25" i="2"/>
  <c r="O20" i="2"/>
  <c r="O28" i="2"/>
  <c r="P44" i="2"/>
  <c r="P20" i="2"/>
  <c r="O13" i="2"/>
  <c r="P30" i="2"/>
  <c r="P28" i="2"/>
  <c r="O36" i="2"/>
  <c r="P36" i="2"/>
  <c r="F46" i="2"/>
  <c r="P9" i="2"/>
  <c r="O39" i="2"/>
  <c r="P7" i="2"/>
  <c r="P23" i="2"/>
  <c r="P31" i="2"/>
  <c r="P39" i="2"/>
  <c r="P41" i="2"/>
  <c r="P15" i="2"/>
  <c r="O18" i="2"/>
  <c r="O23" i="2"/>
  <c r="P18" i="2"/>
  <c r="P26" i="2"/>
  <c r="G46" i="2"/>
  <c r="P10" i="2"/>
  <c r="O45" i="2"/>
  <c r="P45" i="2"/>
  <c r="P13" i="2"/>
  <c r="P37" i="2"/>
  <c r="O40" i="2"/>
  <c r="P21" i="2"/>
  <c r="P16" i="2"/>
  <c r="P24" i="2"/>
  <c r="P32" i="2"/>
  <c r="P43" i="2"/>
  <c r="O7" i="2"/>
  <c r="P17" i="2"/>
  <c r="P38" i="2"/>
  <c r="O4" i="2"/>
  <c r="P14" i="2"/>
  <c r="O17" i="2"/>
  <c r="O25" i="2"/>
  <c r="O15" i="2"/>
  <c r="P4" i="2"/>
  <c r="O12" i="2"/>
  <c r="O30" i="2"/>
  <c r="O35" i="2"/>
  <c r="E46" i="2"/>
  <c r="P12" i="2"/>
  <c r="O33" i="2"/>
  <c r="K46" i="2"/>
  <c r="O5" i="2"/>
  <c r="O31" i="2"/>
  <c r="P34" i="2"/>
  <c r="O8" i="2"/>
  <c r="P8" i="2"/>
  <c r="O16" i="2"/>
  <c r="O26" i="2"/>
  <c r="O29" i="2"/>
  <c r="N46" i="2"/>
  <c r="O21" i="2"/>
  <c r="O42" i="2"/>
  <c r="P29" i="2"/>
  <c r="L46" i="2"/>
  <c r="O24" i="2"/>
  <c r="I46" i="2"/>
  <c r="P5" i="2"/>
  <c r="O11" i="2"/>
  <c r="O32" i="2"/>
  <c r="P11" i="2"/>
  <c r="J46" i="2"/>
  <c r="M46" i="2"/>
  <c r="O6" i="2"/>
  <c r="P19" i="2"/>
  <c r="O37" i="2"/>
  <c r="P40" i="2"/>
  <c r="P42" i="2"/>
  <c r="O10" i="2"/>
  <c r="P6" i="2"/>
  <c r="O27" i="2"/>
  <c r="H46" i="2"/>
  <c r="P27" i="2"/>
  <c r="O43" i="2"/>
  <c r="O9" i="2"/>
  <c r="O14" i="2"/>
  <c r="O19" i="2"/>
  <c r="O44" i="2"/>
  <c r="O22" i="2"/>
  <c r="P35" i="2"/>
  <c r="P22" i="2"/>
  <c r="O38" i="2"/>
  <c r="C46" i="2"/>
  <c r="D46" i="2"/>
  <c r="P46" i="2" l="1"/>
  <c r="O46" i="2"/>
</calcChain>
</file>

<file path=xl/sharedStrings.xml><?xml version="1.0" encoding="utf-8"?>
<sst xmlns="http://schemas.openxmlformats.org/spreadsheetml/2006/main" count="21498" uniqueCount="7882">
  <si>
    <t>NO</t>
  </si>
  <si>
    <t>NAMA SKPD</t>
  </si>
  <si>
    <t>SEPEDA MOTOR</t>
  </si>
  <si>
    <t>MOBIL</t>
  </si>
  <si>
    <t>BUS</t>
  </si>
  <si>
    <t>TRUK</t>
  </si>
  <si>
    <t>ALAT BERAT</t>
  </si>
  <si>
    <t>PEMERINTAH KABUPATEN SERUYAN</t>
  </si>
  <si>
    <t>TRAKTOR</t>
  </si>
  <si>
    <t>JUMLAH TOTAL</t>
  </si>
  <si>
    <t>KARTU INVENTARIS BARANG (KIB B)</t>
  </si>
  <si>
    <t>PERALATAN DAN MESIN</t>
  </si>
  <si>
    <t>JUMLAH</t>
  </si>
  <si>
    <t>NILAI PEROLEHAN</t>
  </si>
  <si>
    <t>Provinsi</t>
  </si>
  <si>
    <t>:  KALIMANTAN TENGAH</t>
  </si>
  <si>
    <t>DINAS PENDIDIKAN</t>
  </si>
  <si>
    <t>Kab./ Kota</t>
  </si>
  <si>
    <t>:  SERUYAN</t>
  </si>
  <si>
    <t>Bidang</t>
  </si>
  <si>
    <t xml:space="preserve">: </t>
  </si>
  <si>
    <t>Unit Organisasi</t>
  </si>
  <si>
    <t>Sub Unit Organisasi</t>
  </si>
  <si>
    <t>NO. KODE LOKASI</t>
  </si>
  <si>
    <t>: 12.24.08.15.01.01.01</t>
  </si>
  <si>
    <t>NO.</t>
  </si>
  <si>
    <t xml:space="preserve">Kode </t>
  </si>
  <si>
    <t>Nama Barang/</t>
  </si>
  <si>
    <t>Nomor</t>
  </si>
  <si>
    <t>Merk/</t>
  </si>
  <si>
    <t>Ukuran/</t>
  </si>
  <si>
    <t>Bahan</t>
  </si>
  <si>
    <t>Tahun</t>
  </si>
  <si>
    <t>Asal usul</t>
  </si>
  <si>
    <t>Harga</t>
  </si>
  <si>
    <t>Keterangan</t>
  </si>
  <si>
    <t>SKPD</t>
  </si>
  <si>
    <t>Urut</t>
  </si>
  <si>
    <t>Barang</t>
  </si>
  <si>
    <t>Jenis Barang</t>
  </si>
  <si>
    <t>Register</t>
  </si>
  <si>
    <t>DINAS KESEHATAN</t>
  </si>
  <si>
    <t>Type</t>
  </si>
  <si>
    <t>CC</t>
  </si>
  <si>
    <t>Pembelian</t>
  </si>
  <si>
    <t>Pabrik</t>
  </si>
  <si>
    <t>Rangka</t>
  </si>
  <si>
    <t>Mesin</t>
  </si>
  <si>
    <t>Polisi</t>
  </si>
  <si>
    <t>BPKB</t>
  </si>
  <si>
    <t>Station Wagon</t>
  </si>
  <si>
    <t>000001</t>
  </si>
  <si>
    <t>Toyota Kijang / Toyota Kijang</t>
  </si>
  <si>
    <t>1800 cc</t>
  </si>
  <si>
    <t>Besi</t>
  </si>
  <si>
    <t>Null</t>
  </si>
  <si>
    <t>KH 1511 PM</t>
  </si>
  <si>
    <t>pembelian</t>
  </si>
  <si>
    <t>02.02.01.01.003</t>
  </si>
  <si>
    <t>000002</t>
  </si>
  <si>
    <t>Innova  / Innova Zenix 2.0</t>
  </si>
  <si>
    <t>1987 cc</t>
  </si>
  <si>
    <t>CAMPURAN</t>
  </si>
  <si>
    <t>-</t>
  </si>
  <si>
    <t>RUMAH SAKIT UMUM DAERAH</t>
  </si>
  <si>
    <t>MHFABBAA4R0435901</t>
  </si>
  <si>
    <t>M20ANC96961</t>
  </si>
  <si>
    <t>KH 1337 PU</t>
  </si>
  <si>
    <t>V-04726911</t>
  </si>
  <si>
    <t>Belanja Modal Kendaraan Dinas Bermotor Perorangan (Pengadaan Mobil Dinas)</t>
  </si>
  <si>
    <t>02.02.01.03.002</t>
  </si>
  <si>
    <t>Pick Up</t>
  </si>
  <si>
    <t xml:space="preserve"> MOBIL Toyota/2 GD FTV, 4 Cylinders / KB-P2209-1600333 HILUX DOUBLE CABIN 2.4. V(4 x 4)</t>
  </si>
  <si>
    <t>2,393 cc</t>
  </si>
  <si>
    <t>MR0BB3CD8N5810152</t>
  </si>
  <si>
    <t>2GD 5269380</t>
  </si>
  <si>
    <t>KH 8214 PW</t>
  </si>
  <si>
    <t>D 1925403 M</t>
  </si>
  <si>
    <t>Belanja modal kendaraan bermotor angkutan barang (Pengadaan kendaraan dinas operasional lapangan) Dinas Pendidikan Kabupaten Seruyan</t>
  </si>
  <si>
    <t>02.02.01.04.001</t>
  </si>
  <si>
    <t>Sepeda Motor</t>
  </si>
  <si>
    <t>Honda NF 100 LD / Honda NF 100 LD</t>
  </si>
  <si>
    <t>100</t>
  </si>
  <si>
    <t>MHIHB21134K283403</t>
  </si>
  <si>
    <t>HB21E-1284546</t>
  </si>
  <si>
    <t>KH 3077 PM</t>
  </si>
  <si>
    <t>D 0073191 M</t>
  </si>
  <si>
    <t>Suzuki Suzuki 125 / Suzuki Suzuki 125</t>
  </si>
  <si>
    <t>125</t>
  </si>
  <si>
    <t>MH8BF45DA8J-209094</t>
  </si>
  <si>
    <t>F496ID-258062</t>
  </si>
  <si>
    <t>BLUD RUMAH SAKIT UMUM DAERAH KUALA PEMBUANG</t>
  </si>
  <si>
    <t>KH 2528 PY</t>
  </si>
  <si>
    <t>F 4748855 M</t>
  </si>
  <si>
    <t>MHIKIVAE1X4K990626</t>
  </si>
  <si>
    <t>KEVAE1992934</t>
  </si>
  <si>
    <t>KH 2005 PM</t>
  </si>
  <si>
    <t>000003</t>
  </si>
  <si>
    <t>MHIHB21174K585469</t>
  </si>
  <si>
    <t>HB21E-1548243</t>
  </si>
  <si>
    <t>KH 3092 PM</t>
  </si>
  <si>
    <t>000004</t>
  </si>
  <si>
    <t>MHIHB211X4K579230</t>
  </si>
  <si>
    <t>HB21E-1580599</t>
  </si>
  <si>
    <t>KH 3093 PM</t>
  </si>
  <si>
    <t>D 1625432 M</t>
  </si>
  <si>
    <t>DINAS PEKERJAAN UMUM DAN PENATAAN RUANG</t>
  </si>
  <si>
    <t>000005</t>
  </si>
  <si>
    <t>Honda NF 125 XD / Honda NF 125 XD</t>
  </si>
  <si>
    <t>MHIJB22134K161303</t>
  </si>
  <si>
    <t>JB22E-1160588</t>
  </si>
  <si>
    <t>KH 3091 PM</t>
  </si>
  <si>
    <t>000006</t>
  </si>
  <si>
    <t>MHIJB22104K168614</t>
  </si>
  <si>
    <t>JB22E-1168726</t>
  </si>
  <si>
    <t>KH 3094 PM</t>
  </si>
  <si>
    <t>000007</t>
  </si>
  <si>
    <t>Honda Win MCB / Honda Win MCB</t>
  </si>
  <si>
    <t>MHIHABD134K088136</t>
  </si>
  <si>
    <t>HABD51088987</t>
  </si>
  <si>
    <t>KH 2003 PM</t>
  </si>
  <si>
    <t>1925136 M</t>
  </si>
  <si>
    <t>000010</t>
  </si>
  <si>
    <t>MHIHB21174K585468</t>
  </si>
  <si>
    <t>HB21E-1443783</t>
  </si>
  <si>
    <t>KH 3088 PM</t>
  </si>
  <si>
    <t>000011</t>
  </si>
  <si>
    <t>Honda Win CMB / Honda Win CMB</t>
  </si>
  <si>
    <t xml:space="preserve">DINAS PERUMAHAN RAKYAT DAN KAWASAN PEMUKIMAN </t>
  </si>
  <si>
    <t>MHIHABD124K088147</t>
  </si>
  <si>
    <t>HABDE1088993</t>
  </si>
  <si>
    <t>KH 2001 PM</t>
  </si>
  <si>
    <t>000012</t>
  </si>
  <si>
    <t>Yamaha Zupiter Z / Yamaha Zupiter Z</t>
  </si>
  <si>
    <t>MH35TP0054K326052</t>
  </si>
  <si>
    <t>STP525369</t>
  </si>
  <si>
    <t>KH 2716 PY</t>
  </si>
  <si>
    <t>000013</t>
  </si>
  <si>
    <t>HONDA VARIO TECHO CBS / HONDA VARIO TECHO CBS</t>
  </si>
  <si>
    <t>124.8</t>
  </si>
  <si>
    <t>BESI</t>
  </si>
  <si>
    <t>MH1JFJ119EK338230</t>
  </si>
  <si>
    <t>JFJ1E1334255</t>
  </si>
  <si>
    <t>KH 4326 PY</t>
  </si>
  <si>
    <t>L 04350939 M</t>
  </si>
  <si>
    <t>ARITA /DPRD</t>
  </si>
  <si>
    <t>000014</t>
  </si>
  <si>
    <t>HONDA VERZA 150 CW-2015 / HONDA VERZA 150 CW-2015</t>
  </si>
  <si>
    <t>149</t>
  </si>
  <si>
    <t>MH1KC5217FK255089</t>
  </si>
  <si>
    <t>KC52E-1252761</t>
  </si>
  <si>
    <t>KH 4344 PY</t>
  </si>
  <si>
    <t>L 06930513 M</t>
  </si>
  <si>
    <t>SATUAN POLISI PAMONG PRAJA DAN PEMADAM KEBAKARAN</t>
  </si>
  <si>
    <t>000015</t>
  </si>
  <si>
    <t>HONDA  Y1G02N02L0 A/T / HONDA  Y1G02N02L0 A/T</t>
  </si>
  <si>
    <t>108 CC</t>
  </si>
  <si>
    <t>MH1JFS119HK398373</t>
  </si>
  <si>
    <t>JFS1E1390127</t>
  </si>
  <si>
    <t>KH 4650 PY</t>
  </si>
  <si>
    <t>M 12824308 M</t>
  </si>
  <si>
    <t>000016</t>
  </si>
  <si>
    <t>HONDA NEW BEAT SPORTY CW 2018 D1B02N26L2 A/T / HONDA NEW BEAT SPORTY CW 2018 D1B02N26L2 A/T</t>
  </si>
  <si>
    <t>108</t>
  </si>
  <si>
    <t>MH1JFZ123JK859588</t>
  </si>
  <si>
    <t>JFZ1E2857112</t>
  </si>
  <si>
    <t>KH 4790 PY</t>
  </si>
  <si>
    <t>O02643660M</t>
  </si>
  <si>
    <t>Mutasi</t>
  </si>
  <si>
    <t>000017</t>
  </si>
  <si>
    <t>Suzuki RR FL 125 RCD / Suzuki RR FL 125 RCD</t>
  </si>
  <si>
    <t>125 cc</t>
  </si>
  <si>
    <t>MH8BF45DA8J208900</t>
  </si>
  <si>
    <t>F496 - ID - 257880</t>
  </si>
  <si>
    <t>KH 2526 PY</t>
  </si>
  <si>
    <t>F 4847854 M</t>
  </si>
  <si>
    <t>000018</t>
  </si>
  <si>
    <t>MH8BF45DA8J209130</t>
  </si>
  <si>
    <t>F496 - ID - 258038</t>
  </si>
  <si>
    <t>KH 2521 PY</t>
  </si>
  <si>
    <t>F 4847850 M</t>
  </si>
  <si>
    <t>000020</t>
  </si>
  <si>
    <t>BADAN KESATUAN BANGSA DAN POLITIK</t>
  </si>
  <si>
    <t>MH8BF45DA8J209136</t>
  </si>
  <si>
    <t>F496 - ID - 258046</t>
  </si>
  <si>
    <t>KH 2519 PY</t>
  </si>
  <si>
    <t>F 4847848 M</t>
  </si>
  <si>
    <t>000021</t>
  </si>
  <si>
    <t>MH8BF45DA8J209094</t>
  </si>
  <si>
    <t>F496 - ID - 258062</t>
  </si>
  <si>
    <t>000022</t>
  </si>
  <si>
    <t>Suzuki  / Suzuki</t>
  </si>
  <si>
    <t>000023</t>
  </si>
  <si>
    <t>DINAS SOSIAL</t>
  </si>
  <si>
    <t>000024</t>
  </si>
  <si>
    <t>000025</t>
  </si>
  <si>
    <t>MH8BF45DA8J207974</t>
  </si>
  <si>
    <t>F496 - ID - 257087</t>
  </si>
  <si>
    <t>KH 2524 PY</t>
  </si>
  <si>
    <t>000026</t>
  </si>
  <si>
    <t>000027</t>
  </si>
  <si>
    <t>HONDA NF 11 B2D1 M/T Revo FIT / HONDA NF 11 B2D1 M/T Revo FIT</t>
  </si>
  <si>
    <t>110 CC</t>
  </si>
  <si>
    <t>MH1JBE110CK409380</t>
  </si>
  <si>
    <t xml:space="preserve">DINAS TENAGA KERJA DAN TRANSMIGRASI </t>
  </si>
  <si>
    <t>JBE1E1401386</t>
  </si>
  <si>
    <t>KH 4085 PY</t>
  </si>
  <si>
    <t>I-10731509 M</t>
  </si>
  <si>
    <t xml:space="preserve"> Disdikpora / UPTD. Seruyan Hulu</t>
  </si>
  <si>
    <t>000028</t>
  </si>
  <si>
    <t>MH1JBE114CK417126</t>
  </si>
  <si>
    <t>JBE1E1402249</t>
  </si>
  <si>
    <t>KH 4089 PY</t>
  </si>
  <si>
    <t>I-10731513 M</t>
  </si>
  <si>
    <t xml:space="preserve"> Disdikpora / UPTD. Suling Tambun</t>
  </si>
  <si>
    <t>000029</t>
  </si>
  <si>
    <t>HONDA GL 15A1D M/T New Mega Pro D		 / HONDA GL 15A1D M/T New Mega Pro D</t>
  </si>
  <si>
    <t>150 CC</t>
  </si>
  <si>
    <t>MH1KC2113CK064541</t>
  </si>
  <si>
    <t>KC21E1064427</t>
  </si>
  <si>
    <t>KH 4091 PY</t>
  </si>
  <si>
    <t>I-10731515 M</t>
  </si>
  <si>
    <t xml:space="preserve"> Disdikpora / UPTD. Seruyan Tengah</t>
  </si>
  <si>
    <t>000030</t>
  </si>
  <si>
    <t>MH1KC2116CK064405</t>
  </si>
  <si>
    <t>KC21E1064294</t>
  </si>
  <si>
    <t>KH 4093 PY</t>
  </si>
  <si>
    <t>I-10731517 M</t>
  </si>
  <si>
    <t xml:space="preserve"> Disdikpora</t>
  </si>
  <si>
    <t>000031</t>
  </si>
  <si>
    <t>HONDA GL 15B1CF M/T VERZA 150 CW / HONDA GL 15B1CF M/T VERZA 150 CW</t>
  </si>
  <si>
    <t>150</t>
  </si>
  <si>
    <t>MH1KC5217DK035609</t>
  </si>
  <si>
    <t>KC52E1035716</t>
  </si>
  <si>
    <t>DINAS PEMBERDAYAAN PEREMPUAN, PERLINDUNGAN ANAK, PENGENDALIAN PENDUDUK DAN KELUARGA BERENCANA</t>
  </si>
  <si>
    <t>KH 4174 PY</t>
  </si>
  <si>
    <t>K-05623361 M</t>
  </si>
  <si>
    <t>UPTD DISDIKPORA</t>
  </si>
  <si>
    <t>000032</t>
  </si>
  <si>
    <t>HONDA NEW CB150 VERZA CW 2018 B5D02K29M2 M/T / HONDA NEW CB150 VERZA CW 2018 B5D02K29M2 M/T</t>
  </si>
  <si>
    <t>MH1KC0213JK034973</t>
  </si>
  <si>
    <t>KC02E1035135</t>
  </si>
  <si>
    <t>KH 4758 PY</t>
  </si>
  <si>
    <t>O02643629M</t>
  </si>
  <si>
    <t>000033</t>
  </si>
  <si>
    <t>Honda Beat Sporty cbs iss vin 2019 / Honda Beat Sporty cbs iss vin 2019</t>
  </si>
  <si>
    <t>110 cc</t>
  </si>
  <si>
    <t>Campuran</t>
  </si>
  <si>
    <t>MH1JM9115MK773068</t>
  </si>
  <si>
    <t>JM91E1775254</t>
  </si>
  <si>
    <t>KH 5109 PY</t>
  </si>
  <si>
    <t>R-02955000</t>
  </si>
  <si>
    <t>Pengadaan Kendaraan Bermotor Beroda Dua Dinas Pendidikan Kab. Seruyan</t>
  </si>
  <si>
    <t>000034</t>
  </si>
  <si>
    <t>MH1JM9117MK775694</t>
  </si>
  <si>
    <t>JM91E1775144</t>
  </si>
  <si>
    <t>KH 5112 PY</t>
  </si>
  <si>
    <t>R-02955003</t>
  </si>
  <si>
    <t>DINAS KETAHANAN PANGAN DAN PERTANIAN</t>
  </si>
  <si>
    <t>000035</t>
  </si>
  <si>
    <t>MH1JM9116MK772964</t>
  </si>
  <si>
    <t>JM91E1772560</t>
  </si>
  <si>
    <t>KH 5114 PY</t>
  </si>
  <si>
    <t>R-02955005</t>
  </si>
  <si>
    <t>000036</t>
  </si>
  <si>
    <t>MH1JM9115MK775676</t>
  </si>
  <si>
    <t>JM91E1772569</t>
  </si>
  <si>
    <t>KH 5117 PY</t>
  </si>
  <si>
    <t>R-02955007</t>
  </si>
  <si>
    <t>000037</t>
  </si>
  <si>
    <t>MH1JM9111MK775691</t>
  </si>
  <si>
    <t>JM91E1775261</t>
  </si>
  <si>
    <t>KH 5110 PY</t>
  </si>
  <si>
    <t>R-02955001</t>
  </si>
  <si>
    <t>000038</t>
  </si>
  <si>
    <t>MH1JM9115MK775662</t>
  </si>
  <si>
    <t>JM91E1772526</t>
  </si>
  <si>
    <t>KH 5111 PY</t>
  </si>
  <si>
    <t>R-02955002</t>
  </si>
  <si>
    <t>FF</t>
  </si>
  <si>
    <t>000039</t>
  </si>
  <si>
    <t>MH1JM9111MK775688</t>
  </si>
  <si>
    <t>JM91E1775256</t>
  </si>
  <si>
    <t>DINAS LINGKUNGAN HIDUP</t>
  </si>
  <si>
    <t>KH 5113 PY</t>
  </si>
  <si>
    <t>R-02955004</t>
  </si>
  <si>
    <t>000040</t>
  </si>
  <si>
    <t>MH1JM9112MK775292</t>
  </si>
  <si>
    <t>JM91E1775292</t>
  </si>
  <si>
    <t>KH 5116 PY</t>
  </si>
  <si>
    <t>R-02955006</t>
  </si>
  <si>
    <t>000041</t>
  </si>
  <si>
    <t>Honda pcx 160 cbs 99  / Honda pcx 160 cbs 99</t>
  </si>
  <si>
    <t>149 CC</t>
  </si>
  <si>
    <t>MH1KF7110MK137628</t>
  </si>
  <si>
    <t>KF71E1137754</t>
  </si>
  <si>
    <t>KH 5118 PY</t>
  </si>
  <si>
    <t>R-02958797</t>
  </si>
  <si>
    <t>000042</t>
  </si>
  <si>
    <t>Suzuki Shogun / Suzuki Shogun</t>
  </si>
  <si>
    <t>MH8PD125X5J716920</t>
  </si>
  <si>
    <t>F403-10717258</t>
  </si>
  <si>
    <t>KH 2078 PY</t>
  </si>
  <si>
    <t>0750364 M</t>
  </si>
  <si>
    <t>000043</t>
  </si>
  <si>
    <t>MG8PD125X5J705128</t>
  </si>
  <si>
    <t>F404-ID695795</t>
  </si>
  <si>
    <t>KH 2079 PY</t>
  </si>
  <si>
    <t>I 528859 M</t>
  </si>
  <si>
    <t>DINAS KEPENDUDUKAN DAN PENCATATAN SIPIL</t>
  </si>
  <si>
    <t>000044</t>
  </si>
  <si>
    <t>Honda /  beat street</t>
  </si>
  <si>
    <t>109.5 cc</t>
  </si>
  <si>
    <t>campuran</t>
  </si>
  <si>
    <t>MH1JM8214NK707301</t>
  </si>
  <si>
    <t>JM82E1705328</t>
  </si>
  <si>
    <t>KH 5196 PY</t>
  </si>
  <si>
    <t>T-02690567</t>
  </si>
  <si>
    <t>Belanja modal kendaraan bermotor beroda dua</t>
  </si>
  <si>
    <t>000045</t>
  </si>
  <si>
    <t>Honda / beat street</t>
  </si>
  <si>
    <t>MH1JM8217NK707504</t>
  </si>
  <si>
    <t>JM82E1705609</t>
  </si>
  <si>
    <t>KH 5195 PY</t>
  </si>
  <si>
    <t>T-02690566</t>
  </si>
  <si>
    <t>000046</t>
  </si>
  <si>
    <t>HONDA / HONDA BEAT STREET</t>
  </si>
  <si>
    <t>MH1JM8216PK951177</t>
  </si>
  <si>
    <t>JM82E1950683</t>
  </si>
  <si>
    <t>KH 5220 PY</t>
  </si>
  <si>
    <t>U-01948051 M</t>
  </si>
  <si>
    <t>BELANJA MODAL KENDARAAN BERMOTOR RODA DUA (PENGADAAN MOTOR TRAIL DAN SEPEDA MOTOR RODA 2 MATIC) DINAS PENDIDIKAN KABUPATEN SERUYAN</t>
  </si>
  <si>
    <t>000047</t>
  </si>
  <si>
    <t>DINAS PEMBERDAYAAN MASYARAKAT DAN DESA</t>
  </si>
  <si>
    <t>MH1JM8213PK951184</t>
  </si>
  <si>
    <t>JM82E1950691</t>
  </si>
  <si>
    <t>KH 5223 PY</t>
  </si>
  <si>
    <t>U-01948053 M</t>
  </si>
  <si>
    <t>000048</t>
  </si>
  <si>
    <t>MH1JM8213PK951346</t>
  </si>
  <si>
    <t>JM82E1950822</t>
  </si>
  <si>
    <t>KH 5224 PY</t>
  </si>
  <si>
    <t>U-01948054 M</t>
  </si>
  <si>
    <t>000049</t>
  </si>
  <si>
    <t>MH1JM8215PK951347</t>
  </si>
  <si>
    <t>JM82E1950861</t>
  </si>
  <si>
    <t>KH 5226 PY</t>
  </si>
  <si>
    <t>U-01948055 M</t>
  </si>
  <si>
    <t>000050</t>
  </si>
  <si>
    <t>MH1JM8218PK951181</t>
  </si>
  <si>
    <t>JM82E1950688</t>
  </si>
  <si>
    <t>KH 5221 PY</t>
  </si>
  <si>
    <t>U-01948052 M</t>
  </si>
  <si>
    <t>000051</t>
  </si>
  <si>
    <t>DINAS PERHUBUNGAN</t>
  </si>
  <si>
    <t>MH1JM8215PK952398</t>
  </si>
  <si>
    <t>JM82E1951896</t>
  </si>
  <si>
    <t>KH 5229 PY</t>
  </si>
  <si>
    <t>U-01948595 M</t>
  </si>
  <si>
    <t>000052</t>
  </si>
  <si>
    <t>HONDA / HONDA CRF150L</t>
  </si>
  <si>
    <t>149,15 cc</t>
  </si>
  <si>
    <t>MH1KD1111PK437394</t>
  </si>
  <si>
    <t>KD11E1436647</t>
  </si>
  <si>
    <t>KH 5214 PY</t>
  </si>
  <si>
    <t>U-01948045 M</t>
  </si>
  <si>
    <t>000053</t>
  </si>
  <si>
    <t>MH1KD1111PK437363</t>
  </si>
  <si>
    <t>KD11E1436616</t>
  </si>
  <si>
    <t>KH 5227 PY</t>
  </si>
  <si>
    <t>U-01948056 M</t>
  </si>
  <si>
    <t>000054</t>
  </si>
  <si>
    <t>MH1KD1110PK437337</t>
  </si>
  <si>
    <t>KD11E1436591</t>
  </si>
  <si>
    <t>KH 5217 PY</t>
  </si>
  <si>
    <t>U-01948048 M</t>
  </si>
  <si>
    <t>000055</t>
  </si>
  <si>
    <t>DINAS KOMUNIKASI, INFORMATIKA DAN STATISTIK</t>
  </si>
  <si>
    <t>MH1KD1116PK437407</t>
  </si>
  <si>
    <t>KD11E1436660</t>
  </si>
  <si>
    <t>KH 5213 PY</t>
  </si>
  <si>
    <t>U-01948044 M</t>
  </si>
  <si>
    <t>000056</t>
  </si>
  <si>
    <t>MH1KD1115PK437463</t>
  </si>
  <si>
    <t>KD11E1436713</t>
  </si>
  <si>
    <t>KH 5215 PY</t>
  </si>
  <si>
    <t>U-01948046 M</t>
  </si>
  <si>
    <t>000057</t>
  </si>
  <si>
    <t>MH1KD1113PK437669</t>
  </si>
  <si>
    <t>KD11E1436730</t>
  </si>
  <si>
    <t>KH 5216 PY</t>
  </si>
  <si>
    <t>U-01948047 M</t>
  </si>
  <si>
    <t>000058</t>
  </si>
  <si>
    <t>MH1KD1113PK437445</t>
  </si>
  <si>
    <t>KD11E1436685</t>
  </si>
  <si>
    <t>KH 5211 PY</t>
  </si>
  <si>
    <t>U-01948042 M</t>
  </si>
  <si>
    <t>DINAS KOPERASI, USAHA MIKRO KECIL MENENGAH, PERINDUSTRIAN, DAN PERDAGANGAN</t>
  </si>
  <si>
    <t>000059</t>
  </si>
  <si>
    <t>MH1KD1113PK437414</t>
  </si>
  <si>
    <t>KD11E1436666</t>
  </si>
  <si>
    <t>KH 5212 PY</t>
  </si>
  <si>
    <t>U-01948043 M</t>
  </si>
  <si>
    <t>000060</t>
  </si>
  <si>
    <t>MH1KD1113PK437378</t>
  </si>
  <si>
    <t>KD11E1436631</t>
  </si>
  <si>
    <t>KH 5219 PY</t>
  </si>
  <si>
    <t>U-01948050 M</t>
  </si>
  <si>
    <t>000061</t>
  </si>
  <si>
    <t>MH1KD1112PK437372</t>
  </si>
  <si>
    <t>KD11E1436544</t>
  </si>
  <si>
    <t>KH 5218 PY</t>
  </si>
  <si>
    <t>U-01948049 M</t>
  </si>
  <si>
    <t>000062</t>
  </si>
  <si>
    <t>KAWASAKI KLX / KAWASAKI KLX</t>
  </si>
  <si>
    <t>Campur</t>
  </si>
  <si>
    <t>LX150CEWR1122</t>
  </si>
  <si>
    <t>KH 5094 PY</t>
  </si>
  <si>
    <t>R-02937461</t>
  </si>
  <si>
    <t>DINAS PENANAMAN MODAL DAN PELAYANAN TERPADU SATU PINTU</t>
  </si>
  <si>
    <t>Sepeda Motor Trail Kawasaki KLX</t>
  </si>
  <si>
    <t>Daihatsu  / Daihatsu</t>
  </si>
  <si>
    <t>Hibah</t>
  </si>
  <si>
    <t>Dinkes</t>
  </si>
  <si>
    <t>MITSUBISHI TRITON 2.5 L / MITSUBISHI TRITON 2.5 L</t>
  </si>
  <si>
    <t>2477</t>
  </si>
  <si>
    <t>MMBENKL30HH031988</t>
  </si>
  <si>
    <t>4D56UAL796</t>
  </si>
  <si>
    <t>KH 8172 PW</t>
  </si>
  <si>
    <t>M 12829132 M</t>
  </si>
  <si>
    <t>Honda NF 100 SL / Honda NF 100 SL</t>
  </si>
  <si>
    <t>MH1HB41196K773116</t>
  </si>
  <si>
    <t>HB41E-1771626</t>
  </si>
  <si>
    <t>KH2170PY</t>
  </si>
  <si>
    <t>E8567074M</t>
  </si>
  <si>
    <t>Puskesmas Danau Sembuluh</t>
  </si>
  <si>
    <t>Suzuki EN125 / Suzuki EN125</t>
  </si>
  <si>
    <t>MH8EN125A6J342146</t>
  </si>
  <si>
    <t>F405-ID-342044</t>
  </si>
  <si>
    <t>KH 2171 PY</t>
  </si>
  <si>
    <t>DINAS KEPEMUDAAN, OLAHRAGA, PARIWISATA DAN KEBUDAYAAN</t>
  </si>
  <si>
    <t>Muslihudin PKM Terawan</t>
  </si>
  <si>
    <t>Suzuki Shogun FD / Suzuki Shogun FD</t>
  </si>
  <si>
    <t>110</t>
  </si>
  <si>
    <t>MH8FD125X6J745077</t>
  </si>
  <si>
    <t>F403-ID-745311</t>
  </si>
  <si>
    <t>KH 2086 PY</t>
  </si>
  <si>
    <t>D 9837370 M</t>
  </si>
  <si>
    <t>Rukun/PKM Pembuang Hulu</t>
  </si>
  <si>
    <t>MH8FD125X6J754471</t>
  </si>
  <si>
    <t>F4031D755092</t>
  </si>
  <si>
    <t>KH 2089 PY</t>
  </si>
  <si>
    <t>D 9837369 M</t>
  </si>
  <si>
    <t>dr. Muna Purnama Sari/Puskesmas Asam Baru</t>
  </si>
  <si>
    <t>MHIHB32117K346426</t>
  </si>
  <si>
    <t>HB32E-1339489</t>
  </si>
  <si>
    <t>KH 2254 PY</t>
  </si>
  <si>
    <t>E 7693854 M</t>
  </si>
  <si>
    <t>dr. Kasmijati/ PKM K. Pembuang I</t>
  </si>
  <si>
    <t>Honda NF100SL / Honda NF100SL</t>
  </si>
  <si>
    <t>MHIHB32117K333573</t>
  </si>
  <si>
    <t>HB32E-1326880</t>
  </si>
  <si>
    <t>KH 2226 PY</t>
  </si>
  <si>
    <t>E 7693817 M</t>
  </si>
  <si>
    <t>Sumanti Siska/Puskesmas Rantau Pulut I</t>
  </si>
  <si>
    <t>Honda NF 125 TD4 (SUPRA X TD) / Honda NF 125 TD4 (SUPRA X TD)</t>
  </si>
  <si>
    <t>DINAS PERPUSTAKAAN, DAN KEARSIPAN</t>
  </si>
  <si>
    <t xml:space="preserve"> MH1JB8112DK907969</t>
  </si>
  <si>
    <t xml:space="preserve"> JB81E1904136</t>
  </si>
  <si>
    <t>KH4193PY</t>
  </si>
  <si>
    <t>K 08796070 M</t>
  </si>
  <si>
    <t>Pengadaan Kendaraan Operasional Roda Dua Program Imunisasi Puskesmas Telaga Pulang (dr. Chaliza Adnan)</t>
  </si>
  <si>
    <t xml:space="preserve"> MH1JB8114DK912963</t>
  </si>
  <si>
    <t xml:space="preserve"> JB81E1909157</t>
  </si>
  <si>
    <t>KH4227PY</t>
  </si>
  <si>
    <t>K 08796104 M</t>
  </si>
  <si>
    <t>Pengadaan Kendaraan Operasional Roda Dua Penanggung Jawab Pustu Tumbang Salau</t>
  </si>
  <si>
    <t xml:space="preserve"> MH1JB811XDK913857</t>
  </si>
  <si>
    <t xml:space="preserve"> JB81E1909841</t>
  </si>
  <si>
    <t>KH4191PY</t>
  </si>
  <si>
    <t>K 08796068 M</t>
  </si>
  <si>
    <t>Pengadaan Kendaraan Operasional Roda Dua Penanggung Jawab Pustu Derawa</t>
  </si>
  <si>
    <t>Honda/Supra GTR150 / Honda/Supra GTR150</t>
  </si>
  <si>
    <t>150 cc</t>
  </si>
  <si>
    <t>Plastik/logam</t>
  </si>
  <si>
    <t> MH1KB2112LK069617</t>
  </si>
  <si>
    <t>KB21E1069727</t>
  </si>
  <si>
    <t>KHxxxxPY</t>
  </si>
  <si>
    <t>Pengadaan Kendaraan Roda 2 Operasional (20 Unit) Program Puskesmas Rantau Pulut I, Puskesmas Rantau Pulut II, Puskesmas Tumbang Manjul, dan Puskesmas Tumbang langkai (DAK FISIK REGULER PELAYANAN KESEHATAN DASAR)</t>
  </si>
  <si>
    <t>Suzuki FD110XCD / Suzuki FD110XCD</t>
  </si>
  <si>
    <t>MH8FD110C6J596937</t>
  </si>
  <si>
    <t>E405-ID-597122</t>
  </si>
  <si>
    <t>KH 2100 PY</t>
  </si>
  <si>
    <t>D 9837393 M</t>
  </si>
  <si>
    <t>Sapto Legowo/PKM Terawan</t>
  </si>
  <si>
    <t>DINAS PERIKANAN</t>
  </si>
  <si>
    <t>YAMAHA T105ERD / YAMAHA T105ERD</t>
  </si>
  <si>
    <t>MH33S00016K072172</t>
  </si>
  <si>
    <t>3S0070206</t>
  </si>
  <si>
    <t>Nanin Dewi Yanti/PKM Danau Sembuluh</t>
  </si>
  <si>
    <t>MH34ST2106K062316</t>
  </si>
  <si>
    <t>4ST 1420857</t>
  </si>
  <si>
    <t>KH 2071 PY</t>
  </si>
  <si>
    <t>D 9294113 M</t>
  </si>
  <si>
    <t>Toyib Abdul Gani /Puskesmas Pembuang Hulu I</t>
  </si>
  <si>
    <t>MH1HB31136K168714</t>
  </si>
  <si>
    <t>HB31E-1171803</t>
  </si>
  <si>
    <t>KH 2148 PY</t>
  </si>
  <si>
    <t>E 1306204 M</t>
  </si>
  <si>
    <t>Elviyanti/Puskesmas Tumbang Manjul</t>
  </si>
  <si>
    <t>MHIHB32137K242813</t>
  </si>
  <si>
    <t>HB32E-1236818</t>
  </si>
  <si>
    <t>KH 2240 PY</t>
  </si>
  <si>
    <t>E 7693844 M</t>
  </si>
  <si>
    <t>Saptosari Mulya Utami/PKM K. Pembuang I</t>
  </si>
  <si>
    <t>BADAN PERENCANAAN PEMBANGUNAN DAERAH</t>
  </si>
  <si>
    <t>MH1HB32117K332820</t>
  </si>
  <si>
    <t>HB32E-1326772</t>
  </si>
  <si>
    <t>KH 2246 PY</t>
  </si>
  <si>
    <t>E 7693843 M</t>
  </si>
  <si>
    <t>Sri Wijayanti/Puskesmas Telaga Pulang</t>
  </si>
  <si>
    <t>MHIHB32197K241410</t>
  </si>
  <si>
    <t>HB32E-1232054</t>
  </si>
  <si>
    <t>KH 2227 PY</t>
  </si>
  <si>
    <t>E 7693813 M</t>
  </si>
  <si>
    <t>Tumpal/Puskesmas Rantau Pulut I</t>
  </si>
  <si>
    <t>MH1HB32127K235965</t>
  </si>
  <si>
    <t>HB32E1226162</t>
  </si>
  <si>
    <t>KH 2223 PY</t>
  </si>
  <si>
    <t>E 7693863 M</t>
  </si>
  <si>
    <t>Juliansyah/Puskesmas Asam Baru</t>
  </si>
  <si>
    <t>Honda Revo / Honda Revo</t>
  </si>
  <si>
    <t>MH1JBC128AK185351</t>
  </si>
  <si>
    <t>JBC1E-2025855</t>
  </si>
  <si>
    <t>KH4030PY</t>
  </si>
  <si>
    <t>I 00186018 M</t>
  </si>
  <si>
    <t>Humaira Nabila/PKM K. Pembuang II</t>
  </si>
  <si>
    <t>MH1JBC129AK178912</t>
  </si>
  <si>
    <t>JBC1E-1999407</t>
  </si>
  <si>
    <t>KH4033PY</t>
  </si>
  <si>
    <t>I 00186021 M</t>
  </si>
  <si>
    <t>Saifurrahman, A.Md, Kep/PKM Rantau Pulut II</t>
  </si>
  <si>
    <t>BADAN PENGELOLA KEUANGAN DAN ASET DAERAH</t>
  </si>
  <si>
    <t>MH1JBC125AK178955</t>
  </si>
  <si>
    <t>JBC1E-2177875</t>
  </si>
  <si>
    <t>KH4035PY</t>
  </si>
  <si>
    <t>I 00186023 M</t>
  </si>
  <si>
    <t>PKM Sandul</t>
  </si>
  <si>
    <t xml:space="preserve"> MH1JB8112DK914324</t>
  </si>
  <si>
    <t xml:space="preserve"> JB81E1910315</t>
  </si>
  <si>
    <t>KH4252PY</t>
  </si>
  <si>
    <t>K 08796129 M</t>
  </si>
  <si>
    <t>Pengadaan Kendaraan Operasional Roda Dua Penanggung Jawab Pustu Tumbang Laku</t>
  </si>
  <si>
    <t>Plastik/ logam</t>
  </si>
  <si>
    <t> MH1KB2115LK078683</t>
  </si>
  <si>
    <t>KB21E1078957</t>
  </si>
  <si>
    <t>Suzuki FD125XSD / Suzuki FD125XSD</t>
  </si>
  <si>
    <t>MH8FD125X6J749656</t>
  </si>
  <si>
    <t>F403-ID-749869</t>
  </si>
  <si>
    <t>KH 2087 PY</t>
  </si>
  <si>
    <t>D 9837368 M</t>
  </si>
  <si>
    <t>BARANG PENGELOLA</t>
  </si>
  <si>
    <t>dr. Muhammad Fariz/PKM Danau Sembuluh</t>
  </si>
  <si>
    <t>Suzuki Smash FD / Suzuki Smash FD</t>
  </si>
  <si>
    <t>KH 2099 PY</t>
  </si>
  <si>
    <t>D 9837388 M</t>
  </si>
  <si>
    <t>Noor Ifansyah/PKM Terawan</t>
  </si>
  <si>
    <t>Suzuki FD110XCD  / Suzuki FD110XCD</t>
  </si>
  <si>
    <t>MH8FD110C6J596896</t>
  </si>
  <si>
    <t>E405-ID597672</t>
  </si>
  <si>
    <t>KH 2107 PY</t>
  </si>
  <si>
    <t>D 9837401 M</t>
  </si>
  <si>
    <t>H. Suhaimi/Puskeesmas Pembuang Hulu</t>
  </si>
  <si>
    <t>MH1HB31146K176644</t>
  </si>
  <si>
    <t>HB31E1175874</t>
  </si>
  <si>
    <t>KH 2149 PY</t>
  </si>
  <si>
    <t>E 1306205 M</t>
  </si>
  <si>
    <t>Dewi Hermawati/Puskesmas Tumbang Manjul</t>
  </si>
  <si>
    <t>MH1HB32187K337982</t>
  </si>
  <si>
    <t>HB32E1331436</t>
  </si>
  <si>
    <t>BADAN PENDAPATAN DAERAH</t>
  </si>
  <si>
    <t>KH 2252 PY</t>
  </si>
  <si>
    <t>E 7693852 M</t>
  </si>
  <si>
    <t>Rinna/Puskesmas Kuala Pembuang I</t>
  </si>
  <si>
    <t>MH1HB32117K332304</t>
  </si>
  <si>
    <t>HB32E-1326506</t>
  </si>
  <si>
    <t>KH 2244 PY</t>
  </si>
  <si>
    <t>E 7693861 M</t>
  </si>
  <si>
    <t>dr. Dike/Puskesmas Telaga Pulang</t>
  </si>
  <si>
    <t>MHIHB32157K333341</t>
  </si>
  <si>
    <t>HB32E-1327022</t>
  </si>
  <si>
    <t>KH 2248 PY</t>
  </si>
  <si>
    <t>F 4848158 M</t>
  </si>
  <si>
    <t>TATAE SRIWAHYUNI, A. Md. Kep/ Puskesmas Rantau Pulut I</t>
  </si>
  <si>
    <t>Yamaha Vega R / Yamaha Vega R</t>
  </si>
  <si>
    <t>MH34D72038J160243</t>
  </si>
  <si>
    <t>4D7-1160255</t>
  </si>
  <si>
    <t>KH2601PY</t>
  </si>
  <si>
    <t>G1327461M</t>
  </si>
  <si>
    <t>MARIA YULIANTI,A.Md.Keb / Polindes Sandul</t>
  </si>
  <si>
    <t>MH1JBC127AK182862</t>
  </si>
  <si>
    <t>JBC1E-1978296</t>
  </si>
  <si>
    <t>KH4031PY</t>
  </si>
  <si>
    <t>I 00186019 M</t>
  </si>
  <si>
    <t>Reni Lumban Gaol/PKM Rantau Pulut II</t>
  </si>
  <si>
    <t>BADAN KEPEGAWAIAN DAN PENGEMBANGAN SUMBER DAYA MANUSIA</t>
  </si>
  <si>
    <t xml:space="preserve"> MH1JB8117DK912701</t>
  </si>
  <si>
    <t xml:space="preserve"> JB81E1908634</t>
  </si>
  <si>
    <t>KH4248PY</t>
  </si>
  <si>
    <t>K 08796125 M</t>
  </si>
  <si>
    <t>Pengadaan Kendaraan Operasional Roda Dua Penanggung Jawab Pustu Sepundu Hantu</t>
  </si>
  <si>
    <t> MH1KB2117LK085443</t>
  </si>
  <si>
    <t>KB21E1083534</t>
  </si>
  <si>
    <t>MH8FD110C6J596935</t>
  </si>
  <si>
    <t>E405-ID-597090</t>
  </si>
  <si>
    <t>KH 2101 PY</t>
  </si>
  <si>
    <t>D 9837395 M</t>
  </si>
  <si>
    <t>Riduan/Puskesmas  Danau Sembuluh</t>
  </si>
  <si>
    <t>MHIHB41196K773830</t>
  </si>
  <si>
    <t>HB41E-1771728</t>
  </si>
  <si>
    <t>Jundah/Pustu Tumbang Darap</t>
  </si>
  <si>
    <t>SEKRETARIAT DPRD</t>
  </si>
  <si>
    <t>MHIHB32167K333557</t>
  </si>
  <si>
    <t>HB32E-1327040</t>
  </si>
  <si>
    <t>KH 2237 PY</t>
  </si>
  <si>
    <t>E 7693853 M</t>
  </si>
  <si>
    <t>Dianae Fransiska/PKM K. Pembuang I</t>
  </si>
  <si>
    <t>MHIHB32107K233406</t>
  </si>
  <si>
    <t>HB32E-1222982</t>
  </si>
  <si>
    <t>KH 2238 PY</t>
  </si>
  <si>
    <t>E 7693845 M</t>
  </si>
  <si>
    <t>Wiwi Rukiah/PKM K. Pembuang II</t>
  </si>
  <si>
    <t>MHIHB32177K244421</t>
  </si>
  <si>
    <t>HB32E-1236797</t>
  </si>
  <si>
    <t>KH 2241 PY</t>
  </si>
  <si>
    <t>E 7693856 M</t>
  </si>
  <si>
    <t>dr. Romondang Siagian/Puskesmas Terawan</t>
  </si>
  <si>
    <t>MH1HB32157K333346</t>
  </si>
  <si>
    <t>HB32E-1327014</t>
  </si>
  <si>
    <t>KH 2247 PY</t>
  </si>
  <si>
    <t>E 7693858 M</t>
  </si>
  <si>
    <t>Misrawati/Puskesmas Telaga Pulang</t>
  </si>
  <si>
    <t>MHIHB32137K333343</t>
  </si>
  <si>
    <t>HB32E-1327029</t>
  </si>
  <si>
    <t>KH 2249 PY</t>
  </si>
  <si>
    <t>E 7693848 M</t>
  </si>
  <si>
    <t>SEKRETARIAT DAERAH</t>
  </si>
  <si>
    <t>MH1JBC126AK178947</t>
  </si>
  <si>
    <t>JBC1E-2177837</t>
  </si>
  <si>
    <t>KH4032PY</t>
  </si>
  <si>
    <t>I 00186020 M</t>
  </si>
  <si>
    <t>SUHAIMI/ PKM Rantau Pulut II</t>
  </si>
  <si>
    <t xml:space="preserve"> MH1JB8116DK917338</t>
  </si>
  <si>
    <t xml:space="preserve"> JB81E1913339</t>
  </si>
  <si>
    <t>KH4253PY</t>
  </si>
  <si>
    <t>K 08796130 M</t>
  </si>
  <si>
    <t>Pengadaan Kendaraan Operasional Roda Dua Penannggung Jawab Poskesdes Tumbang Gugup</t>
  </si>
  <si>
    <t xml:space="preserve"> MH1JB8116DK912074</t>
  </si>
  <si>
    <t xml:space="preserve"> JB81E1908292</t>
  </si>
  <si>
    <t>KH4222PY</t>
  </si>
  <si>
    <t>K 08796099 M</t>
  </si>
  <si>
    <t>Pengadaan Kendaraan Operasional Roda Dua Penanggung Jawab Poskesdes Sebabi</t>
  </si>
  <si>
    <t> MH1KB2117LK074425</t>
  </si>
  <si>
    <t>KB21E1074730</t>
  </si>
  <si>
    <t>Suzuki FD110XCDF / Suzuki FD110XCDF</t>
  </si>
  <si>
    <t>INSPEKTORAT DAERAH</t>
  </si>
  <si>
    <t>MH8FD110C6J596941</t>
  </si>
  <si>
    <t>E405-ID-597115</t>
  </si>
  <si>
    <t>KH 2098 PY</t>
  </si>
  <si>
    <t>D 9837387 M</t>
  </si>
  <si>
    <t>Hj. Noorasiyah/Puskesmas Telaga Pulang</t>
  </si>
  <si>
    <t>MH8FD110C6J596954</t>
  </si>
  <si>
    <t>E405-ID597005</t>
  </si>
  <si>
    <t>KH 2102 PY</t>
  </si>
  <si>
    <t>D 9837394 M</t>
  </si>
  <si>
    <t>Ramasih/Puskesmas  Danau Sembuluh</t>
  </si>
  <si>
    <t>MH1HB411X6K773139</t>
  </si>
  <si>
    <t>HB41E-1771656</t>
  </si>
  <si>
    <t>KH2169PY</t>
  </si>
  <si>
    <t>PKM Asam Baru/ Hasminah</t>
  </si>
  <si>
    <t>MH34ST2106K062412</t>
  </si>
  <si>
    <t>4ST 1421051</t>
  </si>
  <si>
    <t>KH 2072 PY</t>
  </si>
  <si>
    <t>D 9294114 M</t>
  </si>
  <si>
    <t>Wahidah/Puskesmas Tumbang Manjul</t>
  </si>
  <si>
    <t>MHIHB32137K324053</t>
  </si>
  <si>
    <t>HB32E-1317685</t>
  </si>
  <si>
    <t>KECAMATAN SERUYAN TENGAH</t>
  </si>
  <si>
    <t>KH 2239 PY</t>
  </si>
  <si>
    <t>E 7693859 M</t>
  </si>
  <si>
    <t>Hj. Siti Norina/ PKM K. Pembuang I</t>
  </si>
  <si>
    <t>MHIHB32117K318604</t>
  </si>
  <si>
    <t>HB32E-1312930</t>
  </si>
  <si>
    <t>KH 2218 PY</t>
  </si>
  <si>
    <t>E 7693809 M</t>
  </si>
  <si>
    <t>Siti Noorjennah/PKM K. Pembuang II</t>
  </si>
  <si>
    <t>MHIHB32117K329819</t>
  </si>
  <si>
    <t>HB32E-1323682</t>
  </si>
  <si>
    <t>KH 2242 PY</t>
  </si>
  <si>
    <t>E 7693857 M</t>
  </si>
  <si>
    <t>Adelina Kamila /Puskesmas Terawan</t>
  </si>
  <si>
    <t>Honda Supra fit / Honda Supra fit</t>
  </si>
  <si>
    <t>MH1HB32187K333561</t>
  </si>
  <si>
    <t>HB32E-1326997</t>
  </si>
  <si>
    <t>KH 2215 PY</t>
  </si>
  <si>
    <t>E 7693872 M</t>
  </si>
  <si>
    <t>Sri Rahayu/Puskeesmas Pembuang Hulu</t>
  </si>
  <si>
    <t>MH1HB32107K301557</t>
  </si>
  <si>
    <t>HB32E-1293491</t>
  </si>
  <si>
    <t>KH 2207 PY</t>
  </si>
  <si>
    <t>E 7693807 M</t>
  </si>
  <si>
    <t>Mustakimah/Puskesmas Rantau Pulut II</t>
  </si>
  <si>
    <t>KECAMATAN DANAU SEMBULUH</t>
  </si>
  <si>
    <t>MHIHB32137K33337</t>
  </si>
  <si>
    <t>HB32E-1327059</t>
  </si>
  <si>
    <t>KH 2250 PY</t>
  </si>
  <si>
    <t>E 7693849 M</t>
  </si>
  <si>
    <t>Wiwin/Puskesmas Rantau Pulut I</t>
  </si>
  <si>
    <t xml:space="preserve"> MH1JB8115DK917346</t>
  </si>
  <si>
    <t xml:space="preserve"> JB81E1913395</t>
  </si>
  <si>
    <t>KH4242PY</t>
  </si>
  <si>
    <t>K 08796119 M</t>
  </si>
  <si>
    <t>Pengadaan Kendaraan Operasional Roda Dua Penanggung Jawab Pustu Kalang</t>
  </si>
  <si>
    <t xml:space="preserve"> MH1JB8112DK910970</t>
  </si>
  <si>
    <t xml:space="preserve"> JB81E1906939</t>
  </si>
  <si>
    <t>KH4196PY</t>
  </si>
  <si>
    <t>K 08796073 M</t>
  </si>
  <si>
    <t>Pengadaan Kendaraan Operasional Roda Dua Penanggung Jawab Pustu Tumbang Setoli</t>
  </si>
  <si>
    <t> MH1KB2117LK085152</t>
  </si>
  <si>
    <t>KB21E1083243</t>
  </si>
  <si>
    <t>Honda NF100D / Honda NF100D</t>
  </si>
  <si>
    <t>KECAMATAN HANAU</t>
  </si>
  <si>
    <t>MH1KEVA164K750795</t>
  </si>
  <si>
    <t>KEVAE-1750776</t>
  </si>
  <si>
    <t>KH2584PY</t>
  </si>
  <si>
    <t>D0073551M</t>
  </si>
  <si>
    <t>Hj. RUSITAH/Puskesmas  Kuala Pembuang I</t>
  </si>
  <si>
    <t>Suzuki En Thunder / Suzuki En Thunder</t>
  </si>
  <si>
    <t>MH8EN125A6J235287</t>
  </si>
  <si>
    <t>F405-ID-235656</t>
  </si>
  <si>
    <t>KH 2082 PY</t>
  </si>
  <si>
    <t>D 9837360 M</t>
  </si>
  <si>
    <t>Faisal/Puskesmas Telaga Pulang</t>
  </si>
  <si>
    <t>MHIHB32137K333564</t>
  </si>
  <si>
    <t>HB32E-1327042</t>
  </si>
  <si>
    <t>KH 2230 PY</t>
  </si>
  <si>
    <t>E 7693866 M</t>
  </si>
  <si>
    <t>Suhartati PKM Terawan</t>
  </si>
  <si>
    <t>MHIHB321X7K314347</t>
  </si>
  <si>
    <t>HB32E-1307672</t>
  </si>
  <si>
    <t>KH 2228 PY</t>
  </si>
  <si>
    <t>E 7693868 M</t>
  </si>
  <si>
    <t>Eti Isnaeni/Puskesmas Danau Sembuluh</t>
  </si>
  <si>
    <t>MH8EN125A7J419636</t>
  </si>
  <si>
    <t>F405-10420045</t>
  </si>
  <si>
    <t>KH 2192 PY</t>
  </si>
  <si>
    <t>E 7693785 M</t>
  </si>
  <si>
    <t>Idris/Puskesmas Rantau Pulut II</t>
  </si>
  <si>
    <t>KECAMATAN SERUYAN HILIR</t>
  </si>
  <si>
    <t>MH1HB32187K322950</t>
  </si>
  <si>
    <t>HB32E-1317499</t>
  </si>
  <si>
    <t>KH 2208 PY</t>
  </si>
  <si>
    <t>E 7693803 M</t>
  </si>
  <si>
    <t>Deny Eliyanti/Puskesmas Rantau Pulut II</t>
  </si>
  <si>
    <t>MH1HB32197K326389</t>
  </si>
  <si>
    <t>HB32E-1320535</t>
  </si>
  <si>
    <t>KH 2203 PY</t>
  </si>
  <si>
    <t>E 7693870 M</t>
  </si>
  <si>
    <t>Surati/Puskesmas Tumbang Manjul</t>
  </si>
  <si>
    <t xml:space="preserve"> MH1JB8118DK912075</t>
  </si>
  <si>
    <t xml:space="preserve"> JB81E1908291</t>
  </si>
  <si>
    <t>KH4211PY</t>
  </si>
  <si>
    <t>K 08796088 M</t>
  </si>
  <si>
    <t>Pengadaan Kendaraan Operasional Roda Dua Penanggung Jawab Pustu Tanjung Rangas II</t>
  </si>
  <si>
    <t xml:space="preserve"> MH1JB811XDK917309</t>
  </si>
  <si>
    <t>KECAMATAN SERUYAN HULU</t>
  </si>
  <si>
    <t xml:space="preserve"> JB81E1913485</t>
  </si>
  <si>
    <t>KH4241PY</t>
  </si>
  <si>
    <t>K 08796118 M</t>
  </si>
  <si>
    <t>Pengadaan Kendaraan Operasional Roda Dua Penanggung Jawab Pustu Rangkang Munduk</t>
  </si>
  <si>
    <t>Honda GL 15 B1DF (VERZA 150 SW) / Honda GL 15 B1DF (VERZA 150 SW)</t>
  </si>
  <si>
    <t xml:space="preserve"> MH1KC5114DK017036</t>
  </si>
  <si>
    <t>KC51E1016777</t>
  </si>
  <si>
    <t>KH4239PY</t>
  </si>
  <si>
    <t>K 08796116 M</t>
  </si>
  <si>
    <t>Pengadaan Kendaraan Operasional Roda Dua Pemegang Program PMK Puskesmas Sandul</t>
  </si>
  <si>
    <t> MH1KB2115LK086719</t>
  </si>
  <si>
    <t>KB21E1083841</t>
  </si>
  <si>
    <t>YAMAHA RX King / YAMAHA RX King</t>
  </si>
  <si>
    <t>MH33KAO156K8076</t>
  </si>
  <si>
    <t>3KA-7817</t>
  </si>
  <si>
    <t>KH206 PY</t>
  </si>
  <si>
    <t>Ruwanto/ PKM Telaga Pulang</t>
  </si>
  <si>
    <t>MH1HB32117K295686</t>
  </si>
  <si>
    <t>HB32E1288610</t>
  </si>
  <si>
    <t>KH2217PY</t>
  </si>
  <si>
    <t>E 7693862 M</t>
  </si>
  <si>
    <t>KECAMATAN BATU AMPAR</t>
  </si>
  <si>
    <t>Nurita/PKM K. Pembuang II</t>
  </si>
  <si>
    <t>KH 2229 PY</t>
  </si>
  <si>
    <t>E 7693818 M</t>
  </si>
  <si>
    <t>Mutiara Dewi/ PKM Terawan</t>
  </si>
  <si>
    <t>MHIHB321X7K299879</t>
  </si>
  <si>
    <t>HB32E-1293162</t>
  </si>
  <si>
    <t>KH 2209 PY</t>
  </si>
  <si>
    <t>E 7693867 M</t>
  </si>
  <si>
    <t>Tri Purniawati/Puskesmas Rantau Pulut II</t>
  </si>
  <si>
    <t xml:space="preserve"> MH1JB8113DK912078</t>
  </si>
  <si>
    <t xml:space="preserve"> JB81E1908298</t>
  </si>
  <si>
    <t>KH4224PY</t>
  </si>
  <si>
    <t>K 08796101 M</t>
  </si>
  <si>
    <t>Pengadaan Kendaraan Operasional Roda Dua Penangung Jawab Poskesdes Sembuluh I</t>
  </si>
  <si>
    <t xml:space="preserve"> MH1JB8116DK908011</t>
  </si>
  <si>
    <t xml:space="preserve"> JB81E1904133</t>
  </si>
  <si>
    <t>KH4212PY</t>
  </si>
  <si>
    <t>K 08796089 M</t>
  </si>
  <si>
    <t>Pengadaan Kendaraan Operasional Roda Dua Penanggung Jawab Pustu Pembuang Hulu I</t>
  </si>
  <si>
    <t>KECAMATAN SERUYAN RAYA</t>
  </si>
  <si>
    <t xml:space="preserve"> MH1JB8112DK913853</t>
  </si>
  <si>
    <t xml:space="preserve"> JB81E1909845</t>
  </si>
  <si>
    <t>KH4192PY</t>
  </si>
  <si>
    <t>K 08796069 M</t>
  </si>
  <si>
    <t>Pengadaan Kendaraan Operasional Roda Dua Penanggung Jawab Poskesdes Mugi Panyuhu</t>
  </si>
  <si>
    <t xml:space="preserve"> MH1JB8118DK913856</t>
  </si>
  <si>
    <t xml:space="preserve"> JB81E1909846</t>
  </si>
  <si>
    <t>KH4246PY</t>
  </si>
  <si>
    <t>K 08796123 M</t>
  </si>
  <si>
    <t>Pengadaan Kendaraan Operasional Roda Dua Penanggung Jawab Poskesdes Tanjung Paring</t>
  </si>
  <si>
    <t xml:space="preserve"> MH1JB8118DK917308</t>
  </si>
  <si>
    <t xml:space="preserve"> JB81E1913477</t>
  </si>
  <si>
    <t>KH4251PY</t>
  </si>
  <si>
    <t>K 08796128 M</t>
  </si>
  <si>
    <t>Pengadaan Kendaraan Operasional Roda Dua Penanggung Jawab Pustu Tumbang Kubang</t>
  </si>
  <si>
    <t xml:space="preserve"> MH1KC5118DK017315</t>
  </si>
  <si>
    <t>KC51E1017314</t>
  </si>
  <si>
    <t>KH4238PY</t>
  </si>
  <si>
    <t>K 08796115 M</t>
  </si>
  <si>
    <t>Pengadaan Kendaraan Operasional Roda Dua Program Imunisasi PKM Tumbang Manjul</t>
  </si>
  <si>
    <t>KECAMATAN DANAU SELULUK</t>
  </si>
  <si>
    <t> MH1KB2110KK085428</t>
  </si>
  <si>
    <t>KB21E1083520</t>
  </si>
  <si>
    <t>000008</t>
  </si>
  <si>
    <t>Suzuki FD 110 X / Suzuki FD 110 X</t>
  </si>
  <si>
    <t>MHS8FD110C61593381</t>
  </si>
  <si>
    <t>E405-ID-593831</t>
  </si>
  <si>
    <t>KH 2138 PY</t>
  </si>
  <si>
    <t>D 9837382 M</t>
  </si>
  <si>
    <t>Partini/ Puskesmas Kuala Pembuang I</t>
  </si>
  <si>
    <t>MH1HB32187K332801</t>
  </si>
  <si>
    <t>HB32E-1326765</t>
  </si>
  <si>
    <t>KH 2245 PY</t>
  </si>
  <si>
    <t>Iis Silvia/Puskesmas Telaga Pulang</t>
  </si>
  <si>
    <t>MHIHB32187K337982</t>
  </si>
  <si>
    <t>HB32E-1331436</t>
  </si>
  <si>
    <t>KH 2251 PY</t>
  </si>
  <si>
    <t>E 7693851 M</t>
  </si>
  <si>
    <t>Permadi/Puskesmas Rantau Pulut II</t>
  </si>
  <si>
    <t>MH1JBC127AK196003</t>
  </si>
  <si>
    <t>JBC1E-2188771</t>
  </si>
  <si>
    <t>KECAMATAN SERUYAN HILIR TIMUR</t>
  </si>
  <si>
    <t>KH4037PY</t>
  </si>
  <si>
    <t>I 00186025 M</t>
  </si>
  <si>
    <t>Sri Kurnia Ningsih/PKM Danau Sembuluh</t>
  </si>
  <si>
    <t xml:space="preserve"> MH1JB8114DK907441</t>
  </si>
  <si>
    <t xml:space="preserve"> JB81E1903470</t>
  </si>
  <si>
    <t>KH4249PY</t>
  </si>
  <si>
    <t>K 08796126 M</t>
  </si>
  <si>
    <t>Pengadaan Kendaraan Operasional Roda Dua Penanggung Jawab Pustu Kartika Bhakti</t>
  </si>
  <si>
    <t xml:space="preserve"> MH1JB8113DK917345</t>
  </si>
  <si>
    <t xml:space="preserve"> JB81E1913401</t>
  </si>
  <si>
    <t>KH4215PY</t>
  </si>
  <si>
    <t>K 08796092 M</t>
  </si>
  <si>
    <t>Pengadaan Kendaraan Operasional Roda Dua Pemegang Program Gizi Puskesmas Terawan</t>
  </si>
  <si>
    <t xml:space="preserve"> MH1JB8111DK912063</t>
  </si>
  <si>
    <t xml:space="preserve"> JB81E1908171</t>
  </si>
  <si>
    <t>KH4213PY</t>
  </si>
  <si>
    <t>K 08796090 M</t>
  </si>
  <si>
    <t>Pengadaan Kendaraan Operasional Roda Dua Penanggung Jawab Pustu Pembuang Hulu II</t>
  </si>
  <si>
    <t xml:space="preserve"> MH1JB811XDK912014</t>
  </si>
  <si>
    <t xml:space="preserve"> JB81E1908220</t>
  </si>
  <si>
    <t>KH4225PY</t>
  </si>
  <si>
    <t>K 08796102 M</t>
  </si>
  <si>
    <t>KECAMATAN SULING TAMBUN</t>
  </si>
  <si>
    <t>Pengadaan Kendaraan Operasional Roda Dua Penanggung Petugas Pustu Ayawan</t>
  </si>
  <si>
    <t xml:space="preserve"> MH1KC5111DK018337</t>
  </si>
  <si>
    <t>KC51E1018363</t>
  </si>
  <si>
    <t>KH4232PY</t>
  </si>
  <si>
    <t>K 08796109 M</t>
  </si>
  <si>
    <t>Pengadaan Kendaraan Operasional Roda Dua Pemegang Program TB Paru PKM Asam Baru</t>
  </si>
  <si>
    <t xml:space="preserve"> MH1JB8111DK917313</t>
  </si>
  <si>
    <t xml:space="preserve"> JB81E1913441</t>
  </si>
  <si>
    <t>KH4218PY</t>
  </si>
  <si>
    <t>K 08796095 M</t>
  </si>
  <si>
    <t>Pengadaan Kendaraan Operasional Roda Dua Penanggung Jawab Pustu Tumbang Kalam</t>
  </si>
  <si>
    <t xml:space="preserve"> MH1JB8116DK917372</t>
  </si>
  <si>
    <t xml:space="preserve"> JB81E1913427</t>
  </si>
  <si>
    <t>KH4255PY</t>
  </si>
  <si>
    <t>K 08796132 M</t>
  </si>
  <si>
    <t>Pengadaan Kendaraan Operasional Roda Dua Penanggung Jawab Poskesdes Tumbang Magin</t>
  </si>
  <si>
    <t> MH1KB2218LK013571</t>
  </si>
  <si>
    <t>KB22E1013444</t>
  </si>
  <si>
    <t>KH 4929 PY</t>
  </si>
  <si>
    <t>Q08280982 M</t>
  </si>
  <si>
    <t>BADAN PENANGGULANGAN BENCANA DAERAH</t>
  </si>
  <si>
    <t>000009</t>
  </si>
  <si>
    <t>MHIHB32137K323035</t>
  </si>
  <si>
    <t>HB32E-1317433</t>
  </si>
  <si>
    <t>KH 2220 PY</t>
  </si>
  <si>
    <t>E 7693800 M</t>
  </si>
  <si>
    <t>Repida Tampubolon/Puskesmas Asam Baru</t>
  </si>
  <si>
    <t>MHIHB32177K346429</t>
  </si>
  <si>
    <t>HB32E-1339488</t>
  </si>
  <si>
    <t>KH 2253 PY</t>
  </si>
  <si>
    <t>E 7693842 M</t>
  </si>
  <si>
    <t>Batik Solo/Puskesmas Rantau Pulut II</t>
  </si>
  <si>
    <t xml:space="preserve"> MH1JB8111DK913858</t>
  </si>
  <si>
    <t xml:space="preserve"> JB81E1909835</t>
  </si>
  <si>
    <t>KH4220PY</t>
  </si>
  <si>
    <t>K 08796097 M</t>
  </si>
  <si>
    <t>Pengadaan Kendaraan Operasional Roda Dua Penanggung Jawab Pustu Mekar Indah</t>
  </si>
  <si>
    <t xml:space="preserve"> MH1JB8118DK912027</t>
  </si>
  <si>
    <t xml:space="preserve"> JB81E1908287</t>
  </si>
  <si>
    <t>KH4226PY</t>
  </si>
  <si>
    <t>K 08796103 M</t>
  </si>
  <si>
    <t>Pengadaan Kendaraan Operasional Roda Dua Penanggung Jawab Program UKGS Puskesmas Pembuang Hulu</t>
  </si>
  <si>
    <t>DAMKAR</t>
  </si>
  <si>
    <t xml:space="preserve"> MH1JB8114DK917306</t>
  </si>
  <si>
    <t xml:space="preserve"> JB81E1913396</t>
  </si>
  <si>
    <t>KH4247PY</t>
  </si>
  <si>
    <t>K 08796124 M</t>
  </si>
  <si>
    <t>Pengadaan Kendaraan Operasional Roda Dua Penanggung Jawab Pustu Selunuk</t>
  </si>
  <si>
    <t xml:space="preserve"> MH1JB8112DK913805</t>
  </si>
  <si>
    <t xml:space="preserve"> JB81E1909840</t>
  </si>
  <si>
    <t>KH4236PY</t>
  </si>
  <si>
    <t>K 08796113 M</t>
  </si>
  <si>
    <t>Pengadaan Kendaraan Operasional Roda Dua Program Kesling PKM Danau Sembuluh</t>
  </si>
  <si>
    <t xml:space="preserve"> MH1JB8119DK908830</t>
  </si>
  <si>
    <t xml:space="preserve"> JB81E1905045</t>
  </si>
  <si>
    <t>KH4195PY</t>
  </si>
  <si>
    <t>K O8796072 M</t>
  </si>
  <si>
    <t>Pengadaan Kendaraan Operasional Roda Dua  Penanggung Jawab Program PTM Rantau Pulut I</t>
  </si>
  <si>
    <t xml:space="preserve"> MH1KC5115DK016509</t>
  </si>
  <si>
    <t>KC51E1016593</t>
  </si>
  <si>
    <t>KH4231PY</t>
  </si>
  <si>
    <t>K 08796108 M</t>
  </si>
  <si>
    <t>Pengadaan Kendaraan Operasional Roda Dua Program Imunisasi PKM Tumbang Langkai</t>
  </si>
  <si>
    <t xml:space="preserve"> MH1JB8111DK917358</t>
  </si>
  <si>
    <t xml:space="preserve"> JB81E1913471</t>
  </si>
  <si>
    <t>KH4234PY</t>
  </si>
  <si>
    <t>K 08796111 M</t>
  </si>
  <si>
    <t>Pengadaan Kendaraan Operasional Roda Dua Penanggung Jawab Polindes Rantau Panjang</t>
  </si>
  <si>
    <t>PEMKAB SERUYAN</t>
  </si>
  <si>
    <t>Honda / CBX 150 SE</t>
  </si>
  <si>
    <t>Besi/Otomotif</t>
  </si>
  <si>
    <t>MH1KCE11XNK012845</t>
  </si>
  <si>
    <t>KCE1E1012824</t>
  </si>
  <si>
    <t>KH 5185 PY</t>
  </si>
  <si>
    <t>S 072139966 M</t>
  </si>
  <si>
    <t>Belanja Modal Kendaraan Bermotor Beroda Dua, Sepeda Motor Pusling (Penguatan Sistem Kesehatan) E- Catalog (Puskesmas Telaga Pulang)</t>
  </si>
  <si>
    <t>MH1KEVA182K084424</t>
  </si>
  <si>
    <t>KEVAE-1085172</t>
  </si>
  <si>
    <t>KH2527PY</t>
  </si>
  <si>
    <t>NELWATI, A.Md. Keb Puskesmas Danau Sembuluh</t>
  </si>
  <si>
    <t>Honda NF 100D / Honda NF 100D</t>
  </si>
  <si>
    <t>MH1KEVA103K570422</t>
  </si>
  <si>
    <t>KEVAE1565237</t>
  </si>
  <si>
    <t>KH 2549 PY</t>
  </si>
  <si>
    <t>C 8232526 M</t>
  </si>
  <si>
    <t>Hadi Santoso Dinas Kesehatan
 (KH 2549 PY Ex KH 3027 PM)</t>
  </si>
  <si>
    <t>MHIHB32117K329822</t>
  </si>
  <si>
    <t>HB32E-1323685</t>
  </si>
  <si>
    <t>KH 2231PY</t>
  </si>
  <si>
    <t>E 7693814 M</t>
  </si>
  <si>
    <t>Rabiatul Qamariah/Puskesmas Asam Baru</t>
  </si>
  <si>
    <t>MH1JBC12XAK178949</t>
  </si>
  <si>
    <t>JBC1E-2177894</t>
  </si>
  <si>
    <t>KH4027PY</t>
  </si>
  <si>
    <t>I 00186015 M</t>
  </si>
  <si>
    <t>Tumbang Langkai</t>
  </si>
  <si>
    <t xml:space="preserve"> MH1JB8118DK909063</t>
  </si>
  <si>
    <t xml:space="preserve"> JB81E1905356</t>
  </si>
  <si>
    <t>KH4235PY</t>
  </si>
  <si>
    <t>K 08796112 M</t>
  </si>
  <si>
    <t>Pengadaan Kendaraan Operasional Roda Dua (dr. YULITA HANDAYANI) dr. Puskesmas Kuala Pembuang II</t>
  </si>
  <si>
    <t xml:space="preserve"> MH1JB8116DK907196</t>
  </si>
  <si>
    <t xml:space="preserve"> JB81E1903144</t>
  </si>
  <si>
    <t>KH4223PY</t>
  </si>
  <si>
    <t>K 08796100 M</t>
  </si>
  <si>
    <t>Pengadaan Kendaraan Operasional Roda Dua Penanggung Jawab Pustu Lanpasa</t>
  </si>
  <si>
    <t xml:space="preserve"> MH1JB8112DK909351</t>
  </si>
  <si>
    <t xml:space="preserve"> JB81E1905621</t>
  </si>
  <si>
    <t>KH4250PY</t>
  </si>
  <si>
    <t>K 08796127 M</t>
  </si>
  <si>
    <t>Pengadaan Kendaraan Operasional Roda Dua Penanggung Jawab Pustu Parang Batang</t>
  </si>
  <si>
    <t xml:space="preserve"> MH1JB811XDK912076</t>
  </si>
  <si>
    <t xml:space="preserve"> JB81E1908137</t>
  </si>
  <si>
    <t>KH4197PY</t>
  </si>
  <si>
    <t>K 08796074 M</t>
  </si>
  <si>
    <t>Pengadaan Kendaraan Operasional Roda Dua  Penanggung Jawab Pustu Pangke</t>
  </si>
  <si>
    <t xml:space="preserve"> MH1JB8116DK913855</t>
  </si>
  <si>
    <t xml:space="preserve"> JB81E1909831</t>
  </si>
  <si>
    <t>KH4200PY</t>
  </si>
  <si>
    <t>K 08796077 M</t>
  </si>
  <si>
    <t>Pengadaan Kendaraan Operasional Roda Dua Penanggung Jawab Pustu Tumbang Darap</t>
  </si>
  <si>
    <t>MH1KEVA184K750796</t>
  </si>
  <si>
    <t>KEVAE5750609</t>
  </si>
  <si>
    <t>KH 3069 PM</t>
  </si>
  <si>
    <t>D 0073552 M</t>
  </si>
  <si>
    <t>Sutrismo Suryanata/PKM Danau Sembuluh</t>
  </si>
  <si>
    <t>Suzuki Smash FD FD110X / Suzuki Smash FD FD110X</t>
  </si>
  <si>
    <t>MH8FD110CGJ596898</t>
  </si>
  <si>
    <t>E405-ID597766</t>
  </si>
  <si>
    <t>KH 2115 PY</t>
  </si>
  <si>
    <t>D 9837374 M</t>
  </si>
  <si>
    <t>AGUS SUSANTO, SE/ Dinas Kesehatan</t>
  </si>
  <si>
    <t>MHIHB32117K329836</t>
  </si>
  <si>
    <t>HB32E-1323853</t>
  </si>
  <si>
    <t>KH 2222 PY</t>
  </si>
  <si>
    <t>E 7693805 M</t>
  </si>
  <si>
    <t>Fitriani /Puskesmas Asam Baru</t>
  </si>
  <si>
    <t xml:space="preserve"> MH1JB8118DK913808</t>
  </si>
  <si>
    <t xml:space="preserve"> JB81E1909839</t>
  </si>
  <si>
    <t>KH4221PY</t>
  </si>
  <si>
    <t>K 08796098 M</t>
  </si>
  <si>
    <t>Pengadaan Kendaraan Operasional Roda Dua Penanggung Jawab Pustu Tanggul Harapan</t>
  </si>
  <si>
    <t xml:space="preserve"> MH1JB8111DK907929</t>
  </si>
  <si>
    <t xml:space="preserve"> JB81E1904079</t>
  </si>
  <si>
    <t>KH4198PY</t>
  </si>
  <si>
    <t>K 08796075 M</t>
  </si>
  <si>
    <t>Pengadaan Kendaraan Operasional Roda Dua Bidan Kordinator Puskesmas Terawan</t>
  </si>
  <si>
    <t xml:space="preserve"> MH1JB8110DK909025</t>
  </si>
  <si>
    <t xml:space="preserve"> JB81E1905173</t>
  </si>
  <si>
    <t>KH4217PY</t>
  </si>
  <si>
    <t>K 08796094 M</t>
  </si>
  <si>
    <t>Pengadaan Kendaraan Operasional Roda Dua Penanggung Jawab Poskesdes Paring Raya</t>
  </si>
  <si>
    <t xml:space="preserve"> MH1JB8111DK912077</t>
  </si>
  <si>
    <t xml:space="preserve"> JB81E1908112</t>
  </si>
  <si>
    <t>KH4244PY</t>
  </si>
  <si>
    <t>K 08796121 M</t>
  </si>
  <si>
    <t>Pengadaan Kendaraan Operasional Roda Dua Penanggung Jawab Poskesdes Durian Tunggal</t>
  </si>
  <si>
    <t xml:space="preserve"> MH1JB8117DK908969</t>
  </si>
  <si>
    <t xml:space="preserve"> JB81E1904967</t>
  </si>
  <si>
    <t>KH4194PY</t>
  </si>
  <si>
    <t>K 08796071 M</t>
  </si>
  <si>
    <t>Pengadaan Kendaraan Operasional Roda Dua Penanggung Jawab Pustu Bumi Jaya</t>
  </si>
  <si>
    <t xml:space="preserve"> MH1JB8117DK909071</t>
  </si>
  <si>
    <t xml:space="preserve"> JB81E1905342</t>
  </si>
  <si>
    <t>KH4216PY</t>
  </si>
  <si>
    <t>K 08796093 M</t>
  </si>
  <si>
    <t>Pengadaan Kendaraan Operasional Roda Dua Penanggung Jawab Pustu Riam Batang</t>
  </si>
  <si>
    <t>MH1HB31166K185653</t>
  </si>
  <si>
    <t>HB31E-1183166</t>
  </si>
  <si>
    <t>KH 2143 PY</t>
  </si>
  <si>
    <t>D 1306199 M</t>
  </si>
  <si>
    <t>Iskandar/ Yankes</t>
  </si>
  <si>
    <t>MH34D72038J160245</t>
  </si>
  <si>
    <t>4D7-1160259</t>
  </si>
  <si>
    <t>KH2603PY</t>
  </si>
  <si>
    <t>1327463M</t>
  </si>
  <si>
    <t>PKM Asam Baru/ Sri Wahyu Ningsih</t>
  </si>
  <si>
    <t>MH1JBC125AK121347</t>
  </si>
  <si>
    <t>JBC1E-2121523</t>
  </si>
  <si>
    <t>KH4036PY</t>
  </si>
  <si>
    <t>I 00186024 M</t>
  </si>
  <si>
    <t>dr. Gilda Sylva PKM Tumbang Manjul</t>
  </si>
  <si>
    <t xml:space="preserve"> MH1JB8114DK913854</t>
  </si>
  <si>
    <t xml:space="preserve"> JB81E1909842</t>
  </si>
  <si>
    <t>KH4214PY</t>
  </si>
  <si>
    <t>K 08796091 M</t>
  </si>
  <si>
    <t>Pengadaan Kendaraan Operasional Roda Dua Penanggung Jawab Polindes Parang Batang</t>
  </si>
  <si>
    <t xml:space="preserve"> MH1JB8116DK917307</t>
  </si>
  <si>
    <t xml:space="preserve"> JB81E1913481</t>
  </si>
  <si>
    <t>KH4219PY</t>
  </si>
  <si>
    <t>K 08796096 M</t>
  </si>
  <si>
    <t>Pengadaan Kendaraan Operasional Roda Dua Penanggung Jawab Pustu Panca Jaya</t>
  </si>
  <si>
    <t xml:space="preserve"> MH1JB8110DK913804</t>
  </si>
  <si>
    <t xml:space="preserve"> JB81E1909838</t>
  </si>
  <si>
    <t>KH4245PY</t>
  </si>
  <si>
    <t>K 08796122 M</t>
  </si>
  <si>
    <t>Pengadaan Kendaraan Operasional Roda Dua Penangung Jawab Poskesdes Ayawan</t>
  </si>
  <si>
    <t>MH1HB31136K175310</t>
  </si>
  <si>
    <t>HB31E1173302</t>
  </si>
  <si>
    <t>KH 2141 PY</t>
  </si>
  <si>
    <t>E 1306198 M</t>
  </si>
  <si>
    <t>Iskandar/PKM K. Pembuang II</t>
  </si>
  <si>
    <t>MHIHB32177K280707</t>
  </si>
  <si>
    <t>HB32E-1270545</t>
  </si>
  <si>
    <t>KH 2221 PY</t>
  </si>
  <si>
    <t>E 7693816 M</t>
  </si>
  <si>
    <t>Supiyansyah/Puskesmas Asam Baru</t>
  </si>
  <si>
    <t>MHIHB32137K280718</t>
  </si>
  <si>
    <t>HB32E-1274640</t>
  </si>
  <si>
    <t>KH 2232 PY</t>
  </si>
  <si>
    <t>E 7693815 M</t>
  </si>
  <si>
    <t>dr. Gilda Sylva/Puskesmas Tumbang Manjul</t>
  </si>
  <si>
    <t xml:space="preserve"> MH1KC5115DK018048</t>
  </si>
  <si>
    <t>KC51E1018041</t>
  </si>
  <si>
    <t>KH4229PY</t>
  </si>
  <si>
    <t>K 08796106 M</t>
  </si>
  <si>
    <t>Pengadaan Kendaraan Operasional Roda Dua Pemegang Program Imunisasi PKM Hanau</t>
  </si>
  <si>
    <t xml:space="preserve"> MH1JB8119DK912070</t>
  </si>
  <si>
    <t xml:space="preserve"> JB81E1908203</t>
  </si>
  <si>
    <t>KH4199PY</t>
  </si>
  <si>
    <t>K 08796076 M</t>
  </si>
  <si>
    <t>Pengadaan Kendaraan Operasional Roda Dua Penanggung Jawab Polindes Sukamandang</t>
  </si>
  <si>
    <t>MH1JB8116DK912799</t>
  </si>
  <si>
    <t>JB81E1908614</t>
  </si>
  <si>
    <t>KH4233PY</t>
  </si>
  <si>
    <t>K 08796110 M</t>
  </si>
  <si>
    <t>Pengadaan Kendaraan Operasional Roda Dua Penanggung Jawab Pustu Suka Mulya</t>
  </si>
  <si>
    <t>HONDA Y1G02N15L0 A/T CBS ISS- 2017 / HONDA Y1G02N15L0 A/T CBS ISS- 2017</t>
  </si>
  <si>
    <t>MH1JFT114HK086015</t>
  </si>
  <si>
    <t>JFT1E 1085610</t>
  </si>
  <si>
    <t>KH 4626 PY</t>
  </si>
  <si>
    <t>M 12805867 M</t>
  </si>
  <si>
    <t>DINKES</t>
  </si>
  <si>
    <t>MH8FD1100C6J596929</t>
  </si>
  <si>
    <t>E405ID596756</t>
  </si>
  <si>
    <t>KH 2095 PY</t>
  </si>
  <si>
    <t>D 9837396 M</t>
  </si>
  <si>
    <t>Kaspianur/PKM K. Pembuang II</t>
  </si>
  <si>
    <t>YAMAHA RXKing / YAMAHA RXKing</t>
  </si>
  <si>
    <t>135</t>
  </si>
  <si>
    <t>MH33KA0156KB07624</t>
  </si>
  <si>
    <t>3KA781700</t>
  </si>
  <si>
    <t>KH 2073 PY</t>
  </si>
  <si>
    <t>D 9294115 M</t>
  </si>
  <si>
    <t>Puskesmas Rantau Pulut II</t>
  </si>
  <si>
    <t>MH8EN125A73419951</t>
  </si>
  <si>
    <t>F405-ID-418518</t>
  </si>
  <si>
    <t>KH 2199 PY</t>
  </si>
  <si>
    <t>E 7693778 M</t>
  </si>
  <si>
    <t>Fendi Harahap/Puskesmas Tumbang Manjul</t>
  </si>
  <si>
    <t>MH1JBC127AK178925</t>
  </si>
  <si>
    <t>JBC1E-2177882</t>
  </si>
  <si>
    <t>KH4028PY</t>
  </si>
  <si>
    <t>I 00186016 M</t>
  </si>
  <si>
    <t>Siti Balna/PKM Pembuang Hulu</t>
  </si>
  <si>
    <t xml:space="preserve"> MH1JB8112DK917319</t>
  </si>
  <si>
    <t xml:space="preserve"> JB81E1913315</t>
  </si>
  <si>
    <t>KH4240PY</t>
  </si>
  <si>
    <t>K 08796117 M</t>
  </si>
  <si>
    <t>Pengadaan Kendaraan Operasional Roda Dua Penanggung Jawab Poskesdes Gantung Pengayuh</t>
  </si>
  <si>
    <t>Honda / CBX 150 STD</t>
  </si>
  <si>
    <t>Besi/ outomotif</t>
  </si>
  <si>
    <t>MH1KCE114NK011965</t>
  </si>
  <si>
    <t>KCE1E1011995</t>
  </si>
  <si>
    <t>KH 5186 PY</t>
  </si>
  <si>
    <t>S 07213997 M</t>
  </si>
  <si>
    <t>Belanja Modal Kendaraan Bermotor Beroda Dua, Sepeda Motor Pusling (Penguatan Sistem Kesehatan) E- Catalog (Puskesmas Asam Baru)</t>
  </si>
  <si>
    <t>MH8FD1100C6J596940</t>
  </si>
  <si>
    <t>E405ID59116</t>
  </si>
  <si>
    <t>KH 2096 PY</t>
  </si>
  <si>
    <t>D 9837385 M</t>
  </si>
  <si>
    <t>Qwartati R/PKM K. Pembuang II</t>
  </si>
  <si>
    <t>MH8FD125X6J745877</t>
  </si>
  <si>
    <t>F403ID745705</t>
  </si>
  <si>
    <t>KH 2091 PY</t>
  </si>
  <si>
    <t>D 89837372 M</t>
  </si>
  <si>
    <t>Dini Rabawan/ Dinas Kesehatan</t>
  </si>
  <si>
    <t>Suzuki Thunder 125 / Suzuki Thunder 125</t>
  </si>
  <si>
    <t>MH8EIV125A6J239846</t>
  </si>
  <si>
    <t>F405-10239492</t>
  </si>
  <si>
    <t>KH 2084 PY</t>
  </si>
  <si>
    <t>D 9837358 M</t>
  </si>
  <si>
    <t>Nur Surya/Puskwsmas Rantau Pulut II</t>
  </si>
  <si>
    <t>MHIHB32167K295490</t>
  </si>
  <si>
    <t>HB32E-1326771</t>
  </si>
  <si>
    <t>KH 2211 PY</t>
  </si>
  <si>
    <t>E 7693804 M</t>
  </si>
  <si>
    <t>Mulyadi/ STNK Hilang/PKM Pembuang Hulu</t>
  </si>
  <si>
    <t xml:space="preserve"> MH1JB8113DK913859</t>
  </si>
  <si>
    <t xml:space="preserve"> JB81E1909824</t>
  </si>
  <si>
    <t>KH4243PY</t>
  </si>
  <si>
    <t>K 08796120 M</t>
  </si>
  <si>
    <t>Pengadaan Kendaraan Operasional Roda Dua Penanggung Jawab Pustu Bukit Tahinting</t>
  </si>
  <si>
    <t>Yamaha T105ERD / Yamaha T105ERD</t>
  </si>
  <si>
    <t>102 CC</t>
  </si>
  <si>
    <t>MH34ST2106K062381</t>
  </si>
  <si>
    <t>4ST-1420932</t>
  </si>
  <si>
    <t>KH2075PY</t>
  </si>
  <si>
    <t>D9294117M</t>
  </si>
  <si>
    <t>Zauhari Rachman, Dinkes</t>
  </si>
  <si>
    <t>MHIHB32117K281550</t>
  </si>
  <si>
    <t>HB32E-1275045</t>
  </si>
  <si>
    <t>KH 2214 PY</t>
  </si>
  <si>
    <t>E 7693864 M</t>
  </si>
  <si>
    <t>Khairol/PKM Pembuang Hulu</t>
  </si>
  <si>
    <t xml:space="preserve"> MH1JB8112DK917269</t>
  </si>
  <si>
    <t xml:space="preserve"> JB81E1913434</t>
  </si>
  <si>
    <t>KH4228PY</t>
  </si>
  <si>
    <t>K 08796105 M</t>
  </si>
  <si>
    <t>Pengadaan Kendaraan Operasional Roda Dua Penanggung Jawab Poskesdes Teluk Bayur</t>
  </si>
  <si>
    <t>Honda NF100SLD / Honda NF100SLD</t>
  </si>
  <si>
    <t>MH1HB41176K772594</t>
  </si>
  <si>
    <t>HB41E-1768832</t>
  </si>
  <si>
    <t>KH2168PY</t>
  </si>
  <si>
    <t>E8567072M</t>
  </si>
  <si>
    <t>PKM K. Pembuang II/Mukhlis Santoso</t>
  </si>
  <si>
    <t>Honda Supra Fit NF 100 SL / Honda Supra Fit NF 100 SL</t>
  </si>
  <si>
    <t>MH1HB31116K168131</t>
  </si>
  <si>
    <t>HB31E-1170368</t>
  </si>
  <si>
    <t>KH 2145 PY</t>
  </si>
  <si>
    <t>E 1306201 M</t>
  </si>
  <si>
    <t>Yuliana/PKM Rantau Pulut II</t>
  </si>
  <si>
    <t>MHIHB32117K326885</t>
  </si>
  <si>
    <t>HB32E-1318948</t>
  </si>
  <si>
    <t>KH 2210 PY</t>
  </si>
  <si>
    <t>E 7693810 M</t>
  </si>
  <si>
    <t>dr. Nani Haryanti Samsi/PKM Pembuang Hulu</t>
  </si>
  <si>
    <t xml:space="preserve"> MH1KC5116DK017040</t>
  </si>
  <si>
    <t>KC51E1016795</t>
  </si>
  <si>
    <t>KH4237PY</t>
  </si>
  <si>
    <t>K 08796114 M</t>
  </si>
  <si>
    <t>Pengadaan Kendaraan Operasional Roda Dua Pemegang Program DBD Rantau Pulut I</t>
  </si>
  <si>
    <t>Suzuki FD110XD / Suzuki FD110XD</t>
  </si>
  <si>
    <t>MH8FD110C6J596886</t>
  </si>
  <si>
    <t>E405-ID-597053</t>
  </si>
  <si>
    <t>KH2103PY</t>
  </si>
  <si>
    <t>9837392M</t>
  </si>
  <si>
    <t>RAHMAD FAHRI, A.Md. KL, Dinas Kesehatan</t>
  </si>
  <si>
    <t>MH1HB31166K175074</t>
  </si>
  <si>
    <t>HB31E-1171481</t>
  </si>
  <si>
    <t>KH 2144 PY</t>
  </si>
  <si>
    <t>D 1306200 M</t>
  </si>
  <si>
    <t>Jumaili/PKM Rantau Pulut I</t>
  </si>
  <si>
    <t>MH8EN125A6J232036</t>
  </si>
  <si>
    <t>F405-ID-23234</t>
  </si>
  <si>
    <t>KH2081PY</t>
  </si>
  <si>
    <t>983761M</t>
  </si>
  <si>
    <t>JULI WAHYU TRIONO, A. Md. Kep, PKM Rantau Pulut II</t>
  </si>
  <si>
    <t>MHIHB32117K333554</t>
  </si>
  <si>
    <t>HB32E-1326996</t>
  </si>
  <si>
    <t>KH 2216 PY</t>
  </si>
  <si>
    <t>E 7693811 M</t>
  </si>
  <si>
    <t>Muryono/PKM Pembuang Hulu</t>
  </si>
  <si>
    <t>000019</t>
  </si>
  <si>
    <t>Suzuki Smash FD  FD110X / Suzuki Smash FD  FD110X</t>
  </si>
  <si>
    <t>MH8FD110C6J596880</t>
  </si>
  <si>
    <t>E405-ID-597012</t>
  </si>
  <si>
    <t>KH 2112 PY</t>
  </si>
  <si>
    <t>D 9837378 M</t>
  </si>
  <si>
    <t>Yeyenti/PKM Rantau Pulut I</t>
  </si>
  <si>
    <t>MHIHB32117K317920</t>
  </si>
  <si>
    <t>HB32E-1310256</t>
  </si>
  <si>
    <t>KH 2243 PY</t>
  </si>
  <si>
    <t>E 7693860 M</t>
  </si>
  <si>
    <t>Dini Rabawan/ PKM Kuala Pembuang II</t>
  </si>
  <si>
    <t>MH8FDII006J596862</t>
  </si>
  <si>
    <t>E405ID596861</t>
  </si>
  <si>
    <t>KH 2113 PY</t>
  </si>
  <si>
    <t>D 9837379 M</t>
  </si>
  <si>
    <t>Mulyadi/PKM Rantau Pulut I</t>
  </si>
  <si>
    <t>MH34D72038J160246</t>
  </si>
  <si>
    <t>4D7-1160249</t>
  </si>
  <si>
    <t>KH2600PY</t>
  </si>
  <si>
    <t>PKM Pembuang Hulu/Yuni Puji astuti</t>
  </si>
  <si>
    <t>New Vario 150-vin 2019 / New Vario 150-vin 2019</t>
  </si>
  <si>
    <t> MH1KF4129LK014190</t>
  </si>
  <si>
    <t>KF41E2018210</t>
  </si>
  <si>
    <t>KH 4924 PY</t>
  </si>
  <si>
    <t>Q08278769 M</t>
  </si>
  <si>
    <t>MHIHB32107K241408</t>
  </si>
  <si>
    <t>HB32E-1232058</t>
  </si>
  <si>
    <t>KH 2225 PY</t>
  </si>
  <si>
    <t>E 7693808 M</t>
  </si>
  <si>
    <t>Norma Sari/Puskesmas Rantau Pulut I</t>
  </si>
  <si>
    <t>MH34D72038J160241</t>
  </si>
  <si>
    <t>4D7-1160217</t>
  </si>
  <si>
    <t>KH2602PY</t>
  </si>
  <si>
    <t>1327462M</t>
  </si>
  <si>
    <t>PKM Pembuang Hulu/Sri Kusmiati</t>
  </si>
  <si>
    <t xml:space="preserve"> MH1JB8116DK917310</t>
  </si>
  <si>
    <t xml:space="preserve"> JB81E1913487</t>
  </si>
  <si>
    <t>KH4254PY</t>
  </si>
  <si>
    <t>K 08796131 M</t>
  </si>
  <si>
    <t>Pengadaan Kendaraan Operasional Roda Dua Penanggung Pustu Suka Jaya</t>
  </si>
  <si>
    <t> MH1KF4121LK014189</t>
  </si>
  <si>
    <t>KF41E2018211</t>
  </si>
  <si>
    <t>KH 4925 PY</t>
  </si>
  <si>
    <t>Q08278770 M</t>
  </si>
  <si>
    <t xml:space="preserve"> MH1KC5110DK017521</t>
  </si>
  <si>
    <t>KC51E1017557</t>
  </si>
  <si>
    <t>KH4230PY</t>
  </si>
  <si>
    <t>K 08796107 M</t>
  </si>
  <si>
    <t>Pengadaan Kendaraan Operasional Roda Dua Pemegang Program Imunisasi Rantau Pulut II</t>
  </si>
  <si>
    <t> MH1KF4123LK046973</t>
  </si>
  <si>
    <t>KF41E2051091</t>
  </si>
  <si>
    <t>KH 4960 PY</t>
  </si>
  <si>
    <t>Q08299376 M</t>
  </si>
  <si>
    <t>MH1KEVA193K569348</t>
  </si>
  <si>
    <t>KEVAE1567423</t>
  </si>
  <si>
    <t>KH 3026 PM</t>
  </si>
  <si>
    <t>Hadi Santoso</t>
  </si>
  <si>
    <t>Honda NF 125D / Honda NF 125D</t>
  </si>
  <si>
    <t>MH1JB21103K292561</t>
  </si>
  <si>
    <t>JBZIE12888230</t>
  </si>
  <si>
    <t>KH 3028 PM</t>
  </si>
  <si>
    <t>C 8232527 M</t>
  </si>
  <si>
    <t>Kasmiati</t>
  </si>
  <si>
    <t>MHIHB321176K032178</t>
  </si>
  <si>
    <t>HB32E-1043426</t>
  </si>
  <si>
    <t>7693857M</t>
  </si>
  <si>
    <t>Adelina Kamila PKM Terawan/ Dobel catat</t>
  </si>
  <si>
    <t>Honda Supra X 125 FI CW-2016 / Honda Supra X 125 FI CW-2016</t>
  </si>
  <si>
    <t>MH1JBP115GK402670</t>
  </si>
  <si>
    <t>JBP1E1398959</t>
  </si>
  <si>
    <t>KH4480PY</t>
  </si>
  <si>
    <t>L097317125M</t>
  </si>
  <si>
    <t>Belanja Pengadaan Sepeda Motor Roda 2 Biasa Operasional Puskesmas (Puskesmas Kuala Pembuang I)</t>
  </si>
  <si>
    <t>MH1JBP110GK396468</t>
  </si>
  <si>
    <t>JBP1E1393975</t>
  </si>
  <si>
    <t>KH4465PY</t>
  </si>
  <si>
    <t>L09728678M</t>
  </si>
  <si>
    <t>Belanja Pengadaan Sepeda Motor Roda 2 Biasa Operasional Puskesmas (Puskesmas Terawan)</t>
  </si>
  <si>
    <t>MH1JBP11XGK402454</t>
  </si>
  <si>
    <t>JBP1E1395569</t>
  </si>
  <si>
    <t>KH4482PY</t>
  </si>
  <si>
    <t>L09731727M</t>
  </si>
  <si>
    <t>Belanja Pengadaan Sepeda Motor Roda 2 Biasa Operasional Puskesmas (Puskesmas Danau Sembuluh)</t>
  </si>
  <si>
    <t>MH1KC5215FK249436</t>
  </si>
  <si>
    <t>KC52E1247166</t>
  </si>
  <si>
    <t>KH 4345 PY</t>
  </si>
  <si>
    <t>L 06930514 M</t>
  </si>
  <si>
    <t>PENGURUS BARANG (DINKES)</t>
  </si>
  <si>
    <t>MH1JBP116GK368321</t>
  </si>
  <si>
    <t>KH4466PY</t>
  </si>
  <si>
    <t>L09728679M</t>
  </si>
  <si>
    <t>Belanja Pengadaan Sepeda Motor Roda 2 Biasa Operasional Puskesmas (Puskesmas Sandul)</t>
  </si>
  <si>
    <t>MH1JBP119FK356307</t>
  </si>
  <si>
    <t>JBP1E1356045</t>
  </si>
  <si>
    <t>KH4478PY</t>
  </si>
  <si>
    <t>L09728744M</t>
  </si>
  <si>
    <t>Belanja Pengadaan Sepeda Motor Roda 2 Biasa Operasional Puskesmas (Puskesmas Rantau Pulut II)</t>
  </si>
  <si>
    <t>MH1JBP117GK368778</t>
  </si>
  <si>
    <t>JBP1E1395646</t>
  </si>
  <si>
    <t>KH4476PY</t>
  </si>
  <si>
    <t>L09728746M</t>
  </si>
  <si>
    <t>Belanja Pengadaan Sepeda Motor Roda 2 Biasa Operasional Puskesmas (Puskesmas Telaga Pulang)</t>
  </si>
  <si>
    <t>MH1JBP118GK368322</t>
  </si>
  <si>
    <t>JBP1E1395595</t>
  </si>
  <si>
    <t>KH4467PY</t>
  </si>
  <si>
    <t>L09728680M</t>
  </si>
  <si>
    <t>Belanja Pengadaan Sepeda Motor Roda 2 Biasa Operasional Puskesmas (Puskesmas Pembuang Hulu)</t>
  </si>
  <si>
    <t>MH1JBP112GK396553</t>
  </si>
  <si>
    <t>JBP1E1395151</t>
  </si>
  <si>
    <t>KH4469PY</t>
  </si>
  <si>
    <t>L09728682M</t>
  </si>
  <si>
    <t>Belanja Pengadaan Sepeda Motor Roda 2 Biasa Operasional Puskesmas (Puskesmas Tumbang Langkai)</t>
  </si>
  <si>
    <t>MH1JBP11XGK402115</t>
  </si>
  <si>
    <t>JBP1E1398617</t>
  </si>
  <si>
    <t>KH4479PY</t>
  </si>
  <si>
    <t>L09731724M</t>
  </si>
  <si>
    <t>Belanja Pengadaan Sepeda Motor Roda 2 Biasa Operasional Puskesmas (Puskesmas Kuala Pembuang II)</t>
  </si>
  <si>
    <t>MH1JBP116FK356040</t>
  </si>
  <si>
    <t>JBP1E1352947</t>
  </si>
  <si>
    <t>KH4477PY</t>
  </si>
  <si>
    <t>L09728745M</t>
  </si>
  <si>
    <t>Belanja Pengadaan Sepeda Motor Roda 2 Biasa Operasional Puskesmas (Puskesmas Rantau Pulut I)</t>
  </si>
  <si>
    <t>MH1JBP119GK402431</t>
  </si>
  <si>
    <t>JBP1E1400144</t>
  </si>
  <si>
    <t>KH4481PY</t>
  </si>
  <si>
    <t>L09731726M</t>
  </si>
  <si>
    <t>Belanja Pengadaan Sepeda Motor Roda 2 Biasa Operasional Puskesmas (Puskesmas Tumbang manjul )</t>
  </si>
  <si>
    <t>MH1JBP114GK398255</t>
  </si>
  <si>
    <t>JBP1E1395669</t>
  </si>
  <si>
    <t>KH4468PY</t>
  </si>
  <si>
    <t>L09728681M</t>
  </si>
  <si>
    <t>Belanja Pengadaan Sepeda Motor Roda 2 Biasa Operasional Puskesmas (Puskesmas Asam Baru)</t>
  </si>
  <si>
    <t>Honda Revo Spoke F1 / Honda Revo Spoke F1</t>
  </si>
  <si>
    <t>109,1</t>
  </si>
  <si>
    <t>Besi/ Otto</t>
  </si>
  <si>
    <t xml:space="preserve"> MH1JBK214EK054035</t>
  </si>
  <si>
    <t>JBK2E1054168</t>
  </si>
  <si>
    <t>KH4341PY</t>
  </si>
  <si>
    <t>L04362034M</t>
  </si>
  <si>
    <t>Pengadaan Kendaraan Operasional Roda Dua (dr. YULIANA) Kabid Yankes</t>
  </si>
  <si>
    <t>HONDA VERZA 150 CW / HONDA VERZA 150 CW</t>
  </si>
  <si>
    <t>149.2</t>
  </si>
  <si>
    <t>MH1KC5219EK198439</t>
  </si>
  <si>
    <t>KC52E1196839</t>
  </si>
  <si>
    <t>KH 4285 PY</t>
  </si>
  <si>
    <t>L 04353749 M</t>
  </si>
  <si>
    <t>HONDA BEAT  eSP POP CW-2015 / HONDA BEAT  eSP POP CW-2015</t>
  </si>
  <si>
    <t>MH1JFS118FK080774</t>
  </si>
  <si>
    <t>JFS1E1078825</t>
  </si>
  <si>
    <t>KH 4386 PY</t>
  </si>
  <si>
    <t>L 06931769 M</t>
  </si>
  <si>
    <t>PENYIMPAN BARANG (KESEHATAN)</t>
  </si>
  <si>
    <t> MH1KF4125LK046926</t>
  </si>
  <si>
    <t>KF41E2051041</t>
  </si>
  <si>
    <t>KH 4961 PY</t>
  </si>
  <si>
    <t>Q08299377 M</t>
  </si>
  <si>
    <t> MH1KF4125LK046795</t>
  </si>
  <si>
    <t>KF41E2050868</t>
  </si>
  <si>
    <t>KH 4959 PY</t>
  </si>
  <si>
    <t>Q08299375 M</t>
  </si>
  <si>
    <t>Puskesmas Rantau Pulut I, Puskesmas Rantau Pulut II, Puskesmas Tumbang Manjul, dan Puskesmas Tumbang langkai (DAK FISIK REGULER PELAYANAN KESEHATAN DASAR)</t>
  </si>
  <si>
    <t> MH1KF4125LK014199</t>
  </si>
  <si>
    <t>KF41E2017858</t>
  </si>
  <si>
    <t>KH 4918 PY</t>
  </si>
  <si>
    <t>Q08278564 M</t>
  </si>
  <si>
    <t> MH1KF4128LK014164</t>
  </si>
  <si>
    <t>KF41E2018280</t>
  </si>
  <si>
    <t>KH 4923 PY</t>
  </si>
  <si>
    <t>Q08278768 M</t>
  </si>
  <si>
    <t>MH1KF4128LK046970</t>
  </si>
  <si>
    <t>KF41E2051087</t>
  </si>
  <si>
    <t>KH 4953 PY</t>
  </si>
  <si>
    <t>Q08293195 M</t>
  </si>
  <si>
    <t>Pengadaan Kendaraan Roda 2 Operasional (20 Unit) Puskesmas Pembuang Hulu (DAK FISIK REGULER PELAYANAN KESEHATAN DASAR)</t>
  </si>
  <si>
    <t>MH1KF4122LK014144</t>
  </si>
  <si>
    <t>KF41E2018260</t>
  </si>
  <si>
    <t>KH 4927 PY</t>
  </si>
  <si>
    <t>Q08278772 M</t>
  </si>
  <si>
    <t> MH1KF4122LK014161</t>
  </si>
  <si>
    <t>KF41E2018277</t>
  </si>
  <si>
    <t>KH 4916 PY</t>
  </si>
  <si>
    <t>Q 08278562 M</t>
  </si>
  <si>
    <t> MH1KF4124LK014128</t>
  </si>
  <si>
    <t>KF41E2018243</t>
  </si>
  <si>
    <t>KH 4930 PY</t>
  </si>
  <si>
    <t>Q08280983 M</t>
  </si>
  <si>
    <t> MH1KF4126LK014163</t>
  </si>
  <si>
    <t>KF41E2018279</t>
  </si>
  <si>
    <t>KH 4926 PY</t>
  </si>
  <si>
    <t>Q08278771 M</t>
  </si>
  <si>
    <t>MHIHB32107K338611</t>
  </si>
  <si>
    <t>HB32E-1332175</t>
  </si>
  <si>
    <t>KH 2255 PY</t>
  </si>
  <si>
    <t>E 7693847 M</t>
  </si>
  <si>
    <t>M. Haldun/Dinas Kesehatan</t>
  </si>
  <si>
    <t>Honda GL 160 CW / Honda GL 160 CW</t>
  </si>
  <si>
    <t>160</t>
  </si>
  <si>
    <t>MH1KC1239K206341</t>
  </si>
  <si>
    <t>KC12E1205786</t>
  </si>
  <si>
    <t>KH2613PY</t>
  </si>
  <si>
    <t>H 06859637 M</t>
  </si>
  <si>
    <t>Hamzah Fansuri, Kepala Tata Usaha UPTD Gudang Farmasi</t>
  </si>
  <si>
    <t>Honda Supra Fit X / Honda Supra Fit X</t>
  </si>
  <si>
    <t>MH1HB71158K490555</t>
  </si>
  <si>
    <t>HB71E-1488147</t>
  </si>
  <si>
    <t>KH2447PY</t>
  </si>
  <si>
    <t>F4849370M</t>
  </si>
  <si>
    <t>Pengadaan Sepeda Motor (Indah Fitri Salawiyah)</t>
  </si>
  <si>
    <t>MH1HB71138K694464</t>
  </si>
  <si>
    <t>HB71E-1692486</t>
  </si>
  <si>
    <t>KH2448PY</t>
  </si>
  <si>
    <t>F4848158M</t>
  </si>
  <si>
    <t>Pengadaan Sepeda Motor (RUSPANDIAN NOOR)</t>
  </si>
  <si>
    <t>000064</t>
  </si>
  <si>
    <t>MH1HB71188K694458</t>
  </si>
  <si>
    <t>HB71E-1692603</t>
  </si>
  <si>
    <t>KH2450PY</t>
  </si>
  <si>
    <t>F4848156M</t>
  </si>
  <si>
    <t>Pengadaan Sepeda Motor (ISMIRANTO,SKM. MPH)</t>
  </si>
  <si>
    <t>000065</t>
  </si>
  <si>
    <t>MH1HB71148K695168</t>
  </si>
  <si>
    <t>HB71E-1689480</t>
  </si>
  <si>
    <t>KH2451PY</t>
  </si>
  <si>
    <t>F4848155M</t>
  </si>
  <si>
    <t>Pengadaan Sepeda Motor (RIA KHAIRIAH,SH)</t>
  </si>
  <si>
    <t>000066</t>
  </si>
  <si>
    <t>Honda 125 TR / Honda 125 TR</t>
  </si>
  <si>
    <t>MHIJB91149K97572</t>
  </si>
  <si>
    <t>JB91E185227</t>
  </si>
  <si>
    <t>KH2614PY</t>
  </si>
  <si>
    <t>H 06859636 M</t>
  </si>
  <si>
    <t>Kadsari, Kabid SDK Dinkes</t>
  </si>
  <si>
    <t>000067</t>
  </si>
  <si>
    <t xml:space="preserve"> MH1JBK215EK054075</t>
  </si>
  <si>
    <t>JBK2E1054192</t>
  </si>
  <si>
    <t>KH4339PY</t>
  </si>
  <si>
    <t>L04362032M</t>
  </si>
  <si>
    <t>Pengadaan Kendaraan Operasional Roda Dua (SAPRUDIN
) Kasie Jamkesmas</t>
  </si>
  <si>
    <t>000068</t>
  </si>
  <si>
    <t>MH1KC5212EK199142</t>
  </si>
  <si>
    <t>KC52E1196866</t>
  </si>
  <si>
    <t>KH 4286 PY</t>
  </si>
  <si>
    <t>L 04353750 M</t>
  </si>
  <si>
    <t>000069</t>
  </si>
  <si>
    <t>MH1KC5213EK200489</t>
  </si>
  <si>
    <t>KC52E1198466</t>
  </si>
  <si>
    <t>KH 4290 PY</t>
  </si>
  <si>
    <t>L 04354112 M</t>
  </si>
  <si>
    <t>000070</t>
  </si>
  <si>
    <t>MH1KC521XEK199146</t>
  </si>
  <si>
    <t>KC52E1196904</t>
  </si>
  <si>
    <t>KH 4287 PY</t>
  </si>
  <si>
    <t>L 04353751 M</t>
  </si>
  <si>
    <t>000071</t>
  </si>
  <si>
    <t>YAMAHA / MIO Z SE 88</t>
  </si>
  <si>
    <t>Otomotif</t>
  </si>
  <si>
    <t>MH3SE8890GJ133949</t>
  </si>
  <si>
    <t>E3R2E1107416</t>
  </si>
  <si>
    <t>B 3028 SQD</t>
  </si>
  <si>
    <t>N.00450759</t>
  </si>
  <si>
    <t>HIBAH DARI KEMENTRIAN BERUPA KENDARAAN DINAS RODA 2</t>
  </si>
  <si>
    <t>000072</t>
  </si>
  <si>
    <t>HONDA / SCOOOPY PRESTIGE</t>
  </si>
  <si>
    <t>109,51 CC</t>
  </si>
  <si>
    <t>MH1JM0417RK967759</t>
  </si>
  <si>
    <t>JM04E-1967778</t>
  </si>
  <si>
    <t>KH5304PY</t>
  </si>
  <si>
    <t>V-00026752</t>
  </si>
  <si>
    <t>Belanja Modal Kendaraan Bermotor Beroda Dua (Pusling Roda Dua)</t>
  </si>
  <si>
    <t>000073</t>
  </si>
  <si>
    <t>MH1JM0414RK972921</t>
  </si>
  <si>
    <t>JM04E-1972929</t>
  </si>
  <si>
    <t>KH5305PY</t>
  </si>
  <si>
    <t>V-00026753</t>
  </si>
  <si>
    <t>000074</t>
  </si>
  <si>
    <t>HONDA / VARIO L1F02N37S4 A/T</t>
  </si>
  <si>
    <t>124,88</t>
  </si>
  <si>
    <t>Besi/oto</t>
  </si>
  <si>
    <t>MH1JMD111RK766323</t>
  </si>
  <si>
    <t>JMD1E1765976</t>
  </si>
  <si>
    <t>KH5389PY</t>
  </si>
  <si>
    <t>V-04730367 M</t>
  </si>
  <si>
    <t>Belanja Modal Kendaraan Bermotor Beroda Dua (SEKRETARIS DINAS) RUSPANDIANOOR</t>
  </si>
  <si>
    <t>000075</t>
  </si>
  <si>
    <t>MH1JMD113RK766324</t>
  </si>
  <si>
    <t>JMD1E1765977</t>
  </si>
  <si>
    <t>KH5388PY</t>
  </si>
  <si>
    <t>V-04730366</t>
  </si>
  <si>
    <t>Belanja Modal Kendaraan Bermotor Beroda Dua (KABID YANKES) BU SARINAH</t>
  </si>
  <si>
    <t>000076</t>
  </si>
  <si>
    <t>MH1JMD119RK766327</t>
  </si>
  <si>
    <t>JMD1E1765982</t>
  </si>
  <si>
    <t>KH5387PY</t>
  </si>
  <si>
    <t>V-04730365 M</t>
  </si>
  <si>
    <t>Belanja Modal Kendaraan Bermotor Beroda Dua</t>
  </si>
  <si>
    <t>000077</t>
  </si>
  <si>
    <t>MH1JMD114RK773461</t>
  </si>
  <si>
    <t>JMD1E1773055</t>
  </si>
  <si>
    <t>KH5386PY</t>
  </si>
  <si>
    <t>V-04730364 M</t>
  </si>
  <si>
    <t>000078</t>
  </si>
  <si>
    <t>MH1JMD116RK761649</t>
  </si>
  <si>
    <t>JMD1E1760494</t>
  </si>
  <si>
    <t>KH5385PY</t>
  </si>
  <si>
    <t>V-04730363 M</t>
  </si>
  <si>
    <t>Belanja Modal Kendaraan Bermotor Beroda Dua (KABID P2P) dr.YULITA</t>
  </si>
  <si>
    <t>000079</t>
  </si>
  <si>
    <t>MH1JMD116RK773462</t>
  </si>
  <si>
    <t>JMD1E1773056</t>
  </si>
  <si>
    <t>KH5384PY</t>
  </si>
  <si>
    <t>V-047303662 M</t>
  </si>
  <si>
    <t>000080</t>
  </si>
  <si>
    <t>MH1JMD116RK766334</t>
  </si>
  <si>
    <t>JMD1E1765992</t>
  </si>
  <si>
    <t>KH5390PY</t>
  </si>
  <si>
    <t>V-04730368 M</t>
  </si>
  <si>
    <t>02.02.01.06.001</t>
  </si>
  <si>
    <t>Mobil Ambulance</t>
  </si>
  <si>
    <t>Mitsubishi FE 304 / Mitsubishi FE 304</t>
  </si>
  <si>
    <t>3298</t>
  </si>
  <si>
    <t>MHMFE304B4RO33599</t>
  </si>
  <si>
    <t>4D31302563</t>
  </si>
  <si>
    <t>KH 7000 PM</t>
  </si>
  <si>
    <t>D1925402M</t>
  </si>
  <si>
    <t>PKM Terawan</t>
  </si>
  <si>
    <t>Isuzu TBR 54 / Isuzu TBR 54</t>
  </si>
  <si>
    <t>2449</t>
  </si>
  <si>
    <t>MHCTBR54BSK126979</t>
  </si>
  <si>
    <t>E126979</t>
  </si>
  <si>
    <t>KH 25 PU</t>
  </si>
  <si>
    <t>D 9089147 M</t>
  </si>
  <si>
    <t>Puskesmas Asam Baru</t>
  </si>
  <si>
    <t>Isuzu Minibus / Isuzu Minibus</t>
  </si>
  <si>
    <t>1800</t>
  </si>
  <si>
    <t>KH8803AM</t>
  </si>
  <si>
    <t>Puskesmas Pembuang Hulu</t>
  </si>
  <si>
    <t>SUZUKI  / APV ARENA SGX - MT</t>
  </si>
  <si>
    <t>1500</t>
  </si>
  <si>
    <t>Besi/ Otomootif</t>
  </si>
  <si>
    <t>MHY6DN42VDJ381332</t>
  </si>
  <si>
    <t>GA15AID295848</t>
  </si>
  <si>
    <t>KH9002PW</t>
  </si>
  <si>
    <t>K 029037 12 M</t>
  </si>
  <si>
    <t>Hibah barang milik Negara yang berasal dari dana tugas pembantuan direktorat jendral pelayanan kesehatan (Danau Sembuluh)</t>
  </si>
  <si>
    <t>Suzuki  Arena GX MT / Suzuki  Arena GX MT</t>
  </si>
  <si>
    <t>1493</t>
  </si>
  <si>
    <t>MHYGDN42VBJ405316</t>
  </si>
  <si>
    <t>G15AID339142</t>
  </si>
  <si>
    <t>KH9014PW</t>
  </si>
  <si>
    <t>K06867679M</t>
  </si>
  <si>
    <t>Pengadaan Mobil Pusling Roda Empat Puskesmas Sandul</t>
  </si>
  <si>
    <t>SUZUKI APV GE PS ATD / SUZUKI APV GE PS ATD</t>
  </si>
  <si>
    <t>MHYGDN42VFJ400806</t>
  </si>
  <si>
    <t>G15AID362133</t>
  </si>
  <si>
    <t>KH 9024 PW</t>
  </si>
  <si>
    <t>L-06968151 M</t>
  </si>
  <si>
    <t>Pustu Desa Durian Kait</t>
  </si>
  <si>
    <t>Toyota New Kijang Inova / Toyota New Kijang Inova</t>
  </si>
  <si>
    <t>2000</t>
  </si>
  <si>
    <t>Besi/ Oto</t>
  </si>
  <si>
    <t>52000</t>
  </si>
  <si>
    <t>MHFXW41G8F0067345</t>
  </si>
  <si>
    <t>1TR8859125</t>
  </si>
  <si>
    <t>KH9019PW</t>
  </si>
  <si>
    <t>L-06970196</t>
  </si>
  <si>
    <t>Pengadaan Kendaraan Ambulance Rujukan Puskesmas Rantau Pulut I dan Puskesmas Rantau Pulut II</t>
  </si>
  <si>
    <t>52029</t>
  </si>
  <si>
    <t xml:space="preserve"> MHFXW41GXF0067332</t>
  </si>
  <si>
    <t>1TR8856764</t>
  </si>
  <si>
    <t>KH9020PW</t>
  </si>
  <si>
    <t>L-06970195 M</t>
  </si>
  <si>
    <t>TOYOTA All New Kijang Inova 2.0G M/T LUX / TOYOTA All New Kijang Inova 2.0G M/T LUX</t>
  </si>
  <si>
    <t>1998 CC</t>
  </si>
  <si>
    <t>BESI/OTOMOTIF</t>
  </si>
  <si>
    <t>1TRA503249</t>
  </si>
  <si>
    <t>MHFJW8EMXJ2356480</t>
  </si>
  <si>
    <t>KH 1258 PU</t>
  </si>
  <si>
    <t>Pengadaan Pusling Kendaraan Operasional Roda 4 untuk Puskesmas Tumbang Langkai</t>
  </si>
  <si>
    <t>Chevrolet Colorado 2,5 LT Double Cabin 4x4 MT VIN  / Chevrolet Colorado 2,5 LT Double Cabin 4x4 MT V</t>
  </si>
  <si>
    <t>2449 CC</t>
  </si>
  <si>
    <t>GE2G180261</t>
  </si>
  <si>
    <t>MMM148FL0JH646104</t>
  </si>
  <si>
    <t>KH 9030 PW</t>
  </si>
  <si>
    <t>O-02633163 M</t>
  </si>
  <si>
    <t>Pengadaan Pusling Operasional Double Gardan Kendaraan Roda 4 Puskesmas (DAK FISIK_Pelayanan Kesehatan Dasar/E Catalog)</t>
  </si>
  <si>
    <t>Daihatsu S93 / Daihatsu S93</t>
  </si>
  <si>
    <t>1498</t>
  </si>
  <si>
    <t>MHKSPRRHE6K003504</t>
  </si>
  <si>
    <t>9298506</t>
  </si>
  <si>
    <t>KH 31 PU</t>
  </si>
  <si>
    <t>SUZUKI  / APV ARENA SGX-MT</t>
  </si>
  <si>
    <t>Besi/Otmotif</t>
  </si>
  <si>
    <t>MHY6DN42VDJ378203</t>
  </si>
  <si>
    <t>GA15AID287800</t>
  </si>
  <si>
    <t>KH9001PW</t>
  </si>
  <si>
    <t>K-02903710 M</t>
  </si>
  <si>
    <t>Hibah barang milik Negara yang berasal dari dana tugas pembantuan direktorat jendral pelayanan kesehatan (Telaga Pulang)</t>
  </si>
  <si>
    <t>Suzuki Arena GX MT / Suzuki Arena GX MT</t>
  </si>
  <si>
    <t>MHYGDN42VBJ406132</t>
  </si>
  <si>
    <t>G15AID342451</t>
  </si>
  <si>
    <t>KH8118PW</t>
  </si>
  <si>
    <t>K06868892M</t>
  </si>
  <si>
    <t>Pengadaan Mobil Pusling Roda Empat Puskesmas Terawan</t>
  </si>
  <si>
    <t>1993</t>
  </si>
  <si>
    <t>MHYGDN42VBJ405353</t>
  </si>
  <si>
    <t>G15AID339166</t>
  </si>
  <si>
    <t>KH9013PW</t>
  </si>
  <si>
    <t>Pengadaan Mobil Pusling Roda Empat Puskesmas Asam Baru</t>
  </si>
  <si>
    <t>Besi/ Otomotif</t>
  </si>
  <si>
    <t>ITRA503146</t>
  </si>
  <si>
    <t>MHFJW8BM4J2356457</t>
  </si>
  <si>
    <t>KH 9034 PW</t>
  </si>
  <si>
    <t>N-07822253 M</t>
  </si>
  <si>
    <t>Pengadaan Pusling Kendaraan Operasional Roda 4 untuk Puskesmas Sandul</t>
  </si>
  <si>
    <t>New Kijang Inova 2.0G M/T 2019 / New Kijang Inova 2.0G M/T 2019</t>
  </si>
  <si>
    <t>2000 cc</t>
  </si>
  <si>
    <t>MHFJW8EMXL2381799</t>
  </si>
  <si>
    <t>1TRA 742962</t>
  </si>
  <si>
    <t>KHxxxxPW</t>
  </si>
  <si>
    <t>Mobil Ambulance (PKM TERAWAN) Pengadaan Mobil Ambulans (Puskesmas Kuala Pembuang II, Puskesmas Terawan, Puskesmas Rantau Pulut II)</t>
  </si>
  <si>
    <t>Mitsubishi / NEW TRITON HDX</t>
  </si>
  <si>
    <t>2477 CC</t>
  </si>
  <si>
    <t>MMBENKL30NH083677</t>
  </si>
  <si>
    <t>4D56UBH5522</t>
  </si>
  <si>
    <t>KH9087PW</t>
  </si>
  <si>
    <t>S-07226631 M</t>
  </si>
  <si>
    <t>Belanja Modal Kendaraan Khusus Mobil Ambulance (Penguatan Sistem Kesehatan) E- Catalog (Puskesmas Tumbang Mmanjul)</t>
  </si>
  <si>
    <t>MHFJW8EM1L2382050</t>
  </si>
  <si>
    <t>1TRA 744975</t>
  </si>
  <si>
    <t>Mobil Ambulance (PKM KP 2)Pengadaan Mobil Ambulans (Puskesmas Kuala Pembuang II, Puskesmas Terawan, Puskesmas Rantau Pulut II)</t>
  </si>
  <si>
    <t>MMBENKL30NH083669</t>
  </si>
  <si>
    <t>4D56UBH55454</t>
  </si>
  <si>
    <t>KH9088PW</t>
  </si>
  <si>
    <t>S-07230093 M</t>
  </si>
  <si>
    <t>Belanja Modal Kendaraan Khusus Mobil Ambulance (Penguatan Sistem Kesehatan) E- Catalog (Puskesmas Tumbang Langkai)</t>
  </si>
  <si>
    <t>New Kijang Inova 2.0G M/T 2019  / New Kijang Inova 2.0G M/T 2019</t>
  </si>
  <si>
    <t>MHFJW8EM6L2382965</t>
  </si>
  <si>
    <t>1TR A757353</t>
  </si>
  <si>
    <t>KH9071PW</t>
  </si>
  <si>
    <t>Mobil Ambulance (PKM RANTAU PULUT II)Pengadaan Mobil Ambulans (Puskesmas Kuala Pembuang II, Puskesmas Terawan, Puskesmas Rantau Pulut II)</t>
  </si>
  <si>
    <t>New Hilux single Cabin 2,4 (4x4) M/T Diesel Vin 20 / New Hilux single Cabin 2,4 (4x4) M/T Diesel Vin</t>
  </si>
  <si>
    <t>2500 cc</t>
  </si>
  <si>
    <t>MR0DB8CB1L0110326</t>
  </si>
  <si>
    <t>2GD 4881905</t>
  </si>
  <si>
    <t>KH8191PW</t>
  </si>
  <si>
    <t>Pengadaan Kendaraan Operasional Pusling Double Gardan Puskesmas Kuala Pembuang I</t>
  </si>
  <si>
    <t>2500</t>
  </si>
  <si>
    <t>MR0DB8CB1L0110357</t>
  </si>
  <si>
    <t>2GD 0874169</t>
  </si>
  <si>
    <t>KH8193PW</t>
  </si>
  <si>
    <t>Pengadaan Kendaraan Operasional Pusling Double Gardan  Puskesmas Rantau Pulut I</t>
  </si>
  <si>
    <t>MHCTBR54BSK127002</t>
  </si>
  <si>
    <t>E127002</t>
  </si>
  <si>
    <t>KH 26 PU</t>
  </si>
  <si>
    <t>D 9089146 M</t>
  </si>
  <si>
    <t>Isuzu Panther / Isuzu Panther</t>
  </si>
  <si>
    <t>2499</t>
  </si>
  <si>
    <t>MHCTBR54BGK131438</t>
  </si>
  <si>
    <t>E131438</t>
  </si>
  <si>
    <t>KH 8013 PU</t>
  </si>
  <si>
    <t>E 5026702 M</t>
  </si>
  <si>
    <t>Puskesmas Terawan (PMI Hanau)</t>
  </si>
  <si>
    <t>TOYOTA / MAGA10R-BRXMBD 2.0V CVT</t>
  </si>
  <si>
    <t>MHFAAAAA150041713</t>
  </si>
  <si>
    <t>M20AND53305</t>
  </si>
  <si>
    <t>KH9103PW</t>
  </si>
  <si>
    <t>AA-003085</t>
  </si>
  <si>
    <t>Belanja Modal Kendaraan Bermotor Khusus (AMBULANCE PSC) Inova Zenix</t>
  </si>
  <si>
    <t>TOYOTA / KIJANG INOVA 2.4G M/T(GUN142R-MDMSXD)</t>
  </si>
  <si>
    <t>MHFJB8EM3S1160884</t>
  </si>
  <si>
    <t>26D5777213</t>
  </si>
  <si>
    <t>KH9102PW</t>
  </si>
  <si>
    <t>AA-00308565</t>
  </si>
  <si>
    <t>Belanja Modal Kendaraan Bermotor Khusus (PKM Danau Sembuluh) Inova Rebon</t>
  </si>
  <si>
    <t>02.02.01.06.004</t>
  </si>
  <si>
    <t>Mobil Pemadam Kebakaran</t>
  </si>
  <si>
    <t>MITSUBISHI TRITON / MITSUBISHI TRITON</t>
  </si>
  <si>
    <t>4X4 M/T</t>
  </si>
  <si>
    <t>MMBJNKL30KH058194</t>
  </si>
  <si>
    <t>4D56UBA0611</t>
  </si>
  <si>
    <t>KH 9065 PW</t>
  </si>
  <si>
    <t>Q-08265309</t>
  </si>
  <si>
    <t>Belanja Modal Pengadaan Mobil Partoli Triton</t>
  </si>
  <si>
    <t>02.02.01.06.018</t>
  </si>
  <si>
    <t>Mobil Unit Kesehatan Masyarakat</t>
  </si>
  <si>
    <t>Suzuki Arena APV GX / Suzuki Arena APV GX</t>
  </si>
  <si>
    <t>G15AID361955</t>
  </si>
  <si>
    <t xml:space="preserve"> MHYGDN42VFJ403358</t>
  </si>
  <si>
    <t>KH1222PU</t>
  </si>
  <si>
    <t>L06968119M</t>
  </si>
  <si>
    <t>Pengadaan Kendaraan Pusling Roda Empat Puskesmas Kuala Pembuang I</t>
  </si>
  <si>
    <t>G15AID36537</t>
  </si>
  <si>
    <t>MHYGDN42VFJ403324</t>
  </si>
  <si>
    <t>KH1224PU</t>
  </si>
  <si>
    <t>L06968121M</t>
  </si>
  <si>
    <t>Pengadaan Kendaraan Pusling Roda Empat Puskesmas Kuala Pembuang II</t>
  </si>
  <si>
    <t>G15AID360125</t>
  </si>
  <si>
    <t>MHYGDN42VFJ402651</t>
  </si>
  <si>
    <t>KH1225PU</t>
  </si>
  <si>
    <t>L06968120M</t>
  </si>
  <si>
    <t>Pengadaan Kendaraan Pusling Roda Empat Puskesmas Pembuang Hulu</t>
  </si>
  <si>
    <t>Belanja Modal Pengadaan Mobil Sarana Distribusi Obat/BMHP Roda 4 Kegiatan Peningkatan Pelayanan UPTD Gudang Farmasi</t>
  </si>
  <si>
    <t>TOYOTA / HILUX DOUBLE CABIN 2.4V (4X4)</t>
  </si>
  <si>
    <t>2GD-D456996</t>
  </si>
  <si>
    <t>MR0BB3CD7R6403892</t>
  </si>
  <si>
    <t>KH8243PW</t>
  </si>
  <si>
    <t>V-04715242-M</t>
  </si>
  <si>
    <t>Belanja Modal Kendaraan Bermotor Khusus (mobil Peralatan dan Personil Double Cabin)</t>
  </si>
  <si>
    <t>02.02.01.02.002</t>
  </si>
  <si>
    <t>Micro Bus ( Penumpang 15 S/D 29 Orang )</t>
  </si>
  <si>
    <t>Suzuki Ertiga GA PW 2015 / Suzuki Ertiga GA PW 2015</t>
  </si>
  <si>
    <t>1373 cc</t>
  </si>
  <si>
    <t>MHYKZE818FJ280201</t>
  </si>
  <si>
    <t>K14BT1167956</t>
  </si>
  <si>
    <t>KH 1212 PU</t>
  </si>
  <si>
    <t>L-06968128 M</t>
  </si>
  <si>
    <t>rsud k.pembuang</t>
  </si>
  <si>
    <t>RSUD KUALA PEMBUANG</t>
  </si>
  <si>
    <t>TOYOTA GRAND NEW AVANZA 1.3 E M/T VIN 2016 / TOYOTA GRAND NEW AVANZA 1.3 E M/T VIN 2016</t>
  </si>
  <si>
    <t>1300 cc</t>
  </si>
  <si>
    <t>MHKM5EA2JGK013929</t>
  </si>
  <si>
    <t>1NRF188962</t>
  </si>
  <si>
    <t>KH 1240 PU</t>
  </si>
  <si>
    <t>L 09757237 M</t>
  </si>
  <si>
    <t>MHKM5EA2JGK013708</t>
  </si>
  <si>
    <t>1NRF187407</t>
  </si>
  <si>
    <t>KH 1241 PU</t>
  </si>
  <si>
    <t>L 09757238 M</t>
  </si>
  <si>
    <t>dr. Aya Sofia Filayeti, Sp.OG</t>
  </si>
  <si>
    <t>TOYOTA GRAND NEW AVANZA 1.3 E M/T VIN 2017 / TOYOTA GRAND NEW AVANZA 1.3 E M/T VIN 2017</t>
  </si>
  <si>
    <t>MHKMSEA2JHK030531</t>
  </si>
  <si>
    <t>1NRF289880</t>
  </si>
  <si>
    <t>KH 1254 PU</t>
  </si>
  <si>
    <t>M 12814228 M</t>
  </si>
  <si>
    <t>RSUD K. PEMBUANG</t>
  </si>
  <si>
    <t>MHKMSEA2JHK034739</t>
  </si>
  <si>
    <t>1NRF316225</t>
  </si>
  <si>
    <t>KH 1255 PU</t>
  </si>
  <si>
    <t>M 12814229 M</t>
  </si>
  <si>
    <t>dr. Sandy Viktor, Sp.B</t>
  </si>
  <si>
    <t>TOYOTA GRAND NEW AVANZA 1,3 E M/T VIN 2017 / TOYOTA GRAND NEW AVANZA 1,3 E M/T VIN 2017</t>
  </si>
  <si>
    <t>MHKMSEA2JHK021521</t>
  </si>
  <si>
    <t>1 NRF239821</t>
  </si>
  <si>
    <t>KH 1251 PU</t>
  </si>
  <si>
    <t>M 10648939 M</t>
  </si>
  <si>
    <t>Mutasi Mobil KH 1251 PU Ke Kecamatan Hanau</t>
  </si>
  <si>
    <t>TOYOTA NEW RUSH 1,5 S A/T / TOYOTA NEW RUSH 1,5 S A/T</t>
  </si>
  <si>
    <t>1496 cc</t>
  </si>
  <si>
    <t>MHKBSFB3JKK024913</t>
  </si>
  <si>
    <t>2NRM829300</t>
  </si>
  <si>
    <t>O 06847626</t>
  </si>
  <si>
    <t>BPKAD</t>
  </si>
  <si>
    <t>MHYKZE81SFJ282583</t>
  </si>
  <si>
    <t>G15AID1170480</t>
  </si>
  <si>
    <t>KH 1211 PU</t>
  </si>
  <si>
    <t>L-06968129 M</t>
  </si>
  <si>
    <t>RSUD HANAU</t>
  </si>
  <si>
    <t>MHYKZE81SFJ281801</t>
  </si>
  <si>
    <t>G15AID1169554</t>
  </si>
  <si>
    <t>KH 1213 PU</t>
  </si>
  <si>
    <t>L-06968127 M</t>
  </si>
  <si>
    <t>MHKM5EA2JHK033227</t>
  </si>
  <si>
    <t>1NRF307424</t>
  </si>
  <si>
    <t>KH 1253 PU</t>
  </si>
  <si>
    <t>M 12814227 M</t>
  </si>
  <si>
    <t>MHKM5EA2JHK031374</t>
  </si>
  <si>
    <t>1NRF294930</t>
  </si>
  <si>
    <t>KH 1256 PU</t>
  </si>
  <si>
    <t>M 12814230 M</t>
  </si>
  <si>
    <t>02.02.01.02.003</t>
  </si>
  <si>
    <t>Mini Bus ( Penumpang 14 Orang Kebawah )</t>
  </si>
  <si>
    <t>SUZUKI ERTIGA GL DB / SUZUKI ERTIGA GL DB</t>
  </si>
  <si>
    <t>1.373 cc</t>
  </si>
  <si>
    <t>MHYKZE81SDJ117807</t>
  </si>
  <si>
    <t>K14BT1053077</t>
  </si>
  <si>
    <t>KH 1166 PU</t>
  </si>
  <si>
    <t>K 00497341 M</t>
  </si>
  <si>
    <t>RSUD KAB. SERUYAN</t>
  </si>
  <si>
    <t>SUZUKI ERTIGA GX MT NIK 2014 / SUZUKI ERTIGA GX MT NIK 2014</t>
  </si>
  <si>
    <t>MHYKZE81SEJ231125</t>
  </si>
  <si>
    <t>K 14BT1134374</t>
  </si>
  <si>
    <t>KH 1183 PU</t>
  </si>
  <si>
    <t>K 06867300 M</t>
  </si>
  <si>
    <t>dr. Kevin Stanley Halim, Sp.OG</t>
  </si>
  <si>
    <t>MHYKZE81SEJ233295</t>
  </si>
  <si>
    <t>K 114BT1136864</t>
  </si>
  <si>
    <t>KH 1191 PU</t>
  </si>
  <si>
    <t>K 06866040 M</t>
  </si>
  <si>
    <t>dr. Dina Wati Amaliah Rahman, Sp.Rad</t>
  </si>
  <si>
    <t>MHYKZE81SEJ231613</t>
  </si>
  <si>
    <t>K 14BT1134971</t>
  </si>
  <si>
    <t>KH 1184 PU</t>
  </si>
  <si>
    <t>K 06867299 M</t>
  </si>
  <si>
    <t>SUZUKI GRAND VITARA 2.4 M/T / SUZUKI GRAND VITARA 2.4 M/T</t>
  </si>
  <si>
    <t>2.393 cc</t>
  </si>
  <si>
    <t>MHYJTE54VBJ102139</t>
  </si>
  <si>
    <t>J20AID218410</t>
  </si>
  <si>
    <t>KH 1138 PU</t>
  </si>
  <si>
    <t>I-02760006 M</t>
  </si>
  <si>
    <t>ASISTEN III</t>
  </si>
  <si>
    <t>MHYJTEA4VBJ101488</t>
  </si>
  <si>
    <t>J24BID1001495</t>
  </si>
  <si>
    <t>KH 1139 PU</t>
  </si>
  <si>
    <t>I-02760007 M</t>
  </si>
  <si>
    <t>Mutasi Kendaraan Dinas KH 1139 PU (SUZUKI GRAND VITARA 2.4 MT)</t>
  </si>
  <si>
    <t>MH1KC5218DK088447</t>
  </si>
  <si>
    <t>KC52E1089222</t>
  </si>
  <si>
    <t>KH 4206 PY</t>
  </si>
  <si>
    <t>K 08796083 M</t>
  </si>
  <si>
    <t>dr. Muhammad Mansyur Anazhil</t>
  </si>
  <si>
    <t>Suzuki FL 125 RCD / Suzuki FL 125 RCD</t>
  </si>
  <si>
    <t>MH8BF45DA8J208893</t>
  </si>
  <si>
    <t>F496ID257855</t>
  </si>
  <si>
    <t>KH 2510 PY</t>
  </si>
  <si>
    <t>F 4847948 M</t>
  </si>
  <si>
    <t>Danu Umbara, M.Kes</t>
  </si>
  <si>
    <t>honda NF 125 TR / honda NF 125 TR</t>
  </si>
  <si>
    <t>124 CC</t>
  </si>
  <si>
    <t>MHIJB9127BK563714</t>
  </si>
  <si>
    <t>JB9IE -2552865</t>
  </si>
  <si>
    <t>KH 2734 PY</t>
  </si>
  <si>
    <t>H 11003548 M</t>
  </si>
  <si>
    <t>Arpinah, A. Md. Kep</t>
  </si>
  <si>
    <t>HONDA NF 11B2DA11 M/T New Revo Spoke / HONDA NF 11B2DA11 M/T New Revo Spoke</t>
  </si>
  <si>
    <t>MH1JBE214CK148317</t>
  </si>
  <si>
    <t>JBE2E1148776</t>
  </si>
  <si>
    <t>KH 4101 PY</t>
  </si>
  <si>
    <t>I-10733005 M</t>
  </si>
  <si>
    <t>MH1JBE212CK195202</t>
  </si>
  <si>
    <t>JBE2E1192345</t>
  </si>
  <si>
    <t>KH 4059 PY</t>
  </si>
  <si>
    <t>I-10729969 M</t>
  </si>
  <si>
    <t>MH1JBE210CK183078</t>
  </si>
  <si>
    <t>JBE2E1177806</t>
  </si>
  <si>
    <t>KH 4076 PY</t>
  </si>
  <si>
    <t>I-10731500 M</t>
  </si>
  <si>
    <t xml:space="preserve"> RSUD</t>
  </si>
  <si>
    <t>MH1JBE218CK180106</t>
  </si>
  <si>
    <t>JBE2E1178697</t>
  </si>
  <si>
    <t>KH 4060 PY</t>
  </si>
  <si>
    <t>I-10729970 M</t>
  </si>
  <si>
    <t>dr. Nur Hadi Kuswoyo</t>
  </si>
  <si>
    <t>MH1JBE21XCK182083</t>
  </si>
  <si>
    <t>JBE2E1180080</t>
  </si>
  <si>
    <t>KH 4061 PY</t>
  </si>
  <si>
    <t>I-10729971 M</t>
  </si>
  <si>
    <t>MH1JBE217CK233037</t>
  </si>
  <si>
    <t>JBE2E1229933</t>
  </si>
  <si>
    <t>KH 4159 PY</t>
  </si>
  <si>
    <t>J-04697979 M</t>
  </si>
  <si>
    <t>Rifai Rahman, A.Md</t>
  </si>
  <si>
    <t>HONDA NF 11 B2C12 M/T REVO CW MMC / HONDA NF 11 B2C12 M/T REVO CW MMC</t>
  </si>
  <si>
    <t>MH1JBE311DK299891</t>
  </si>
  <si>
    <t>JBE3E1294894</t>
  </si>
  <si>
    <t>KH 4210 PY</t>
  </si>
  <si>
    <t>K 08796087 M</t>
  </si>
  <si>
    <t>Sunardi, SKM</t>
  </si>
  <si>
    <t>108 cc</t>
  </si>
  <si>
    <t>MH1JFS11FK106337</t>
  </si>
  <si>
    <t>JFS1E1104485</t>
  </si>
  <si>
    <t>KH 4380 PY</t>
  </si>
  <si>
    <t>L 06931763 M</t>
  </si>
  <si>
    <t>Novia Damayanti, Amd. Keb</t>
  </si>
  <si>
    <t>MH1JFS119FK106329</t>
  </si>
  <si>
    <t>JFS1E1104544</t>
  </si>
  <si>
    <t>KH 4385 PY</t>
  </si>
  <si>
    <t>L 06931768 M</t>
  </si>
  <si>
    <t>Erwan Pudjiadi, S.T</t>
  </si>
  <si>
    <t>Honda supra x / Honda supra x</t>
  </si>
  <si>
    <t>100 cc</t>
  </si>
  <si>
    <t>campur</t>
  </si>
  <si>
    <t>MH KEVA 225K146672</t>
  </si>
  <si>
    <t>KEVAE2145342</t>
  </si>
  <si>
    <t>KH 2019 PY</t>
  </si>
  <si>
    <t>D 5076002 M</t>
  </si>
  <si>
    <t>Toyota  Innova Type G / Toyota  Innova Type G</t>
  </si>
  <si>
    <t>Karoseri</t>
  </si>
  <si>
    <t>MHFXW42G4F2320082</t>
  </si>
  <si>
    <t>1TR 8887351</t>
  </si>
  <si>
    <t>KH 9021 PW</t>
  </si>
  <si>
    <t>L 06969741 M</t>
  </si>
  <si>
    <t>MHFXW42G1F2318340</t>
  </si>
  <si>
    <t>1TR 8867886</t>
  </si>
  <si>
    <t>KH 9022 PW</t>
  </si>
  <si>
    <t>L 06969740 M</t>
  </si>
  <si>
    <t>DAIHATSU GRAN MAX MB 1.3 D FF FH / DAIHATSU GRAN MAX MB 1.3 D FF FH</t>
  </si>
  <si>
    <t>1298 cc</t>
  </si>
  <si>
    <t>MHKV3BA6JJK011157</t>
  </si>
  <si>
    <t>K3MH22854</t>
  </si>
  <si>
    <t>KH 9029 PW</t>
  </si>
  <si>
    <t>N 07845562 M</t>
  </si>
  <si>
    <t>Toyota/Rush 1.5 S MT TRD / Toyota/Rush 1.5 S MT TRD</t>
  </si>
  <si>
    <t>1500 cc</t>
  </si>
  <si>
    <t>MHKE8FA3JMK053838</t>
  </si>
  <si>
    <t>2NRG643166</t>
  </si>
  <si>
    <t>KH 1284 PU</t>
  </si>
  <si>
    <t>R-02912782 M</t>
  </si>
  <si>
    <t>dr. Ali Wardhana, Sp.K.J</t>
  </si>
  <si>
    <t>BLUD RSUD KUALA PEMBUANG</t>
  </si>
  <si>
    <t>Honda/H1B02N42L0 A/T / Honda/H1B02N42L0 A/T</t>
  </si>
  <si>
    <t>MH1JM9110MK558021</t>
  </si>
  <si>
    <t>JM91E1557602</t>
  </si>
  <si>
    <t>KH 4987 PY</t>
  </si>
  <si>
    <t>R 02928631 M</t>
  </si>
  <si>
    <t>Syaiful Rijal, Sp. THT-KL</t>
  </si>
  <si>
    <t>MH1JM9116MK558007</t>
  </si>
  <si>
    <t>JM91E1557620</t>
  </si>
  <si>
    <t>KH 4982 PY</t>
  </si>
  <si>
    <t>R 02928626 M</t>
  </si>
  <si>
    <t>Dewi Fortuna, S.H</t>
  </si>
  <si>
    <t>MH1JM9117MK558002</t>
  </si>
  <si>
    <t>JM91E1557615</t>
  </si>
  <si>
    <t>KH 4983 PY</t>
  </si>
  <si>
    <t>R 02928627 M</t>
  </si>
  <si>
    <t>Lasinrang, S.ST., M.Kes</t>
  </si>
  <si>
    <t>MH1JM9115MK558032</t>
  </si>
  <si>
    <t>JM91E1557641</t>
  </si>
  <si>
    <t>KH 4980 PY</t>
  </si>
  <si>
    <t>R 02928624 M</t>
  </si>
  <si>
    <t>Armidah, S.H</t>
  </si>
  <si>
    <t>MH1JM9112MK555122</t>
  </si>
  <si>
    <t>JM91E1554729</t>
  </si>
  <si>
    <t>KH 4985 PY</t>
  </si>
  <si>
    <t>R 02928629 M</t>
  </si>
  <si>
    <t>Iskandar Zulkarnaen, S.A.P</t>
  </si>
  <si>
    <t>MH1JM9116MK553115</t>
  </si>
  <si>
    <t>JM91E1552715</t>
  </si>
  <si>
    <t>KH 4988 PY</t>
  </si>
  <si>
    <t>R 02928632 M</t>
  </si>
  <si>
    <t>Sri Rejeki, SKM</t>
  </si>
  <si>
    <t>MH1JM9113MK553122</t>
  </si>
  <si>
    <t>JM91E1552722</t>
  </si>
  <si>
    <t>KH 4986 PY</t>
  </si>
  <si>
    <t>R 02928630 M</t>
  </si>
  <si>
    <t>Abdus Suhadi, SKM, MM</t>
  </si>
  <si>
    <t>MH1JM9115MK558001</t>
  </si>
  <si>
    <t>JM91E1557613</t>
  </si>
  <si>
    <t>KH 4984 PY</t>
  </si>
  <si>
    <t>R 02928628 M</t>
  </si>
  <si>
    <t>Muhammad Adhitama, SKM</t>
  </si>
  <si>
    <t>MH1JM9119MK558020</t>
  </si>
  <si>
    <t>JM91E1557631</t>
  </si>
  <si>
    <t>KH 4981 PY</t>
  </si>
  <si>
    <t>R 02928625 M</t>
  </si>
  <si>
    <t>Nur Khazizah, SKM</t>
  </si>
  <si>
    <t>MH1JM9112MK525733</t>
  </si>
  <si>
    <t>JM91E1525340</t>
  </si>
  <si>
    <t>KH 4989 PY</t>
  </si>
  <si>
    <t>R 02928633 M</t>
  </si>
  <si>
    <t>Wiwiek Eka Kusumawati, S.Kep</t>
  </si>
  <si>
    <t>HONDA/VARIO 160 ABS / L1K02Q33L1 A/T</t>
  </si>
  <si>
    <t>160 cc</t>
  </si>
  <si>
    <t>MH1KFA111PK198195</t>
  </si>
  <si>
    <t>KFAIE1198185</t>
  </si>
  <si>
    <t>KH 5279 PY</t>
  </si>
  <si>
    <t>U01979419M</t>
  </si>
  <si>
    <t>Umi Fadilah, SKM., M.M</t>
  </si>
  <si>
    <t>HONDA / VARIO 160 ABS / L1K02Q33L1 A/T</t>
  </si>
  <si>
    <t>MHIKFA116PK198192</t>
  </si>
  <si>
    <t>KFAIE1198176</t>
  </si>
  <si>
    <t>KH 5281 PY</t>
  </si>
  <si>
    <t>U01979421M</t>
  </si>
  <si>
    <t xml:space="preserve"> dr. Ali Wardhana, Sp.K.J</t>
  </si>
  <si>
    <t>MHIKFA117PK198883</t>
  </si>
  <si>
    <t>KFAIE1198788</t>
  </si>
  <si>
    <t>KH 5283 PY</t>
  </si>
  <si>
    <t>U01979423M</t>
  </si>
  <si>
    <t>Ali Rahman, S.E., M.M</t>
  </si>
  <si>
    <t>MHIKFA118PK198193</t>
  </si>
  <si>
    <t>KFAIE1198187</t>
  </si>
  <si>
    <t>KH 5280 PY</t>
  </si>
  <si>
    <t>U01979420M</t>
  </si>
  <si>
    <t>Sri Anggraini, S.K.M</t>
  </si>
  <si>
    <t>MH1KFA11XPK198762</t>
  </si>
  <si>
    <t>KFAIE1198553</t>
  </si>
  <si>
    <t>KH 5282 PY</t>
  </si>
  <si>
    <t>U01979422M</t>
  </si>
  <si>
    <t>Toyota / Innova Reborn</t>
  </si>
  <si>
    <t>1998 cc</t>
  </si>
  <si>
    <t>MHFJW8EM8N2415327</t>
  </si>
  <si>
    <t>1TRB050618</t>
  </si>
  <si>
    <t>KH 1293 PU</t>
  </si>
  <si>
    <t>S 07230177 M</t>
  </si>
  <si>
    <t>02.01.01.05.003</t>
  </si>
  <si>
    <t>Dump Truck</t>
  </si>
  <si>
    <t>TOYOTA DYNA 130HT / TOYOTA DYNA 130HT</t>
  </si>
  <si>
    <t>4009</t>
  </si>
  <si>
    <t>MHFC1JU4474OO4448</t>
  </si>
  <si>
    <t>WO4DTNJ13268</t>
  </si>
  <si>
    <t>KH 9503 PW</t>
  </si>
  <si>
    <t>E 2143276 M</t>
  </si>
  <si>
    <t>Mobil Tangki (Biru) PDAM</t>
  </si>
  <si>
    <t>Mitsubishi Colt Diesel FE 74 HDV / Mitsubishi Colt Diesel FE 74 HDV</t>
  </si>
  <si>
    <t>3908 CC</t>
  </si>
  <si>
    <t>MHMFE74P5HK177450</t>
  </si>
  <si>
    <t>4D34T-R03593</t>
  </si>
  <si>
    <t>KH 8170 PW</t>
  </si>
  <si>
    <t>M 12822347 M</t>
  </si>
  <si>
    <t>Belanja Modal Pengadaan Dump Truk</t>
  </si>
  <si>
    <t>MITSUBISHI/FE 74 HDV TRUK 125 PS / MITSUBISHI/FE 74 HDV TRUK 125 PS</t>
  </si>
  <si>
    <t>15860</t>
  </si>
  <si>
    <t>MHMFE74P5KK210465</t>
  </si>
  <si>
    <t>4D34T-T95374</t>
  </si>
  <si>
    <t>KH 8186 PY</t>
  </si>
  <si>
    <t>P 06129693 M</t>
  </si>
  <si>
    <t>Pengadaan Dump truck</t>
  </si>
  <si>
    <t>02.01.01.09.001</t>
  </si>
  <si>
    <t>Track Loader + Attachment</t>
  </si>
  <si>
    <t>HINO RANGER FG 235JW / HINO RANGER FG 235JW</t>
  </si>
  <si>
    <t>Mobil Truck Self Loader 10 Ton</t>
  </si>
  <si>
    <t>NEW HOLLAND/B1158 / NEW HOLLAND/B1158</t>
  </si>
  <si>
    <t>4,5 LTR</t>
  </si>
  <si>
    <t>Backhoe Loader (LAB)</t>
  </si>
  <si>
    <t>TOYOTA NEW KIJANG INNOVA V M/T Lux Bensin VIN 2015 / TOYOTA NEW KIJANG INNOVA V M/T Lux Bensin VIN 2</t>
  </si>
  <si>
    <t>08.01.2015 51</t>
  </si>
  <si>
    <t>MHFXW43G3F4091414</t>
  </si>
  <si>
    <t>1 TR7950762</t>
  </si>
  <si>
    <t>KH 1206 PU</t>
  </si>
  <si>
    <t xml:space="preserve"> L 06940391 M</t>
  </si>
  <si>
    <t>Pengalihan Status Penggunaan Kendaraan Dinas Roda 4</t>
  </si>
  <si>
    <t>02.02.01.02.005</t>
  </si>
  <si>
    <t>kendaraan bermotor penumpang  lainnya (dst)</t>
  </si>
  <si>
    <t>MHFABBAA0P0413732</t>
  </si>
  <si>
    <t>M20ANB24911</t>
  </si>
  <si>
    <t>KH 1301 PU</t>
  </si>
  <si>
    <t>U 01958802</t>
  </si>
  <si>
    <t>mobil kepala dinas</t>
  </si>
  <si>
    <t>02.02.01.03.001</t>
  </si>
  <si>
    <t>Truck + Attachment</t>
  </si>
  <si>
    <t>Mitsubishi / Canter FE SHDX</t>
  </si>
  <si>
    <t>Truck (Alat Berat)</t>
  </si>
  <si>
    <t>TOYOTA ALL NEW HILUX DOUBLE CABIN E M/T DIESEL VIN / TOYOTA ALL NEW HILUX DOUBLE CABIN E M/T DIESEL</t>
  </si>
  <si>
    <t>MR0DS8CD8F0330004</t>
  </si>
  <si>
    <t>2KDU799317</t>
  </si>
  <si>
    <t>KH 8130 PW</t>
  </si>
  <si>
    <t>L-09698285 M</t>
  </si>
  <si>
    <t>DINAS PEKERJAAN UMUM</t>
  </si>
  <si>
    <t>Toyota / Hilux</t>
  </si>
  <si>
    <t xml:space="preserve">MR0KB8CD3P1145622 </t>
  </si>
  <si>
    <t xml:space="preserve"> 2GDD248716</t>
  </si>
  <si>
    <t>KH 8232 PW</t>
  </si>
  <si>
    <t>U-01958804 M</t>
  </si>
  <si>
    <t>Pick Up Double Cabin Toyota Hilux</t>
  </si>
  <si>
    <t>Hilux / Single Cabin</t>
  </si>
  <si>
    <t>Hilux Single Cabin (UPTD. Lab dan PK)</t>
  </si>
  <si>
    <t>02.02.01.03.007</t>
  </si>
  <si>
    <t>kendaraan bermotor angkutan barang  lainnya (dst)</t>
  </si>
  <si>
    <t>MR0KB8CD2F1144185</t>
  </si>
  <si>
    <t xml:space="preserve"> 26DD238351</t>
  </si>
  <si>
    <t>KH 8231 PW</t>
  </si>
  <si>
    <t>U-01958803</t>
  </si>
  <si>
    <t>KENDARAAN BERMOTOR ANGKUTAN BARANG</t>
  </si>
  <si>
    <t>MR0KB8CD5P1216397</t>
  </si>
  <si>
    <t>2GD5351225</t>
  </si>
  <si>
    <t>KH 8220 PW</t>
  </si>
  <si>
    <t>T 02703866</t>
  </si>
  <si>
    <t>MOBIL HILUX DOUBLE CABIN</t>
  </si>
  <si>
    <t>HONDA Supra NF 100 D4 / HONDA Supra NF 100 D4</t>
  </si>
  <si>
    <t>KEVAE162K084292</t>
  </si>
  <si>
    <t>KEVAE108558</t>
  </si>
  <si>
    <t>KH 5355 F</t>
  </si>
  <si>
    <t>C 4324554 M</t>
  </si>
  <si>
    <t>Honda Supra (Biru)</t>
  </si>
  <si>
    <t>HONDA WIN / HONDA WIN</t>
  </si>
  <si>
    <t>MHIHABC103K023524</t>
  </si>
  <si>
    <t>HABCE1022832</t>
  </si>
  <si>
    <t>KH 5390 F</t>
  </si>
  <si>
    <t>C 5013641 M</t>
  </si>
  <si>
    <t>Honda WIN (Hitam)</t>
  </si>
  <si>
    <t>MH1HABD1X4K052955</t>
  </si>
  <si>
    <t>HABDE1053777</t>
  </si>
  <si>
    <t>KH 3067 PM</t>
  </si>
  <si>
    <t>D-0073566 M</t>
  </si>
  <si>
    <t>MH1KC5214EK199790</t>
  </si>
  <si>
    <t>KC52E1197325</t>
  </si>
  <si>
    <t>KH 4281 PY</t>
  </si>
  <si>
    <t>L 04353745 M</t>
  </si>
  <si>
    <t>AGUS SETIYADI, ST /DAMKAR (BAMBANG)</t>
  </si>
  <si>
    <t>KAWASAKI KLX 150S / KAWASAKI KLX 150S</t>
  </si>
  <si>
    <t>144CC</t>
  </si>
  <si>
    <t>MH4LX150CEJP07227</t>
  </si>
  <si>
    <t>LX150CEPF9597</t>
  </si>
  <si>
    <t>KH 4263 PY</t>
  </si>
  <si>
    <t>L 04369851 M</t>
  </si>
  <si>
    <t>Sepeda Motor (AHMAD NASRUDIN, SH)</t>
  </si>
  <si>
    <t>MH4LX150CEJP09197</t>
  </si>
  <si>
    <t>LX150CEPG5057</t>
  </si>
  <si>
    <t>KH 4257 PY</t>
  </si>
  <si>
    <t>L 04369847 M</t>
  </si>
  <si>
    <t>Sepeda Motor (ABDUL RAJAK, Spi)</t>
  </si>
  <si>
    <t>MH4LX150CEJP08538</t>
  </si>
  <si>
    <t>LX150CEPG3063</t>
  </si>
  <si>
    <t>KH 4258 PY</t>
  </si>
  <si>
    <t>L 04369846 M</t>
  </si>
  <si>
    <t>MH4LX150CEJP07191</t>
  </si>
  <si>
    <t>LX150CEPF9588</t>
  </si>
  <si>
    <t>KH 4259 PY</t>
  </si>
  <si>
    <t>L 04369845 M</t>
  </si>
  <si>
    <t>Sepeda Motor (KASTAM, SE)</t>
  </si>
  <si>
    <t>MH4LX150CEJP05119</t>
  </si>
  <si>
    <t>LX150CEPF4870</t>
  </si>
  <si>
    <t>KH 4260 PY</t>
  </si>
  <si>
    <t>L 04369848 M</t>
  </si>
  <si>
    <t>Sepeda Motor (YUSDI HARIANI, ST)</t>
  </si>
  <si>
    <t>MH4LX150CEJP07190</t>
  </si>
  <si>
    <t>LX150CEPF9583</t>
  </si>
  <si>
    <t>KH 4261 PY</t>
  </si>
  <si>
    <t>L 04369849 M</t>
  </si>
  <si>
    <t>MH4LX150CEJP09195</t>
  </si>
  <si>
    <t>LX150CEPG5055</t>
  </si>
  <si>
    <t>KH 4262 PY</t>
  </si>
  <si>
    <t>L 04369850 M</t>
  </si>
  <si>
    <t>HONDA NF 125 TRF / HONDA NF 125 TRF</t>
  </si>
  <si>
    <t>MHIJB0115AK149400</t>
  </si>
  <si>
    <t>70116742649</t>
  </si>
  <si>
    <t>KH 4019 PY</t>
  </si>
  <si>
    <t>H 07446478 M</t>
  </si>
  <si>
    <t>Honda Supra (Violet Silver)</t>
  </si>
  <si>
    <t>MH1JBE216CK153731</t>
  </si>
  <si>
    <t>JBE2E1141763</t>
  </si>
  <si>
    <t>KH 4095 PY</t>
  </si>
  <si>
    <t>I-10732999 M</t>
  </si>
  <si>
    <t>BLP Setda</t>
  </si>
  <si>
    <t>MHIJB0114AK149971</t>
  </si>
  <si>
    <t>JB01E-1148466</t>
  </si>
  <si>
    <t>KH 4024 PY</t>
  </si>
  <si>
    <t>H 07446512 M</t>
  </si>
  <si>
    <t>Honda Supra (Merah Hitam)</t>
  </si>
  <si>
    <t>MHIJB0110AK149952</t>
  </si>
  <si>
    <t>JB01E-1148419</t>
  </si>
  <si>
    <t>KH 4018 PY</t>
  </si>
  <si>
    <t>H 07446477 M</t>
  </si>
  <si>
    <t>MHIJB0117AK149334</t>
  </si>
  <si>
    <t>JB01E-1147847</t>
  </si>
  <si>
    <t>KH 4023 PY</t>
  </si>
  <si>
    <t>H 07446511 M</t>
  </si>
  <si>
    <t>SUZUKI Shogun FL 125 RCD / SUZUKI Shogun FL 125 RCD</t>
  </si>
  <si>
    <t>MH8BF45DA8J191608</t>
  </si>
  <si>
    <t>F496-ID-238178</t>
  </si>
  <si>
    <t>KH 2470 PY</t>
  </si>
  <si>
    <t>Shogun Hitam (Anto Pulungan)</t>
  </si>
  <si>
    <t>HONDA VARIO 125 eSP CBS ISS 2015 / HONDA VARIO 125 eSP CBS ISS 2015</t>
  </si>
  <si>
    <t>124,7</t>
  </si>
  <si>
    <t>MH1JFV114FK182901</t>
  </si>
  <si>
    <t>JFV1E-1182390</t>
  </si>
  <si>
    <t>KH 4413 PY</t>
  </si>
  <si>
    <t>L 06955152 M</t>
  </si>
  <si>
    <t>MH1KC5218FK255859</t>
  </si>
  <si>
    <t>KC52E1253804</t>
  </si>
  <si>
    <t>KH 4355 PY</t>
  </si>
  <si>
    <t>L 06930524 M</t>
  </si>
  <si>
    <t>PENGURUS BARANG ( PEKERJAAN UMUM)</t>
  </si>
  <si>
    <t>HONDA / NEW WARIO 150 / HONDA / NEW WARIO 150</t>
  </si>
  <si>
    <t>KF4128LK051232</t>
  </si>
  <si>
    <t>KF41E 205 5353</t>
  </si>
  <si>
    <t>KH 4948 PY</t>
  </si>
  <si>
    <t>Q 08290915 M</t>
  </si>
  <si>
    <t>Pengadaan Sepeda Motor</t>
  </si>
  <si>
    <t>KF4120LK053458</t>
  </si>
  <si>
    <t>KF41E 2057575</t>
  </si>
  <si>
    <t>KH 4950 PY</t>
  </si>
  <si>
    <t>Q 08290916 M</t>
  </si>
  <si>
    <t>KF4121K051296</t>
  </si>
  <si>
    <t>KF41E 205 4059</t>
  </si>
  <si>
    <t>KH 4951 PY</t>
  </si>
  <si>
    <t>Q 08290917 M</t>
  </si>
  <si>
    <t>KF4122LK051288</t>
  </si>
  <si>
    <t>KF41E 205 4120</t>
  </si>
  <si>
    <t>KH 4952 PY</t>
  </si>
  <si>
    <t>Q 08290918 M</t>
  </si>
  <si>
    <t>MH1HABD164K055071</t>
  </si>
  <si>
    <t>HABDE1054256</t>
  </si>
  <si>
    <t>KH 2609 PY</t>
  </si>
  <si>
    <t>D 0073566 M</t>
  </si>
  <si>
    <t>000025 s/d 000026</t>
  </si>
  <si>
    <t xml:space="preserve">MH1KD1112PK425870 </t>
  </si>
  <si>
    <t>KD11E1425122</t>
  </si>
  <si>
    <t>KH 5210 PY</t>
  </si>
  <si>
    <t>U- 01941694 M</t>
  </si>
  <si>
    <t xml:space="preserve"> MOTOR CRF 150L KB2</t>
  </si>
  <si>
    <t>000027 s/d 000029</t>
  </si>
  <si>
    <t>Honda / CRF150L Trail/Sport</t>
  </si>
  <si>
    <t xml:space="preserve">MH1KD1119RK543840 </t>
  </si>
  <si>
    <t xml:space="preserve"> KD11E1543060</t>
  </si>
  <si>
    <t>KH 5329 PY</t>
  </si>
  <si>
    <t>V-04700202 M</t>
  </si>
  <si>
    <t>Sepeda Motor (TR)</t>
  </si>
  <si>
    <t>000030 s/d 000031</t>
  </si>
  <si>
    <t>Honda / Beat</t>
  </si>
  <si>
    <t xml:space="preserve">MH1JMG117RK170165 </t>
  </si>
  <si>
    <t>JMG1E1170272</t>
  </si>
  <si>
    <t>KH 5339 PY</t>
  </si>
  <si>
    <t>V-04717462 M</t>
  </si>
  <si>
    <t>Sepeda Motor (Sekretariat)</t>
  </si>
  <si>
    <t>000032 s/d 000033</t>
  </si>
  <si>
    <t xml:space="preserve">MH1KFE115SK3911403 </t>
  </si>
  <si>
    <t>KFE1E1386952</t>
  </si>
  <si>
    <t>KH 5435 PY</t>
  </si>
  <si>
    <t>W-01352118 M</t>
  </si>
  <si>
    <t>000034 s/d 000035</t>
  </si>
  <si>
    <t xml:space="preserve">MH1KFA114SK343559 </t>
  </si>
  <si>
    <t>KFA1E1343373</t>
  </si>
  <si>
    <t>KH 5441 PY</t>
  </si>
  <si>
    <t>W 01356099 M</t>
  </si>
  <si>
    <t>Sepeda Motor (UPTD. Lab &amp; PK)</t>
  </si>
  <si>
    <t>Honda / CRF</t>
  </si>
  <si>
    <t>Sepeda Motor (UPTD. Lab. dan PK)</t>
  </si>
  <si>
    <t>02.02.01.04.006</t>
  </si>
  <si>
    <t>kendaraan bermotor beroda dua  lainnya (dst)</t>
  </si>
  <si>
    <t>Honda CRF 150 vin 2019 / Honda CRF 150 vin 2019</t>
  </si>
  <si>
    <t>MH1KD1114KK107225</t>
  </si>
  <si>
    <t>KD11E1106630</t>
  </si>
  <si>
    <t>KH 4874 PY</t>
  </si>
  <si>
    <t>Q 00400475 M</t>
  </si>
  <si>
    <t>MH1KD11XKK107228</t>
  </si>
  <si>
    <t>KD11E1106634</t>
  </si>
  <si>
    <t>KH 4878 PY</t>
  </si>
  <si>
    <t>Q 00400479 M</t>
  </si>
  <si>
    <t>MH1KD1118KK107227</t>
  </si>
  <si>
    <t>KD11E1106632</t>
  </si>
  <si>
    <t>KH 4886 PY</t>
  </si>
  <si>
    <t>Q 00400486 M</t>
  </si>
  <si>
    <t>MH1KD1119KK107656</t>
  </si>
  <si>
    <t>KD11E1106954</t>
  </si>
  <si>
    <t>KH 4891 PY</t>
  </si>
  <si>
    <t>Q 00400490 M</t>
  </si>
  <si>
    <t>157 CC</t>
  </si>
  <si>
    <t>MH1KF0113PK477383</t>
  </si>
  <si>
    <t xml:space="preserve"> KF01E1477647</t>
  </si>
  <si>
    <t>KH 5236 PY</t>
  </si>
  <si>
    <t>U- O1968713 M</t>
  </si>
  <si>
    <t>Belanja Modal Kendaraan Bermotor Beroda Dua ( Honda Vario 160 CBS )</t>
  </si>
  <si>
    <t>000006 s/d 000008</t>
  </si>
  <si>
    <t>MH1KF0112PK4858</t>
  </si>
  <si>
    <t>KF01E1485729</t>
  </si>
  <si>
    <t>KH 5246 PY</t>
  </si>
  <si>
    <t>U-01969422 M</t>
  </si>
  <si>
    <t>Honda Vario 160 CBS</t>
  </si>
  <si>
    <t>000009 s/d 000011</t>
  </si>
  <si>
    <t xml:space="preserve">MH1KD1118PK462308 </t>
  </si>
  <si>
    <t xml:space="preserve"> KD11E1461655</t>
  </si>
  <si>
    <t>KH 5259 PY</t>
  </si>
  <si>
    <t>U- 01973506 M</t>
  </si>
  <si>
    <t>Honda / CRF 150 / Hitam</t>
  </si>
  <si>
    <t>000012 s/d 000017</t>
  </si>
  <si>
    <t xml:space="preserve">MH4LX150LPJPP04523 </t>
  </si>
  <si>
    <t>LX150KEP19644</t>
  </si>
  <si>
    <t>KH 5266 PY</t>
  </si>
  <si>
    <t>U-01974662M</t>
  </si>
  <si>
    <t>KAWASAKI KLX 150 S</t>
  </si>
  <si>
    <t xml:space="preserve">MH1KF0110PK288156 </t>
  </si>
  <si>
    <t>KF01E1284112</t>
  </si>
  <si>
    <t>KH 5234 PY</t>
  </si>
  <si>
    <t>U- 01968711 M</t>
  </si>
  <si>
    <t>000019 s/d 000023</t>
  </si>
  <si>
    <t xml:space="preserve">MH1KD1118PK461062 </t>
  </si>
  <si>
    <t>KD11E1460304</t>
  </si>
  <si>
    <t>KH 5241PY</t>
  </si>
  <si>
    <t>U-01969417 M</t>
  </si>
  <si>
    <t>Honda / CRF / Hitam</t>
  </si>
  <si>
    <t>02.02.01.06.005</t>
  </si>
  <si>
    <t>Mobil Tinja</t>
  </si>
  <si>
    <t>MHMFE74EJSK019241/</t>
  </si>
  <si>
    <t>4V21A79514</t>
  </si>
  <si>
    <t>KH 8255 PW</t>
  </si>
  <si>
    <t>AA 00320172</t>
  </si>
  <si>
    <t>Mobil Tinja (CK)</t>
  </si>
  <si>
    <t>02.02.01.06.006</t>
  </si>
  <si>
    <t>Mobil Tangki Air</t>
  </si>
  <si>
    <t>ISUZU NKR71HD / ISUZU NKR71HD</t>
  </si>
  <si>
    <t>4570</t>
  </si>
  <si>
    <t>L-09742810</t>
  </si>
  <si>
    <t>MHCNKR71HGJ072911</t>
  </si>
  <si>
    <t>B072909</t>
  </si>
  <si>
    <t>KH 8147 PW</t>
  </si>
  <si>
    <t>L-09742811</t>
  </si>
  <si>
    <t>Truck Tangki Air 4000 liter</t>
  </si>
  <si>
    <t>MHCNKR71HGJ072910</t>
  </si>
  <si>
    <t>B072910</t>
  </si>
  <si>
    <t>KH 8148 PW</t>
  </si>
  <si>
    <t>L-09742812</t>
  </si>
  <si>
    <t>L-09742809</t>
  </si>
  <si>
    <t>MHCNKR71HGJ072914</t>
  </si>
  <si>
    <t>B072914</t>
  </si>
  <si>
    <t>KH 8145 PW</t>
  </si>
  <si>
    <t>B072911</t>
  </si>
  <si>
    <t>KH 8146 PW</t>
  </si>
  <si>
    <t>02.02.01.06.045</t>
  </si>
  <si>
    <t>Kendaraan Toilet</t>
  </si>
  <si>
    <t>MHCNMR81LPJ118824</t>
  </si>
  <si>
    <t xml:space="preserve"> G118824</t>
  </si>
  <si>
    <t>KH 8235 PW</t>
  </si>
  <si>
    <t>U-01970296 M</t>
  </si>
  <si>
    <t>MOBIL TRUK TOILET PORTABLE</t>
  </si>
  <si>
    <t>TOYOTA / NNOVA ZENIX 2.0 V HV MODELISTA CVT</t>
  </si>
  <si>
    <t>1987 CC</t>
  </si>
  <si>
    <t>MHFAEAAA2POO14234</t>
  </si>
  <si>
    <t>M20ANB36554</t>
  </si>
  <si>
    <t>KH 1306 PU</t>
  </si>
  <si>
    <t>U-01970046</t>
  </si>
  <si>
    <t>Penanggungjawab/Pemakai KEPALA DINAS ( INNOVA ZENIX 2.0 V HV MODELISTA CVT (NON PREMIUM COLOR)</t>
  </si>
  <si>
    <t>SUZUKI / NEW CARRY PICK UP WD AC PS</t>
  </si>
  <si>
    <t>MHYHDG61TFJ215828</t>
  </si>
  <si>
    <t>K15ET1609504</t>
  </si>
  <si>
    <t>KH 8241PW</t>
  </si>
  <si>
    <t>V-00162574</t>
  </si>
  <si>
    <t>Penanggungjawab IRWAN PRASASTI, S.STPi., M.A.P (PICK UP SUZUKI NEW CARRY PICK UP WD AC PS / SILKY SILVER)</t>
  </si>
  <si>
    <t>MH1JFS117FK106345</t>
  </si>
  <si>
    <t>JFS1E1104501</t>
  </si>
  <si>
    <t>KH 4387 PY</t>
  </si>
  <si>
    <t>L 06931770 M</t>
  </si>
  <si>
    <t>Penanggungjawab/Pemakai SANDI SETIAWAN D. ERANG, S.Sos (Analis Kebijakan Bidang Pertanahan Disperkimtan)</t>
  </si>
  <si>
    <t>MH1KC5219FK255109</t>
  </si>
  <si>
    <t>KC52E-1252855</t>
  </si>
  <si>
    <t>KH 4361 PY</t>
  </si>
  <si>
    <t>L 06930530 M</t>
  </si>
  <si>
    <t>Penanggungjawab/Pemakai TAUFIK AGUSMANA, SM (Penelaah Teknis Kegiatan Bid. Kawasan Permukiman)</t>
  </si>
  <si>
    <t>SUZUKI SHOGUN / SUZUKI SHOGUN</t>
  </si>
  <si>
    <t>MH8BF45DAAJ279564</t>
  </si>
  <si>
    <t>F496-ID-347301</t>
  </si>
  <si>
    <t>KH 2619 PY</t>
  </si>
  <si>
    <t>H-10023264M</t>
  </si>
  <si>
    <t>gudang kondisi rusak berat</t>
  </si>
  <si>
    <t>MH8BF45DAAJ279294</t>
  </si>
  <si>
    <t>F496-ID-347147</t>
  </si>
  <si>
    <t>KH 2618 PY</t>
  </si>
  <si>
    <t>H-10023263</t>
  </si>
  <si>
    <t>Penanggungjawab/Pemakai NORLIDA, S.Pt (Penelaah Teknis Kebijakan Disperkimtan)</t>
  </si>
  <si>
    <t>MH8BF45DAAJ282821</t>
  </si>
  <si>
    <t>F496-ID-352412</t>
  </si>
  <si>
    <t>KH2617PY</t>
  </si>
  <si>
    <t>H-10023261M</t>
  </si>
  <si>
    <t>Penanggungjawab/Pemakai EFENDI KARAMU, S.I.P (Penelaah Teknis Kegiatan /Sekretariat)</t>
  </si>
  <si>
    <t>MH8BF45DAAJ307066</t>
  </si>
  <si>
    <t>F496-ID-381647</t>
  </si>
  <si>
    <t>KH2722PY</t>
  </si>
  <si>
    <t>H-11011853M</t>
  </si>
  <si>
    <t>Penanggungjawab/Pemakai ABDUL KAHFI (Penjaga malam Disperkimtan)</t>
  </si>
  <si>
    <t>MH8BF45DAAJ308403</t>
  </si>
  <si>
    <t>F496-ID-382827</t>
  </si>
  <si>
    <t>KH2723PY</t>
  </si>
  <si>
    <t>11011854M</t>
  </si>
  <si>
    <t>Penanggungjawab MUHAMMAD ABDUL RASYIID, S.P, Pemakai IRFANDI (Bid. Pertanahan)</t>
  </si>
  <si>
    <t>MH8BF45DAAJ309411</t>
  </si>
  <si>
    <t>F496-ID-383666</t>
  </si>
  <si>
    <t>KH2724PY</t>
  </si>
  <si>
    <t>H-11011855M</t>
  </si>
  <si>
    <t>Penanggungjawab/Pemakai MUHAMMAD ALPIUDIN (Pembantu Pengurus Barang Pengguna)</t>
  </si>
  <si>
    <t>Szuki Shogun FL 125 RCD / Szuki Shogun FL 125 RCD</t>
  </si>
  <si>
    <t>125 CC</t>
  </si>
  <si>
    <t>MH8BF45DA8J207913</t>
  </si>
  <si>
    <t>F496-ID-257012</t>
  </si>
  <si>
    <t>KH2506PY</t>
  </si>
  <si>
    <t>4847944M</t>
  </si>
  <si>
    <t>Penanggungjawab/Pemakai MARLIA KOMALASARI, A.Md.Ak (Sekretariat)</t>
  </si>
  <si>
    <t>SUZUKI  SHOGUN / SUZUKI  SHOGUN</t>
  </si>
  <si>
    <t>MH8BF45DA8J208269</t>
  </si>
  <si>
    <t>F4961D257242</t>
  </si>
  <si>
    <t>KH 2503 PY</t>
  </si>
  <si>
    <t>F 4847941 M</t>
  </si>
  <si>
    <t>Penanggungjawab/Pemakai K U S N A N (Pengelola Perumahan dan Permukiman)</t>
  </si>
  <si>
    <t>HONDA / CB150 VERZA CW - 2023</t>
  </si>
  <si>
    <t>MH1KC0214PK209966</t>
  </si>
  <si>
    <t>KC02E1209484</t>
  </si>
  <si>
    <t>KH 5204 PY</t>
  </si>
  <si>
    <t>T-03529071</t>
  </si>
  <si>
    <t>Pemakai/Penanggungjawab  MULIYANUR (Pengurus Barang Disperkimtan)</t>
  </si>
  <si>
    <t>HONDA / CB150 VERZA CW - 2023 (B5D02K29M2 M/T)</t>
  </si>
  <si>
    <t>MH1KC0217PK210416</t>
  </si>
  <si>
    <t>KC02E1209939</t>
  </si>
  <si>
    <t>KH 5205 PY</t>
  </si>
  <si>
    <t>T-03529072</t>
  </si>
  <si>
    <t>Pemakai/Penanggungjawab JAMIL HUSIN, ST (Analis Kebijakan Bidang Perumahan Rakyat)</t>
  </si>
  <si>
    <t>MH1KC0219PK210420</t>
  </si>
  <si>
    <t>KC02E1209942</t>
  </si>
  <si>
    <t>KH 5206 PY</t>
  </si>
  <si>
    <t>T-035229073</t>
  </si>
  <si>
    <t>Pemakai/Penanggungjawab RISTO PRATAMA, ST (Analis Prasarana Perkotaan dan Pedesaan Bidang Kawasan Permukiman)</t>
  </si>
  <si>
    <t>VARIIO / 160 CBS</t>
  </si>
  <si>
    <t>160 CC</t>
  </si>
  <si>
    <t>Besi, campuran</t>
  </si>
  <si>
    <t>MH1KF0111PK5493503</t>
  </si>
  <si>
    <t>KF01E1493638</t>
  </si>
  <si>
    <t>KH 5247 PY</t>
  </si>
  <si>
    <t>U-01973495</t>
  </si>
  <si>
    <t>Penanggungjawab/Pemakai VARIO 160 CBS Merah Doff - Sekretaris Disperkimtan</t>
  </si>
  <si>
    <t>MH1KF0119PK538140</t>
  </si>
  <si>
    <t>KF01E1538153</t>
  </si>
  <si>
    <t>KH 5250 PY</t>
  </si>
  <si>
    <t>U-01973498</t>
  </si>
  <si>
    <t>Penanggungjawab/Pemakai VARIO 160 CBS Hitam - MARULAM ABDI MARTUA SIAHAAN, ST (Kabid. Pertanahan)</t>
  </si>
  <si>
    <t>MH1KF0117PK544373</t>
  </si>
  <si>
    <t>KF01E1544354</t>
  </si>
  <si>
    <t>KH 5248 PY</t>
  </si>
  <si>
    <t>U-01973496</t>
  </si>
  <si>
    <t>Penanggungjawab/Pemakai VARIO 160 CBS Hitam - Kasubbag. Penyusunan Program dan Keuangan</t>
  </si>
  <si>
    <t>MH1KF0117PK527752</t>
  </si>
  <si>
    <t>KF01E1527755</t>
  </si>
  <si>
    <t>KH 5251 PY</t>
  </si>
  <si>
    <t>U-01973499</t>
  </si>
  <si>
    <t>Penanggungjawab/Pemakai VARIO 160 CBS Hitam - MUHAMMAD SADLI, SE (Analis Kebijakan Bidang Perumahan Rakyat)</t>
  </si>
  <si>
    <t>MH1KF0117PK543854</t>
  </si>
  <si>
    <t>KF01E1543865</t>
  </si>
  <si>
    <t>Penanggungjawab/Pemakai VARIO 160 CBS Hitam -  (ALAMSYAH/Bendahara Pengeluaran)</t>
  </si>
  <si>
    <t>VARIO / 160 ABS</t>
  </si>
  <si>
    <t>156,93 CC</t>
  </si>
  <si>
    <t>Besi, Campuran</t>
  </si>
  <si>
    <t>MH1KFA117RK249525</t>
  </si>
  <si>
    <t>KFA1E1249202</t>
  </si>
  <si>
    <t>KH 5319 PY</t>
  </si>
  <si>
    <t>V-00169645</t>
  </si>
  <si>
    <t>Pemakai/Penanggungjawab KEPALA DINAS (warna motor Honda VARIO Hijau Doff)</t>
  </si>
  <si>
    <t>MH1KFA113RK249554</t>
  </si>
  <si>
    <t>KFA1E1249276</t>
  </si>
  <si>
    <t>KH 5318 PY</t>
  </si>
  <si>
    <t>V-00169644</t>
  </si>
  <si>
    <t>Pemakai/Penanggungjawab MUHAMMAD ABDUL RASYIID, S.P (warna motor Honda VARIO HijAU Doff)</t>
  </si>
  <si>
    <t>MH1KFA113RK251028</t>
  </si>
  <si>
    <t>KFA1E1250925</t>
  </si>
  <si>
    <t>KH 5317 PY</t>
  </si>
  <si>
    <t>V-00169643</t>
  </si>
  <si>
    <t>Pemakai/Penanggungjawab MURNI INDRA PARASTUTI, S.Pi (warna motor Honda VARIO Putih Doff)</t>
  </si>
  <si>
    <t>MH1KFA118RK251056</t>
  </si>
  <si>
    <t>KH 5316 PY</t>
  </si>
  <si>
    <t>V-00169642</t>
  </si>
  <si>
    <t>Pemakai/Penanggungjawab IRWAN PRASASTI, S.STPi., M.A.P (warna motor Honda VARIO Putih Doff)</t>
  </si>
  <si>
    <t>MH1KFA117RK253137</t>
  </si>
  <si>
    <t>KFAIE1252952</t>
  </si>
  <si>
    <t>KH 5320 PY</t>
  </si>
  <si>
    <t>V-00169646</t>
  </si>
  <si>
    <t>Pemakai/Penanggungjawab Kabid. Perumahan Rakyat (warna motor Honda VARIO Hitam Doff)</t>
  </si>
  <si>
    <t>MH1KFA113RK253159</t>
  </si>
  <si>
    <t>KFAIE1252901</t>
  </si>
  <si>
    <t>KH 5315 PY</t>
  </si>
  <si>
    <t>V-00169641</t>
  </si>
  <si>
    <t>Pemakai/Penanggungjawab GAZALI RAHMAN, S. Hut (warna motor Honda VARIO Hitam Doff)</t>
  </si>
  <si>
    <t>TOYOTA NEW KIJANG INNOVA G M/T Bensin VIN 2015 MIN / TOYOTA NEW KIJANG INNOVA G M/T Bensin VIN 2015</t>
  </si>
  <si>
    <t>26.02.2015 51</t>
  </si>
  <si>
    <t>MHFXW42G3F2307758</t>
  </si>
  <si>
    <t>1 TR7983439</t>
  </si>
  <si>
    <t>KH 1205 PU</t>
  </si>
  <si>
    <t>L 06940395 M</t>
  </si>
  <si>
    <t>M. GAZALI, S.Pd ( BADAN kEHORMATAN DPR)</t>
  </si>
  <si>
    <t>TOYOTA   / VELOZ 1.5 Q HYBRID CVT TSS MODELLISTA One Tone</t>
  </si>
  <si>
    <t>1496 CC</t>
  </si>
  <si>
    <t>MHFA71BY6T0010131</t>
  </si>
  <si>
    <t>2NR Y713335/75156</t>
  </si>
  <si>
    <t>KH 1351 PU</t>
  </si>
  <si>
    <t>W-01352117 M</t>
  </si>
  <si>
    <t xml:space="preserve"> Kendaraan Dinas Operasional Kantor dan/Lapangan</t>
  </si>
  <si>
    <t>ISUZU NKR 71 KAROSERI DALMAS / ISUZU NKR 71 KAROSERI DALMAS</t>
  </si>
  <si>
    <t>4.570</t>
  </si>
  <si>
    <t>MHCNK71LYCJ040315</t>
  </si>
  <si>
    <t>B040315</t>
  </si>
  <si>
    <t>KH 8086 PU</t>
  </si>
  <si>
    <t>J-04704880 M</t>
  </si>
  <si>
    <t>SATPOL-PP</t>
  </si>
  <si>
    <t>TOYOTA NEW HILUX DOUBLE CABIN E M/T DIESEL / TOYOTA NEW HILUX DOUBLE CABIN E M/T DIESEL</t>
  </si>
  <si>
    <t>2.500</t>
  </si>
  <si>
    <t>MROFR22G7D0769429</t>
  </si>
  <si>
    <t>2KDS281252</t>
  </si>
  <si>
    <t>KH 8103 PW</t>
  </si>
  <si>
    <t>K 02904488 M</t>
  </si>
  <si>
    <t>SATPOL PP</t>
  </si>
  <si>
    <t>TOYOTA ALL NEW HILUX DOUBLE CABIN 2.5 E (4X4) M/T  / TOYOTA ALL NEW HILUX DOUBLE CABIN 2.5 E (4X4) M</t>
  </si>
  <si>
    <t>MRODS8CD8H0331107</t>
  </si>
  <si>
    <t>2KDU959420</t>
  </si>
  <si>
    <t>KH 8162 PW</t>
  </si>
  <si>
    <t>M 10655038 M</t>
  </si>
  <si>
    <t>SATPOL PP /KEBAKARAN</t>
  </si>
  <si>
    <t>HONDA Mega Pro / HONDA Mega Pro</t>
  </si>
  <si>
    <t>MH1KEHL114K075386</t>
  </si>
  <si>
    <t>KFHLE10775666</t>
  </si>
  <si>
    <t>KH 3074 PM</t>
  </si>
  <si>
    <t>C-9606046M</t>
  </si>
  <si>
    <t>Honda Mega Pro (Hitam) KH 2595 PY EX. KH 3074 PM</t>
  </si>
  <si>
    <t>HONDA  VARIO NC11A2CB AT / HONDA  VARIO NC11A2CB AT</t>
  </si>
  <si>
    <t>MH1JF3118AK176788</t>
  </si>
  <si>
    <t>JF31E0175983</t>
  </si>
  <si>
    <t>KH 2638 PY</t>
  </si>
  <si>
    <t>H-06859667 M</t>
  </si>
  <si>
    <t>SATPOLL PP</t>
  </si>
  <si>
    <t>MH1KC5214FK255745</t>
  </si>
  <si>
    <t>KC52E1253603</t>
  </si>
  <si>
    <t>KH 4352 PY</t>
  </si>
  <si>
    <t>L 06930521 M</t>
  </si>
  <si>
    <t>PENYIMPAN BARANG SATPOLL PP</t>
  </si>
  <si>
    <t>HONDA CRF 150 / HONDA CRF 150</t>
  </si>
  <si>
    <t>BESI CAMPURAN</t>
  </si>
  <si>
    <t>MH1KD111XLK147536</t>
  </si>
  <si>
    <t>KD11E1146610</t>
  </si>
  <si>
    <t>KH 4931 PY</t>
  </si>
  <si>
    <t>Q-08280988</t>
  </si>
  <si>
    <t>Pengadaan Motor Trail Operasional Karhutla</t>
  </si>
  <si>
    <t>MHLX150GMJP89571</t>
  </si>
  <si>
    <t>LX150CEWR2659</t>
  </si>
  <si>
    <t>KH 5014 PY</t>
  </si>
  <si>
    <t>R-02937382</t>
  </si>
  <si>
    <t>MH4LX15GMJP88450</t>
  </si>
  <si>
    <t>LX150CEWP5583</t>
  </si>
  <si>
    <t>KH 5083 PY</t>
  </si>
  <si>
    <t>R-02937450</t>
  </si>
  <si>
    <t>MHLX150GMJP88606</t>
  </si>
  <si>
    <t>LX150CEWP5130</t>
  </si>
  <si>
    <t>KH 5084 PY</t>
  </si>
  <si>
    <t>R-02937451</t>
  </si>
  <si>
    <t>HONDA / VARIO 160 ABS</t>
  </si>
  <si>
    <t>156 CC</t>
  </si>
  <si>
    <t>Besi Campur</t>
  </si>
  <si>
    <t>MH1KFA116SK343532</t>
  </si>
  <si>
    <t>KFA1E1343332</t>
  </si>
  <si>
    <t>KH 5434 PY</t>
  </si>
  <si>
    <t>W01352117M</t>
  </si>
  <si>
    <t>Sepeda Motor (Kendaraan Bermotor Beroda Dua)</t>
  </si>
  <si>
    <t>TOYOTA INNOVA V M/T / TOYOTA INNOVA V M/T</t>
  </si>
  <si>
    <t>2.000</t>
  </si>
  <si>
    <t>MHFXW43G1B4087828</t>
  </si>
  <si>
    <t>1TR7830502</t>
  </si>
  <si>
    <t>KH 1182 PU</t>
  </si>
  <si>
    <t>K 06866183 M</t>
  </si>
  <si>
    <t>KESBANG</t>
  </si>
  <si>
    <t>TOYOTA INNOVA G M/T NEW / TOYOTA INNOVA G M/T NEW</t>
  </si>
  <si>
    <t>1.998</t>
  </si>
  <si>
    <t>MHFXW42G1B2211203</t>
  </si>
  <si>
    <t>1TR7231473</t>
  </si>
  <si>
    <t>KH 1151 PU</t>
  </si>
  <si>
    <t>I-06797752 M</t>
  </si>
  <si>
    <t>Kepala Badan Kesatuan Bangsa dan Politik (Agus SUharto, S.Sos.)</t>
  </si>
  <si>
    <t>MH1JFT110HK087144</t>
  </si>
  <si>
    <t>JFT1E 1086571</t>
  </si>
  <si>
    <t>KH 4608 PY</t>
  </si>
  <si>
    <t>M 12805849 M</t>
  </si>
  <si>
    <t>MH1JFT117HK086090</t>
  </si>
  <si>
    <t>JFT1E085697</t>
  </si>
  <si>
    <t>KH 4616 PY</t>
  </si>
  <si>
    <t>M 12805857 M</t>
  </si>
  <si>
    <t>Sekban ( Ramiah, S.Pd)</t>
  </si>
  <si>
    <t>HONDA SUPRA AFX12U21C07 M/T / HONDA SUPRA AFX12U21C07 M/T</t>
  </si>
  <si>
    <t>MH1JBN115FK081216</t>
  </si>
  <si>
    <t>JBN1E-1079405</t>
  </si>
  <si>
    <t>KH 4395 PY</t>
  </si>
  <si>
    <t>L 06937003 M</t>
  </si>
  <si>
    <t>Kesbangpol</t>
  </si>
  <si>
    <t>MH1KC521XDK032431</t>
  </si>
  <si>
    <t>KC52E1032667</t>
  </si>
  <si>
    <t>KH 4166 PY</t>
  </si>
  <si>
    <t>K-05626010 M</t>
  </si>
  <si>
    <t>Pembantu Pengurus Barang(Reynaldi Gusti P)</t>
  </si>
  <si>
    <t>HONDA BEAT / HONDA BEAT</t>
  </si>
  <si>
    <t>MH1JM9116MK956947</t>
  </si>
  <si>
    <t>JM91E1955196</t>
  </si>
  <si>
    <t>KH 5124 PY</t>
  </si>
  <si>
    <t>S 00385802M</t>
  </si>
  <si>
    <t>Kasubid Tata Usaha (Mayda A.R Sirait, S.Hut)</t>
  </si>
  <si>
    <t>MH1JM9110MK956958</t>
  </si>
  <si>
    <t>JM91E1955058</t>
  </si>
  <si>
    <t>KH 5125 PY</t>
  </si>
  <si>
    <t>S 00385803 M</t>
  </si>
  <si>
    <t>Kasubbag Perencanaan (Seri Hindani, S.Pi)</t>
  </si>
  <si>
    <t>Suzuki FL 125 / Suzuki FL 125</t>
  </si>
  <si>
    <t>MH8BF45DA8J207925</t>
  </si>
  <si>
    <t>F496-ID-257083</t>
  </si>
  <si>
    <t>KH 2507 PY</t>
  </si>
  <si>
    <t>F 4847945 M</t>
  </si>
  <si>
    <t>Honda  / Honda</t>
  </si>
  <si>
    <t>MH1JB9125AK389348</t>
  </si>
  <si>
    <t>JB91E-2383262</t>
  </si>
  <si>
    <t>KH 4010 PY</t>
  </si>
  <si>
    <t>H 06857.577 M</t>
  </si>
  <si>
    <t>Bendahara (Parlan)</t>
  </si>
  <si>
    <t>Kawasaki  KLX 150BF / Kawasaki  KLX 150BF</t>
  </si>
  <si>
    <t>MH4LX150FFJP04665</t>
  </si>
  <si>
    <t>LX150CEPP1659</t>
  </si>
  <si>
    <t>KH 4453 PY</t>
  </si>
  <si>
    <t>L 06971040 M</t>
  </si>
  <si>
    <t>BM. Pengadaan Alat-Alat Angkutan darat Bermotor</t>
  </si>
  <si>
    <t>TOYOTA KIJANG INNOVA E M/T BENSIN / TOYOTA KIJANG INNOVA E M/T BENSIN</t>
  </si>
  <si>
    <t>MHFXW41G9D0055620</t>
  </si>
  <si>
    <t>1TR 7492351</t>
  </si>
  <si>
    <t>KH 1169 PU</t>
  </si>
  <si>
    <t>K- 0255827 M</t>
  </si>
  <si>
    <t>Hitam, dipergunakan oleh Kepala Dinas</t>
  </si>
  <si>
    <t>TOYOTA HILUX DOUBLE CABIN E M/T Diesel VIN 2015 / TOYOTA HILUX DOUBLE CABIN E M/T Diesel VIN 2015</t>
  </si>
  <si>
    <t>MROFR22G2F0799280</t>
  </si>
  <si>
    <t>2KD U768729</t>
  </si>
  <si>
    <t>KH 8124 PW</t>
  </si>
  <si>
    <t>L 06940922 M</t>
  </si>
  <si>
    <t>BPBD</t>
  </si>
  <si>
    <t>Mitsubishi / Triton 2,5 L</t>
  </si>
  <si>
    <t>2.477</t>
  </si>
  <si>
    <t>MMBENKL30KH039239</t>
  </si>
  <si>
    <t>4D56UAX8304</t>
  </si>
  <si>
    <t>KH 9045 PW</t>
  </si>
  <si>
    <t>P02943189</t>
  </si>
  <si>
    <t>Mobil Pengangkut Peralatan</t>
  </si>
  <si>
    <t>MH1KC5211FK255704</t>
  </si>
  <si>
    <t>KC52E1253673</t>
  </si>
  <si>
    <t>KH 4368 PY</t>
  </si>
  <si>
    <t>L 06930537 M</t>
  </si>
  <si>
    <t>Hitam, dipergunakan oleh Pekerja Sosial pada bidang Pemberdayaan Sosial</t>
  </si>
  <si>
    <t>Besi, Plastik</t>
  </si>
  <si>
    <t>MH8BF45DAAJ-313003</t>
  </si>
  <si>
    <t>F496-ID-387368</t>
  </si>
  <si>
    <t>KH 2709 PY</t>
  </si>
  <si>
    <t>H-11006959</t>
  </si>
  <si>
    <t>Biru Hitam, Dipergunakan oleh Pembantu Pengurus Barang</t>
  </si>
  <si>
    <t>MH8BF45DAAJ208608</t>
  </si>
  <si>
    <t>F496-ID-257541</t>
  </si>
  <si>
    <t>KH 2493 PY</t>
  </si>
  <si>
    <t>E 4847931 M</t>
  </si>
  <si>
    <t>Hitam Merah, dipergunakan oleh Pekerja Sosial pada bidang Penanganan Bencana</t>
  </si>
  <si>
    <t>Honda / Honda</t>
  </si>
  <si>
    <t>MH1JB51166K546568</t>
  </si>
  <si>
    <t>JB51E-1543236</t>
  </si>
  <si>
    <t>KH 2058 PY</t>
  </si>
  <si>
    <t>E 1047096 M</t>
  </si>
  <si>
    <t>Putih biru, dipergunakan oleh Pekerja Sosial pada bidang Rehabilitas Sosial</t>
  </si>
  <si>
    <t>Honda NF 100 D / Honda NF 100 D</t>
  </si>
  <si>
    <t>MH1KEVA183K571320</t>
  </si>
  <si>
    <t>KEVAE1569524</t>
  </si>
  <si>
    <t>KH 2573 PY</t>
  </si>
  <si>
    <t>C 7848166 M</t>
  </si>
  <si>
    <t>Hitam Biru, dipergunakan oleh Staf Pengadminitrasian Perkantoran pada Subbag Umum, Perlengkapan dan Kepegawaian</t>
  </si>
  <si>
    <t>MH8BF45DAAJ-303254</t>
  </si>
  <si>
    <t>F496-ID-378295</t>
  </si>
  <si>
    <t>KH 2708 PY</t>
  </si>
  <si>
    <t>H-11006958</t>
  </si>
  <si>
    <t>Hitam Orange, dipergunakan oleh Kabid Rehabilitasi Sosial</t>
  </si>
  <si>
    <t>MH1KC2118CK064410</t>
  </si>
  <si>
    <t>KC21E1064259</t>
  </si>
  <si>
    <t>KH 4070 PY</t>
  </si>
  <si>
    <t>I-10731494 M</t>
  </si>
  <si>
    <t>Hitam</t>
  </si>
  <si>
    <t>Yamaha 4D7 / Yamaha 4D7</t>
  </si>
  <si>
    <t>MH34D70027J535690</t>
  </si>
  <si>
    <t>4D7-535694</t>
  </si>
  <si>
    <t>KH 2183 PY</t>
  </si>
  <si>
    <t>E 7028672 M</t>
  </si>
  <si>
    <t>Biru, dipergunakan oleh Kasubbag Umum, Perlengkapan dan Kepegawaian</t>
  </si>
  <si>
    <t>02.02.01.04.002</t>
  </si>
  <si>
    <t>Scooter</t>
  </si>
  <si>
    <t>Suzuki Skydrive UK 125 SC AT / Suzuki Skydrive UK 125 SC AT</t>
  </si>
  <si>
    <t>Besi, Aluminium</t>
  </si>
  <si>
    <t>MH8CF48NAAJ-197374</t>
  </si>
  <si>
    <t>F4A9-ID-197424</t>
  </si>
  <si>
    <t>KH 2707 PY</t>
  </si>
  <si>
    <t>H-11006965</t>
  </si>
  <si>
    <t>Hitam, dipergunakan oleh Kasubbag Penyusunan Program dan Keuangan</t>
  </si>
  <si>
    <t>02.02.01.06.110</t>
  </si>
  <si>
    <t>kendaraan bermotor khusus  lainnya (dst)</t>
  </si>
  <si>
    <t>Kaisar  / Kaisar</t>
  </si>
  <si>
    <t>MGDT15MKTAJ002411</t>
  </si>
  <si>
    <t>16FMJ 91475561</t>
  </si>
  <si>
    <t>KH 3479 PY</t>
  </si>
  <si>
    <t>1300</t>
  </si>
  <si>
    <t>MHKM5EA2JGK013353</t>
  </si>
  <si>
    <t>1NRF185104</t>
  </si>
  <si>
    <t>KH 1242 PU</t>
  </si>
  <si>
    <t>L 09757239 M</t>
  </si>
  <si>
    <t>Isuzu ELF NHR 55 cc / Isuzu ELF NHR 55 cc</t>
  </si>
  <si>
    <t>02771</t>
  </si>
  <si>
    <t>MHCNHR55EFJ065348</t>
  </si>
  <si>
    <t>M065348</t>
  </si>
  <si>
    <t>B 9311 SQU</t>
  </si>
  <si>
    <t>M03763092</t>
  </si>
  <si>
    <t>Mobile MTU (Mobile Training Unit)</t>
  </si>
  <si>
    <t>MH1JFZ12XJK860141</t>
  </si>
  <si>
    <t>JFZ1E2857664</t>
  </si>
  <si>
    <t>KH 4753 PY</t>
  </si>
  <si>
    <t>002643614 M</t>
  </si>
  <si>
    <t>MH1JFS119FK106363</t>
  </si>
  <si>
    <t>JFS1E114554</t>
  </si>
  <si>
    <t>KH 4390 PY</t>
  </si>
  <si>
    <t>L 06931773 M</t>
  </si>
  <si>
    <t>Sepeda Motor/ Pengurus Barang</t>
  </si>
  <si>
    <t>MH1KC5219FK255126</t>
  </si>
  <si>
    <t>KC52E125818</t>
  </si>
  <si>
    <t>KH 4366 PY</t>
  </si>
  <si>
    <t>L 06930535 M</t>
  </si>
  <si>
    <t>Sepeda Motor/ Sekretaris</t>
  </si>
  <si>
    <t>SUZUKI FK 110 SCD / SUZUKI FK 110 SCD</t>
  </si>
  <si>
    <t>MH8BE4DF48J-627143</t>
  </si>
  <si>
    <t>E451-ID-643463</t>
  </si>
  <si>
    <t>KH 2515 PY</t>
  </si>
  <si>
    <t>F 4847953 M</t>
  </si>
  <si>
    <t>Sepeda Motor/Kasi Pelatihan Kerja dan Produktivitas Tenaga Kerja</t>
  </si>
  <si>
    <t>MH8BE4DF8J-630919</t>
  </si>
  <si>
    <t>E451-ID-646114</t>
  </si>
  <si>
    <t>KH 2514 PY</t>
  </si>
  <si>
    <t>F 4847952 M</t>
  </si>
  <si>
    <t>Sepeda Motor/Kasi Pengupahan dan JSTK</t>
  </si>
  <si>
    <t>MH8BE4DFA8J-628291</t>
  </si>
  <si>
    <t>E451-ID-644412</t>
  </si>
  <si>
    <t>KH 2516 PY</t>
  </si>
  <si>
    <t>F 4847954 M</t>
  </si>
  <si>
    <t>sepeda motor / a.n Bia</t>
  </si>
  <si>
    <t>MH1JF311XAK176789</t>
  </si>
  <si>
    <t>JF31E0175982</t>
  </si>
  <si>
    <t>KH 2645 PY</t>
  </si>
  <si>
    <t>H-06859660 M</t>
  </si>
  <si>
    <t>Sepeda Motor/ Kasubag. Perencanaan dan Keuangan</t>
  </si>
  <si>
    <t>SUZUKI FW110SCD / SUZUKI FW110SCD</t>
  </si>
  <si>
    <t>113</t>
  </si>
  <si>
    <t>MH8BE4DUAAJI53159</t>
  </si>
  <si>
    <t>E470ID159039</t>
  </si>
  <si>
    <t>KH 2711 PY</t>
  </si>
  <si>
    <t>H 11006961 MM</t>
  </si>
  <si>
    <t>Sepeda Motor/Kabid Transmigrasi</t>
  </si>
  <si>
    <t>MH1JBE219CK192121</t>
  </si>
  <si>
    <t>JBE2E1189685</t>
  </si>
  <si>
    <t>KH 4072 PY</t>
  </si>
  <si>
    <t>I-10731496 M</t>
  </si>
  <si>
    <t>Sepeda Motor/ Kepala Dinas</t>
  </si>
  <si>
    <t>MH1JBE213CK183639</t>
  </si>
  <si>
    <t>JBE2E1180439</t>
  </si>
  <si>
    <t>KH 4075 PY</t>
  </si>
  <si>
    <t>I-10731499 M</t>
  </si>
  <si>
    <t>Sepeda Motor/ Kasubag. Umum</t>
  </si>
  <si>
    <t>MH1JBE211CK191769</t>
  </si>
  <si>
    <t>JBE2E1189387</t>
  </si>
  <si>
    <t>KH 4056 PY</t>
  </si>
  <si>
    <t>I-10729966 M</t>
  </si>
  <si>
    <t>Sepeda Motor/ Kabis Pelatihan dan Penempatan TK</t>
  </si>
  <si>
    <t>Kawasaki KLX 150		 / Kawasaki KLX 150</t>
  </si>
  <si>
    <t>MH4LX150CCKP61543</t>
  </si>
  <si>
    <t>LX150CEP96221</t>
  </si>
  <si>
    <t>KH 4162 PY</t>
  </si>
  <si>
    <t>J-04700919 M</t>
  </si>
  <si>
    <t>Sepeda Motor/ Kasi Pengembangan Masyarakat dan Kawasan Trans</t>
  </si>
  <si>
    <t>000124</t>
  </si>
  <si>
    <t>MH1JFV115FK193079</t>
  </si>
  <si>
    <t>JFV1E-1194305</t>
  </si>
  <si>
    <t>KH 4412 PY</t>
  </si>
  <si>
    <t>L 06955151 M</t>
  </si>
  <si>
    <t>TOYOTA/KD22M/T03COMM / TOYOTA/KD22M/T03COMM</t>
  </si>
  <si>
    <t>2500cc</t>
  </si>
  <si>
    <t>03.07.2019.12</t>
  </si>
  <si>
    <t>JTFSS22P4K0186113</t>
  </si>
  <si>
    <t>2KDB004278</t>
  </si>
  <si>
    <t>KH7004PU</t>
  </si>
  <si>
    <t>T730-2019000908</t>
  </si>
  <si>
    <t>Pengguna An. Ridho Fahnuryadi, SKM., MM (Kabid Pengendalian Penduduk dan Pembinaa Keluarga Berencana. (MOBIL ANGKUT AKSEPTOR KB)</t>
  </si>
  <si>
    <t>TOYOTA / INOVA REBON</t>
  </si>
  <si>
    <t>MHFJW8BM1R2413323</t>
  </si>
  <si>
    <t>1TRB195741</t>
  </si>
  <si>
    <t>KH1336PU</t>
  </si>
  <si>
    <t>V-04726619M</t>
  </si>
  <si>
    <t>Pengguna An. Arniansyah, S.Pd., MM (Kepala Dinas)</t>
  </si>
  <si>
    <t>Honda  NF 125 SL / Honda  NF 125 SL</t>
  </si>
  <si>
    <t>MH. 1HB311X5K141377</t>
  </si>
  <si>
    <t>HB31E-1124200</t>
  </si>
  <si>
    <t>KH 2051 PY</t>
  </si>
  <si>
    <t>Pengguna An. Sumantri (Koordinator Balai Penyuluhan Kb di Kec. Seruyan Hulu)</t>
  </si>
  <si>
    <t>Honda NF 125 SC / Honda NF 125 SC</t>
  </si>
  <si>
    <t>MH.1JB52126K124026</t>
  </si>
  <si>
    <t>JB52E-1123747</t>
  </si>
  <si>
    <t>KH 2057 PY</t>
  </si>
  <si>
    <t>E 1047098 M</t>
  </si>
  <si>
    <t>Pengguna An. Ahmad Azis</t>
  </si>
  <si>
    <t>Shogun FL 125 SD / Shogun FL 125 SD</t>
  </si>
  <si>
    <t>MH.8BF45CAAJ-172002</t>
  </si>
  <si>
    <t>F496-ID-368612</t>
  </si>
  <si>
    <t>KH 2677 PY</t>
  </si>
  <si>
    <t>H 11006979 M</t>
  </si>
  <si>
    <t>Pengguna An. Ismulyani (Penyuluh Keluarga Berencana di  Kec. Seruyan Hilir)</t>
  </si>
  <si>
    <t>MH.8BF45CAAJ-172036</t>
  </si>
  <si>
    <t>F496-ID-369284</t>
  </si>
  <si>
    <t>KH 2675 PY</t>
  </si>
  <si>
    <t>H 11006975 M</t>
  </si>
  <si>
    <t>Pengguna An. Fahrizal Anwar (Penyuluh Keluarga Berencana di Kec. Danau Seluluk)</t>
  </si>
  <si>
    <t>HONDA REVO FIT FI / HONDA REVO FIT FI</t>
  </si>
  <si>
    <t>109.1</t>
  </si>
  <si>
    <t>MH1JBK11XEK116295</t>
  </si>
  <si>
    <t>JBK1E1116246</t>
  </si>
  <si>
    <t>KH 4311 PY</t>
  </si>
  <si>
    <t>L 04354133 M</t>
  </si>
  <si>
    <t>Pengguna An. Alfisyah S (Bendahara Pengeluaran)</t>
  </si>
  <si>
    <t>MH1JFJ110EK338262</t>
  </si>
  <si>
    <t>JFJ1E1334287</t>
  </si>
  <si>
    <t>KH 4318 PY</t>
  </si>
  <si>
    <t>L 04358931 M</t>
  </si>
  <si>
    <t>Pengguna An. Apriantoni (Kepala UPT PPA)</t>
  </si>
  <si>
    <t>MH1JFS119FK106332</t>
  </si>
  <si>
    <t>JFS1E1104486</t>
  </si>
  <si>
    <t>KH 4381 PY</t>
  </si>
  <si>
    <t>L 06931764 M</t>
  </si>
  <si>
    <t>Pengguna An. Ida Frida</t>
  </si>
  <si>
    <t>MH1KC5213FK255512</t>
  </si>
  <si>
    <t>KC52E1253369</t>
  </si>
  <si>
    <t>KH 4351 PY</t>
  </si>
  <si>
    <t>L 06930520 M</t>
  </si>
  <si>
    <t>Pengguna An. Nurmubin, A.Md.Kom (Pengurus Barang)</t>
  </si>
  <si>
    <t>MH8BF45CAAJ171904</t>
  </si>
  <si>
    <t>F496-ID-368579</t>
  </si>
  <si>
    <t>KH 2676 PY</t>
  </si>
  <si>
    <t>H 11006976</t>
  </si>
  <si>
    <t>Pengguna Ichwanus Sobah, SKM. (Penyuluh Keluarga Berencana pada Kec. Hanau)</t>
  </si>
  <si>
    <t>MH.8BF45CAAJ-172025</t>
  </si>
  <si>
    <t>F496-ID-369260</t>
  </si>
  <si>
    <t>KH 2671 PY</t>
  </si>
  <si>
    <t>H 11006973 M</t>
  </si>
  <si>
    <t>Pengguna An. Yusi Yusfika, A.Md (Penyuluh Keluarga Berencana di Kec. Suling Tambun)</t>
  </si>
  <si>
    <t>MH.8BF45CAAJ-172031</t>
  </si>
  <si>
    <t>F496-ID-369257</t>
  </si>
  <si>
    <t>KH 2670 PY</t>
  </si>
  <si>
    <t>H 11006984 M</t>
  </si>
  <si>
    <t>Pengguna An. Yuliani Rahmah, SKM (Penyuluh Keluarga Berencana di Kec. Batu Ampar)</t>
  </si>
  <si>
    <t>MH.8BF45CAAJ-171988</t>
  </si>
  <si>
    <t>F496-ID-369268</t>
  </si>
  <si>
    <t>KH 2674 PY</t>
  </si>
  <si>
    <t>Pengguna An. Husaini (Koordinator Lapangan Satuan Pelayanan Keluarga Berencana Wilayah Kec. Seruyan Raya)</t>
  </si>
  <si>
    <t>MH.8BF45CAAJ-172029</t>
  </si>
  <si>
    <t>F496-ID-369255</t>
  </si>
  <si>
    <t>KH 2682 PY</t>
  </si>
  <si>
    <t>H 11006981 M</t>
  </si>
  <si>
    <t>Pengguna An. Sulistianingsih (Penyuluh Keluarga Berencana di  Kec. Seruyan Hulu )</t>
  </si>
  <si>
    <t>MH.8BF45CAAJ-172009</t>
  </si>
  <si>
    <t>F496-ID-369247</t>
  </si>
  <si>
    <t>KH 2681 PY</t>
  </si>
  <si>
    <t>H 11006974 M</t>
  </si>
  <si>
    <t>Pengguana An. Simy Sutriana (Petugas Lapangan Keluarga Berencana Wilayah Kec. Batu Ampar)</t>
  </si>
  <si>
    <t>MH.8BF45CAAJ-172027</t>
  </si>
  <si>
    <t>F496-ID-369261</t>
  </si>
  <si>
    <t>KH 2672 PY</t>
  </si>
  <si>
    <t>H 11006982 M</t>
  </si>
  <si>
    <t>Pengguna An. Rina Angraini (Penyuluh Keluarga Berencana di Kec. Danau Sembuluh)</t>
  </si>
  <si>
    <t>Honda Kharisma XD / Honda Kharisma XD</t>
  </si>
  <si>
    <t>MH. 1JB2145K522085</t>
  </si>
  <si>
    <t>JE22E-1429549</t>
  </si>
  <si>
    <t>KH 2021 PY</t>
  </si>
  <si>
    <t>D8035770</t>
  </si>
  <si>
    <t>Usulan Penghapusan (Penjualan)</t>
  </si>
  <si>
    <t>HONDA / BEAT STREET</t>
  </si>
  <si>
    <t>109,51</t>
  </si>
  <si>
    <t>MH1JMG111RK193358</t>
  </si>
  <si>
    <t>JMG1E1193275</t>
  </si>
  <si>
    <t>KH 5369 PY</t>
  </si>
  <si>
    <t>V04722668M</t>
  </si>
  <si>
    <t>Pengguna An. Istiyanan (Kabid Pemberdayaan dan Peningkatan Keluarga Sejahtera)</t>
  </si>
  <si>
    <t>MH1JMG119RK192149</t>
  </si>
  <si>
    <t>JMG1E1192252</t>
  </si>
  <si>
    <t>KH 5371 PY</t>
  </si>
  <si>
    <t>V04722670M</t>
  </si>
  <si>
    <t>Pengguna An. Ajiansyah (Kabid Bidang Pengarusutamaan Gender, Perlindungan Perempuan dan Peningkatan Kualitas Keluarga)</t>
  </si>
  <si>
    <t>MH1JMG119RK193334</t>
  </si>
  <si>
    <t>JMG1E1193448</t>
  </si>
  <si>
    <t>KH 5370 PY</t>
  </si>
  <si>
    <t>V04722669M</t>
  </si>
  <si>
    <t>Pengguna An. Deby Sri Wulandani (Kasubbag Keuangan dan Penyusunan Program)</t>
  </si>
  <si>
    <t>HONDA / VARIO 160 CBS</t>
  </si>
  <si>
    <t>156,93</t>
  </si>
  <si>
    <t>MH1KF0110RK797571</t>
  </si>
  <si>
    <t>KF01E1796408</t>
  </si>
  <si>
    <t>KH 5375 PY</t>
  </si>
  <si>
    <t>V04722674M</t>
  </si>
  <si>
    <t>Pengguna An. Rio Stepanus Tundan, SH (Kasubbag Umum, Perlengkapan dan Kepegawaiaan)</t>
  </si>
  <si>
    <t>MH1KF0114RK799842</t>
  </si>
  <si>
    <t>KF01E1798682</t>
  </si>
  <si>
    <t>KH 5376 PY</t>
  </si>
  <si>
    <t>V04722675M</t>
  </si>
  <si>
    <t>Pengguna An. Ridho Fahnuryadi, SKM., MM (Kabid Pengendalian Penduduk dan Pembinaan Keluarga Berencana)</t>
  </si>
  <si>
    <t>MH1KF011XRK799845</t>
  </si>
  <si>
    <t>KF01E1798683</t>
  </si>
  <si>
    <t>KH 5373 PY</t>
  </si>
  <si>
    <t>V04722672M</t>
  </si>
  <si>
    <t>Pengguna An. Hairil Anwar (Sekretaris Dinas)</t>
  </si>
  <si>
    <t>MH1KF0110RK799823</t>
  </si>
  <si>
    <t>KF01E1798622</t>
  </si>
  <si>
    <t>KH 5374 PY</t>
  </si>
  <si>
    <t>V04722673M</t>
  </si>
  <si>
    <t>MH1KF0110RK797585</t>
  </si>
  <si>
    <t>KF01E1796419</t>
  </si>
  <si>
    <t>KH 5372 PY</t>
  </si>
  <si>
    <t>V04722671M</t>
  </si>
  <si>
    <t>Pengguna An. Pirus Yuani (Kabid Pengelolaan Data Gender dan Anak, Pemenuhan Hak dan Perlindungan Khusus Anak)</t>
  </si>
  <si>
    <t>MHFXW41G9D0055371</t>
  </si>
  <si>
    <t>1TR 7484087</t>
  </si>
  <si>
    <t>KH 1174 PU</t>
  </si>
  <si>
    <t>K-02558280 M</t>
  </si>
  <si>
    <t>DISTANAK</t>
  </si>
  <si>
    <t>TOYOTA NEW KIJANG INNOVA G M/T BENSIN / TOYOTA NEW KIJANG INNOVA G M/T BENSIN</t>
  </si>
  <si>
    <t>MHFXW42G5D2275795</t>
  </si>
  <si>
    <t>1TR7689828</t>
  </si>
  <si>
    <t>KH 1177 PU</t>
  </si>
  <si>
    <t>K 03039977 M</t>
  </si>
  <si>
    <t>ASISTEN 1 /BU RUSNAH</t>
  </si>
  <si>
    <t>Suzuki Carrybian / Suzuki Carrybian</t>
  </si>
  <si>
    <t>1.298</t>
  </si>
  <si>
    <t>SJ51-TH700695</t>
  </si>
  <si>
    <t>G13B-TH700695</t>
  </si>
  <si>
    <t>KH 8022 PY</t>
  </si>
  <si>
    <t>F 2143279 M</t>
  </si>
  <si>
    <t>TOYOTA HILUX 2.5L DOUBLE CABIN E 4X4 M/T DIESEL / TOYOTA HILUX 2.5L DOUBLE CABIN E 4X4 M/T DIESEL</t>
  </si>
  <si>
    <t>2,494</t>
  </si>
  <si>
    <t>MROFR22G8C0621305</t>
  </si>
  <si>
    <t>2KD5866675</t>
  </si>
  <si>
    <t>KH 8083 PW</t>
  </si>
  <si>
    <t>J-04246947 M</t>
  </si>
  <si>
    <t>SUZUKI / AEV415W CX Type 2 (4x2)M/T</t>
  </si>
  <si>
    <t>1462</t>
  </si>
  <si>
    <t>MHYHDC61TPJ242077</t>
  </si>
  <si>
    <t>K15BT1562664</t>
  </si>
  <si>
    <t>KH 8230 PW</t>
  </si>
  <si>
    <t>U01952906M</t>
  </si>
  <si>
    <t>BELANJA MODAL KENDARAAN DINAS OPRASIONAL/LAPANGAN ( PICK UP SINGLE CABIN</t>
  </si>
  <si>
    <t>Honda Win  / Honda Win</t>
  </si>
  <si>
    <t>MH1HABA15XK041820</t>
  </si>
  <si>
    <t>HABAE-1041477</t>
  </si>
  <si>
    <t>KH 5444 AY</t>
  </si>
  <si>
    <t>PPL WKPP Desa Kuala Pembuang 1 Nopol lama KH 5724 AH</t>
  </si>
  <si>
    <t>Honda Mega pro  / Honda Mega pro</t>
  </si>
  <si>
    <t>B 6589 SQA</t>
  </si>
  <si>
    <t>HONDA GL 15 B1CF/VERZA 150 CW / HONDA GL 15 B1CF/VERZA 150 CW</t>
  </si>
  <si>
    <t>MH1KC5211DK033225</t>
  </si>
  <si>
    <t>KC52E1033137</t>
  </si>
  <si>
    <t>KH 4181 PY</t>
  </si>
  <si>
    <t>K 05633494 M</t>
  </si>
  <si>
    <t>KAWASAKI KLX150S/HITAM / KAWASAKI KLX150S/HITAM</t>
  </si>
  <si>
    <t>besi</t>
  </si>
  <si>
    <t>MH4LX150CEJP13026</t>
  </si>
  <si>
    <t>LX150CEPH3366</t>
  </si>
  <si>
    <t>KH 4272 PY</t>
  </si>
  <si>
    <t>L04350131M</t>
  </si>
  <si>
    <t>SYARIF ANGGAWI, S.Hut Kepala UPTD Perbenihan Rungau Raya</t>
  </si>
  <si>
    <t>MH1JFS119FK080959</t>
  </si>
  <si>
    <t>JFS1E1079123</t>
  </si>
  <si>
    <t>KH 4375 PY</t>
  </si>
  <si>
    <t>L 06931750 M</t>
  </si>
  <si>
    <t>RENSI SINTA NARULITA SIREGAR, S.St.PI ( Kabid Distribusi dan Kerawanan Pangan )</t>
  </si>
  <si>
    <t>MH1JBN112FK076409</t>
  </si>
  <si>
    <t>JBN1E1074598</t>
  </si>
  <si>
    <t>KH 4399 PY</t>
  </si>
  <si>
    <t>L 06937007 M</t>
  </si>
  <si>
    <t>JUMENNI SUPIANA PPL KEC. SERUYAN TENGAH Mutasi ( KH 4399 PY )</t>
  </si>
  <si>
    <t>Honda / Supra X 125 CW / Honda / Supra X 125 CW</t>
  </si>
  <si>
    <t>Besi / Plastik</t>
  </si>
  <si>
    <t>0</t>
  </si>
  <si>
    <t>MH1JBP11XLK802850</t>
  </si>
  <si>
    <t>JBP1E180856</t>
  </si>
  <si>
    <t>Kendaraan Operasional Kepala Dinas ( Belum ada BPKB ) Surat Keterangan dari PT. TRIO MOTOR  SAMPIT No: 24 / TM / IV / 2021 tanggal 5 April 2021</t>
  </si>
  <si>
    <t>MH1JBP11ZLK810814</t>
  </si>
  <si>
    <t>JBP1E1810741</t>
  </si>
  <si>
    <t>Kendaraan Operasional Sekretaris Dinas ( Belum ada BPKB )  Surat Keterangan dari PT. TRIO MOTOR  SAMPIT No: 24 / TM / IV / 2021 tanggal 5 April 2021</t>
  </si>
  <si>
    <t>Yamaha  YT 115  / Yamaha  YT 115</t>
  </si>
  <si>
    <t>115</t>
  </si>
  <si>
    <t>MH33WL003SK107741</t>
  </si>
  <si>
    <t>3HB-121095</t>
  </si>
  <si>
    <t>KH 785 FA</t>
  </si>
  <si>
    <t>Anak kandang Ds. Kartika Bhakti</t>
  </si>
  <si>
    <t>Yamaha  RXS  / Yamaha  RXS</t>
  </si>
  <si>
    <t>MH33WL003SK1107756</t>
  </si>
  <si>
    <t>3HB17121073</t>
  </si>
  <si>
    <t>KH 5019 LA</t>
  </si>
  <si>
    <t>BPP Tumbang manjul</t>
  </si>
  <si>
    <t>MH1HABA19K041870</t>
  </si>
  <si>
    <t>HABAE-1042024</t>
  </si>
  <si>
    <t>KH 5745 AH</t>
  </si>
  <si>
    <t>Gudang BPP Kuala Pembuang</t>
  </si>
  <si>
    <t>MH1HABA11XK041782</t>
  </si>
  <si>
    <t>HABAE-1042022</t>
  </si>
  <si>
    <t>KH 5727 AH</t>
  </si>
  <si>
    <t>MH1HABA18K042203</t>
  </si>
  <si>
    <t>HABAE-1042178</t>
  </si>
  <si>
    <t>KH 5422 AY</t>
  </si>
  <si>
    <t>Penyuluh (nopol lama KH 5771 AH)</t>
  </si>
  <si>
    <t>MH1HABA11XK042009</t>
  </si>
  <si>
    <t>HABAE-1041893</t>
  </si>
  <si>
    <t>KH 5754 AH</t>
  </si>
  <si>
    <t>Honda  Win  / Honda  Win</t>
  </si>
  <si>
    <t>MH1HABA11XK041684</t>
  </si>
  <si>
    <t>HABAE-1041829</t>
  </si>
  <si>
    <t>KH 5751 AH</t>
  </si>
  <si>
    <t>MH1HABA10XK040753</t>
  </si>
  <si>
    <t>HABAE-1041197</t>
  </si>
  <si>
    <t>KH 5766 AH</t>
  </si>
  <si>
    <t>Gudang BPP Kuala pembuang</t>
  </si>
  <si>
    <t>HA019-10571</t>
  </si>
  <si>
    <t>HABAE-1003522</t>
  </si>
  <si>
    <t>KH 561 FA</t>
  </si>
  <si>
    <t>MH1HABD194K049507</t>
  </si>
  <si>
    <t>HABDE-1049073</t>
  </si>
  <si>
    <t>KH 3062 PM</t>
  </si>
  <si>
    <t>Penyuluh</t>
  </si>
  <si>
    <t>MH1HABD144K049558</t>
  </si>
  <si>
    <t>HABDE1049252</t>
  </si>
  <si>
    <t>KH 2736 PY</t>
  </si>
  <si>
    <t>Tukang Kebun distanak (nopol lama KH 3060 PM)</t>
  </si>
  <si>
    <t>MH1HABD1X5K105861</t>
  </si>
  <si>
    <t>HABDE-1106181</t>
  </si>
  <si>
    <t>KH 2023 PY</t>
  </si>
  <si>
    <t>anak kandang</t>
  </si>
  <si>
    <t>MH1HABD1X5K10506</t>
  </si>
  <si>
    <t>HABDE-11066181</t>
  </si>
  <si>
    <t>KH 2037 PY</t>
  </si>
  <si>
    <t>Penjaga kantor BBP Hortikultura</t>
  </si>
  <si>
    <t>KH 6745 PM</t>
  </si>
  <si>
    <t>MH1HB95R11405</t>
  </si>
  <si>
    <t>KH 3063 PM</t>
  </si>
  <si>
    <t>MH1HABA16XK042166</t>
  </si>
  <si>
    <t>HABAE-1042112</t>
  </si>
  <si>
    <t>KH 5779 AH</t>
  </si>
  <si>
    <t>Kaisar   / Kaisar</t>
  </si>
  <si>
    <t>MKFS15MK57J011566</t>
  </si>
  <si>
    <t>162FMJ86B01785</t>
  </si>
  <si>
    <t>B 6271 SQF</t>
  </si>
  <si>
    <t>MKFS15MK57J012136</t>
  </si>
  <si>
    <t>162FMJ86B02475</t>
  </si>
  <si>
    <t>B 6281 SQF</t>
  </si>
  <si>
    <t>MKFS15MK57J010131</t>
  </si>
  <si>
    <t>162FMJ86B02654</t>
  </si>
  <si>
    <t>B 6570 SQD</t>
  </si>
  <si>
    <t>MKFS15MK57J0011906</t>
  </si>
  <si>
    <t>162FMJ86B03157</t>
  </si>
  <si>
    <t>B 6978 SQB</t>
  </si>
  <si>
    <t>MKFS15MK57J011803</t>
  </si>
  <si>
    <t>162FMJ86B02379</t>
  </si>
  <si>
    <t>B 6569 SQF</t>
  </si>
  <si>
    <t>MKFS15MK57J012150</t>
  </si>
  <si>
    <t>162FMJ86B03265</t>
  </si>
  <si>
    <t>MKFS15MK57J012098</t>
  </si>
  <si>
    <t>162FMJ86B023217</t>
  </si>
  <si>
    <t>B 6680 SQF</t>
  </si>
  <si>
    <t>Honda WIN   / Honda WIN</t>
  </si>
  <si>
    <t>Hibah Kotim</t>
  </si>
  <si>
    <t xml:space="preserve"> Honda WIN  /  Honda WIN</t>
  </si>
  <si>
    <t xml:space="preserve"> KH 5771 A</t>
  </si>
  <si>
    <t>KH 5724 AH</t>
  </si>
  <si>
    <t>Honda WIN  / Honda WIN</t>
  </si>
  <si>
    <t xml:space="preserve"> KH 5754 A</t>
  </si>
  <si>
    <t>KH 5721 AH</t>
  </si>
  <si>
    <t>WIN   / WIN</t>
  </si>
  <si>
    <t>KH 5747 AH</t>
  </si>
  <si>
    <t>KH 5738 AH</t>
  </si>
  <si>
    <t>Honda Supra fit  / Honda Supra fit</t>
  </si>
  <si>
    <t>MH1JB52166K172784</t>
  </si>
  <si>
    <t>JB52E1172411</t>
  </si>
  <si>
    <t>B 6050 SQB</t>
  </si>
  <si>
    <t>Honda NF 125 SD  / Honda NF 125 SD</t>
  </si>
  <si>
    <t>MH1JB51166K853352</t>
  </si>
  <si>
    <t>JB51E1846753</t>
  </si>
  <si>
    <t>B 6852 SQE</t>
  </si>
  <si>
    <t>Honda Supra X 125 R / Honda Supra X 125 R</t>
  </si>
  <si>
    <t>MH1JB9127AK404075</t>
  </si>
  <si>
    <t>JB91E2398729</t>
  </si>
  <si>
    <t>KH 4022 PY</t>
  </si>
  <si>
    <t>H-07446510M</t>
  </si>
  <si>
    <t>MILAWATI, SP ( Kasi Penganekaragaman Konsumsi Pangan )</t>
  </si>
  <si>
    <t>MH1JB9125AK403930</t>
  </si>
  <si>
    <t>JB91E2398780</t>
  </si>
  <si>
    <t>KH 4020 PY</t>
  </si>
  <si>
    <t>H-07446503M</t>
  </si>
  <si>
    <t>SISKA WANTI, SP ( Kepala BPP Seruyan Hilir )</t>
  </si>
  <si>
    <t>Honda Blade NF11C1CM/T / Honda Blade NF11C1CM/T</t>
  </si>
  <si>
    <t>MH1JBH11KCK320661</t>
  </si>
  <si>
    <t>JBH1E131584</t>
  </si>
  <si>
    <t>KH 4156 PY</t>
  </si>
  <si>
    <t>J 04695053M</t>
  </si>
  <si>
    <t>KHULATUL ALIMAH, S.Pi ( KASI ALSINTAN )</t>
  </si>
  <si>
    <t>Honda Supra NF 12A1C / Honda Supra NF 12A1C</t>
  </si>
  <si>
    <t>MH1JBF111CK053351</t>
  </si>
  <si>
    <t>JBF1E1052762</t>
  </si>
  <si>
    <t>KH 4113 PY</t>
  </si>
  <si>
    <t>J-01783559</t>
  </si>
  <si>
    <t>AHMAD RIPANI (Mantri Tani Kec. Hanau )</t>
  </si>
  <si>
    <t>MH1JBF116CK053250</t>
  </si>
  <si>
    <t>JBF1E1052744</t>
  </si>
  <si>
    <t>KH 4111 PY</t>
  </si>
  <si>
    <t>J-01783557</t>
  </si>
  <si>
    <t>AMIR, SP ( KABID SARANA, PRASARANA DAN PENYULUHAN )</t>
  </si>
  <si>
    <t>MH1JBF113CK053321</t>
  </si>
  <si>
    <t>JBF1E1052838</t>
  </si>
  <si>
    <t>KH 4107 PY</t>
  </si>
  <si>
    <t>J-01783553</t>
  </si>
  <si>
    <t>LAILA KUSUMA FITRI, S.Pt.,M.Si ( KASI KEAMANAN PANGAN )</t>
  </si>
  <si>
    <t>MH1JBF111CK053253</t>
  </si>
  <si>
    <t>JBF1E1052767</t>
  </si>
  <si>
    <t>KH 4106 PY</t>
  </si>
  <si>
    <t>J-01783552</t>
  </si>
  <si>
    <t>Drh. RITA NINSIH ( KABID PETERNAKAN )</t>
  </si>
  <si>
    <t>MH1JBF118CK057624</t>
  </si>
  <si>
    <t>JBF1E1057065</t>
  </si>
  <si>
    <t>KH 4109 PY</t>
  </si>
  <si>
    <t>J-01783555</t>
  </si>
  <si>
    <t>SRI WINARTI, A.Md ( KASUBBAG KEUANGAN )</t>
  </si>
  <si>
    <t>MH1JBF113CK053349</t>
  </si>
  <si>
    <t>JBF1E1052746</t>
  </si>
  <si>
    <t>KH 4110 PY</t>
  </si>
  <si>
    <t>J-01783556</t>
  </si>
  <si>
    <t>AISYIAH, S.TP ( KABID KONSUMSI DAN KEAMANAN PANGAN )</t>
  </si>
  <si>
    <t>MH1JBF115CK054180</t>
  </si>
  <si>
    <t>JBF1E1053562</t>
  </si>
  <si>
    <t>KH 4108 PY</t>
  </si>
  <si>
    <t>J-01783554</t>
  </si>
  <si>
    <t>JAMILAH, SP ( KASI PENYULUHAN )</t>
  </si>
  <si>
    <t>MH1JBF113CK053996</t>
  </si>
  <si>
    <t>JBF1E1053278</t>
  </si>
  <si>
    <t>KH 4116 PY</t>
  </si>
  <si>
    <t>J-01783545</t>
  </si>
  <si>
    <t>YUNI MULYANTI, SP ( KASUBBAG PERENCANAAN )</t>
  </si>
  <si>
    <t>MH1JBF11XCK053946</t>
  </si>
  <si>
    <t>JBF1E1053299</t>
  </si>
  <si>
    <t>KH 4117 PY</t>
  </si>
  <si>
    <t>J-01783546</t>
  </si>
  <si>
    <t>MAHRUDIYANI, A.Md ( STAF BIDANG SAPRAS )</t>
  </si>
  <si>
    <t>000063</t>
  </si>
  <si>
    <t>MH1JBF116CK053345</t>
  </si>
  <si>
    <t>JBF1E1052763</t>
  </si>
  <si>
    <t>KH 4115 PY</t>
  </si>
  <si>
    <t>J-01783544</t>
  </si>
  <si>
    <t>PARISSA SWASTI Rn, SP ( Kasi Produksi Tanaman Pangan dan Hortikultura )</t>
  </si>
  <si>
    <t>MH1JBF118CK052259</t>
  </si>
  <si>
    <t>JBF1E1051725</t>
  </si>
  <si>
    <t>KH 4154 PY</t>
  </si>
  <si>
    <t>J-02460183</t>
  </si>
  <si>
    <t>RAHMAN, S.ST ( Kepala BPP Danau Seluluk )</t>
  </si>
  <si>
    <t>MH1JBF117CK052298</t>
  </si>
  <si>
    <t>JBF1E1051740</t>
  </si>
  <si>
    <t>KH 4114 PY</t>
  </si>
  <si>
    <t>J-01783560</t>
  </si>
  <si>
    <t xml:space="preserve"> RUSNANIAH, SP ( KASI KERAWANAN PANGAN )</t>
  </si>
  <si>
    <t>Honda  New Megapro D / Honda  New Megapro D</t>
  </si>
  <si>
    <t>MH1KC2114CK069733</t>
  </si>
  <si>
    <t>KC21E1071353</t>
  </si>
  <si>
    <t>KH 4123 PY</t>
  </si>
  <si>
    <t>J-01783537</t>
  </si>
  <si>
    <t>APDIANTO, S.ST (Kepala BPP Tumbang manjul )</t>
  </si>
  <si>
    <t>MH1KC2118CK069153</t>
  </si>
  <si>
    <t>KC21E1070713</t>
  </si>
  <si>
    <t>KH 4136 PY</t>
  </si>
  <si>
    <t>J-01783567</t>
  </si>
  <si>
    <t>GUDANG DKPP</t>
  </si>
  <si>
    <t>MH1KC2111CK069382</t>
  </si>
  <si>
    <t>KC21E1070998</t>
  </si>
  <si>
    <t>KH 4128 PY</t>
  </si>
  <si>
    <t>J-01783538</t>
  </si>
  <si>
    <t>WAWAN SETIAWAN, A.Md ( Mantri Tani Kec. Danau sembuluh )</t>
  </si>
  <si>
    <t>MH1KC2116CK072455</t>
  </si>
  <si>
    <t>KC21E1074108</t>
  </si>
  <si>
    <t>KH 4127 PY</t>
  </si>
  <si>
    <t>J-01783541</t>
  </si>
  <si>
    <t>ELIAE, A.Md ( Kepala BPP Seruyan Raya )</t>
  </si>
  <si>
    <t>MH1KC2112CK069102</t>
  </si>
  <si>
    <t>KC21E1070865</t>
  </si>
  <si>
    <t>KH 4122 PY</t>
  </si>
  <si>
    <t>J-01783551</t>
  </si>
  <si>
    <t>MUJIANSYAH, S.Pt ( Kepala Puskeswan Hanau )</t>
  </si>
  <si>
    <t>MH1KC2115CK072446</t>
  </si>
  <si>
    <t>KC21E1074052</t>
  </si>
  <si>
    <t>KH 4121 PY</t>
  </si>
  <si>
    <t>J-01783550</t>
  </si>
  <si>
    <t>ARSEL, SP ( Kasi Perbenihan dan Perlindungan )</t>
  </si>
  <si>
    <t>MH1KC2111CK072461</t>
  </si>
  <si>
    <t>KC21E1073981</t>
  </si>
  <si>
    <t>KH 4133 PY</t>
  </si>
  <si>
    <t>J-01783562</t>
  </si>
  <si>
    <t>MUHRI, A.Md ( KASI JALAN, AIR DAN IRIGASI )</t>
  </si>
  <si>
    <t>MH1KC2118CK072540</t>
  </si>
  <si>
    <t>KC21E1074199</t>
  </si>
  <si>
    <t>KH 4126 PY</t>
  </si>
  <si>
    <t>J-01783540</t>
  </si>
  <si>
    <t>ARTEMAS, SP ( KEPALA BBP PADI KUALA PEMBUANG )</t>
  </si>
  <si>
    <t>MH1KC2119CK072112</t>
  </si>
  <si>
    <t>KC21E1073662</t>
  </si>
  <si>
    <t>KH 4132 PY</t>
  </si>
  <si>
    <t>J-01783563</t>
  </si>
  <si>
    <t>ABDUL HAMID, S.Sos (Kasi Kesmavet, Pengolahan dan Pemasaran )</t>
  </si>
  <si>
    <t>MH1KC2112CK072419</t>
  </si>
  <si>
    <t>KC21E1074009</t>
  </si>
  <si>
    <t>KH 4118 PY</t>
  </si>
  <si>
    <t>J-01783547</t>
  </si>
  <si>
    <t>SUPRAPTO PURWOLAKSONO,SE ( KASUBBAG UMUM )</t>
  </si>
  <si>
    <t>MH1KC2119CK072532</t>
  </si>
  <si>
    <t>KC21E1074219</t>
  </si>
  <si>
    <t>KH 4135 PY</t>
  </si>
  <si>
    <t>J-01783565</t>
  </si>
  <si>
    <t>AHMADI ( Mantri Tani Kec. Danau Seluluk )</t>
  </si>
  <si>
    <t>MH1KC2112CK070007</t>
  </si>
  <si>
    <t>KC21E1071736</t>
  </si>
  <si>
    <t>KH 4119 PY</t>
  </si>
  <si>
    <t>J-01783548</t>
  </si>
  <si>
    <t>MUHAMMAD SAWAL, S.ST ( KABID PRODUKSI TANAMAN PANGAN DAN HORTIKULTURA )</t>
  </si>
  <si>
    <t>MH1KC211XCK072135</t>
  </si>
  <si>
    <t>KC21E1073689</t>
  </si>
  <si>
    <t>KH 4140 PY</t>
  </si>
  <si>
    <t>J-01783566</t>
  </si>
  <si>
    <t>RUSTAM ( PENGURUS BARANG )</t>
  </si>
  <si>
    <t>000082 s/d 000083</t>
  </si>
  <si>
    <t>HONDA / CRF</t>
  </si>
  <si>
    <t>BERITA ACARA SERAH TERIMA BARANG 2 UNIT SEPEDA MOTOR</t>
  </si>
  <si>
    <t>000001 s/d 000002</t>
  </si>
  <si>
    <t>Yamaha   / Yamaha</t>
  </si>
  <si>
    <t>Lain-lain (Tosa sepeda motor)</t>
  </si>
  <si>
    <t>MH4LX150FFJP04606</t>
  </si>
  <si>
    <t>LX150CEPP1608</t>
  </si>
  <si>
    <t>KH.4445 PY</t>
  </si>
  <si>
    <t>L 06971032 M</t>
  </si>
  <si>
    <t>MH4LX150FFJP04611</t>
  </si>
  <si>
    <t>LX150CEPP1054</t>
  </si>
  <si>
    <t>KH 4447 PY</t>
  </si>
  <si>
    <t>L 06971034 M</t>
  </si>
  <si>
    <t>DARMADIANSYAHNUR ( STAF BIDANG SAPRAS )</t>
  </si>
  <si>
    <t>VIAR New Karya 150 RL / VIAR New Karya 150 RL</t>
  </si>
  <si>
    <t>Pembayaran Pengadaan Kendaraan Bermotor Beroda Tiga</t>
  </si>
  <si>
    <t>ISUZU NMR 71T HD 6,1 4*2 Dump Sampah 7m3 71T HD 6, / ISUZU NMR 71T HD 6,1 4*2 Dump Sampah 7m3 71T HD</t>
  </si>
  <si>
    <t>4.570 cc</t>
  </si>
  <si>
    <t>MHCNMR71HJJ092033</t>
  </si>
  <si>
    <t>B092033</t>
  </si>
  <si>
    <t>KH 8180 PW</t>
  </si>
  <si>
    <t>N-07850566</t>
  </si>
  <si>
    <t>Belanja Modal Pengadaan Dump Truck Pengangkut Sampah</t>
  </si>
  <si>
    <t>Hino / Dutro 136 HD ARM ROLL</t>
  </si>
  <si>
    <t>MJECCB2F1N5006180</t>
  </si>
  <si>
    <t>NO4CWYJ15759</t>
  </si>
  <si>
    <t>KH 8217 PW</t>
  </si>
  <si>
    <t>S 07226654 M</t>
  </si>
  <si>
    <t>HINO / XZU349R-HKMTBD3 (4X2) M/T / RANSUS LTRUCK SAMPAH HIJAU</t>
  </si>
  <si>
    <t>MJECCB2F0P5016492</t>
  </si>
  <si>
    <t>N04CWYJ26558</t>
  </si>
  <si>
    <t>KH 8233 PW</t>
  </si>
  <si>
    <t>U01970099M</t>
  </si>
  <si>
    <t>BELANJA MODAL KENDARAAN BERMOTOR KHUSUS (DUMP TRUCK)</t>
  </si>
  <si>
    <t>02.02.01.01.004</t>
  </si>
  <si>
    <t>Multi Purpose Vehicle (MPV)</t>
  </si>
  <si>
    <t>INNOVA ZENIX 2.0 G HYBRID CVT (BLACK METALIC) / MVP</t>
  </si>
  <si>
    <t>MHFABAAA5S0034230</t>
  </si>
  <si>
    <t>M20AND02961</t>
  </si>
  <si>
    <t>KH 1348 PU</t>
  </si>
  <si>
    <t>V04318811M</t>
  </si>
  <si>
    <t>TOYOTA INNOVA ZENIX 2.0 G HYBRID CVT (BLACK METALIC) (KH 1348 PU) MOBIL JABATAN KADIS</t>
  </si>
  <si>
    <t>HINO 300 DUTRO 130 HD 6 PS DUMP TRUK MEGA TRUKINDO / HINO 300 DUTRO 130 HD 6 PS DUMP TRUK MEGA TRUKI</t>
  </si>
  <si>
    <t>MJEC1JG43H5162355</t>
  </si>
  <si>
    <t>W04DTRR52739</t>
  </si>
  <si>
    <t>KH 8174 PW</t>
  </si>
  <si>
    <t>M 12837188 M</t>
  </si>
  <si>
    <t>DLH</t>
  </si>
  <si>
    <t>MJEC1JG43H5162356</t>
  </si>
  <si>
    <t>W04DTRR52740</t>
  </si>
  <si>
    <t>KH 8173 PW</t>
  </si>
  <si>
    <t>M 12837187 M</t>
  </si>
  <si>
    <t>Toyota/Hilux Pick Up 2.0 M/T / Toyota/Hilux Pick Up 2.0 M/T</t>
  </si>
  <si>
    <t>MH0AW12G80011422</t>
  </si>
  <si>
    <t>1TR6601952</t>
  </si>
  <si>
    <t>KH 8030 PW</t>
  </si>
  <si>
    <t>SK. Bupati tentang penetapan pencatatan aset tetap peralatan dan mesin kendaraan dinas roda empat pada daftar barang milik daerah dinas lingkungan hidup kabupaten seruyan tahun anggaran 2021</t>
  </si>
  <si>
    <t>SUZUKI GC 415 T PICK UP / SUZUKI GC 415 T PICK UP</t>
  </si>
  <si>
    <t>MHYGDN41TH1443035</t>
  </si>
  <si>
    <t>G 15AD404288</t>
  </si>
  <si>
    <t>KH 8165 PW</t>
  </si>
  <si>
    <t>M-12814594</t>
  </si>
  <si>
    <t>Toyota  / Hilux Single Cabin</t>
  </si>
  <si>
    <t>1393 cc</t>
  </si>
  <si>
    <t>MRODB8CB4N0112638</t>
  </si>
  <si>
    <t>2GD1272644</t>
  </si>
  <si>
    <t>KH 8215 PW</t>
  </si>
  <si>
    <t>S 07222253 M</t>
  </si>
  <si>
    <t>Belanja Modal Kendaraan Bermotor Angkutan Barang (Mobil Pick Up)</t>
  </si>
  <si>
    <t>TOYOTA HILUX / DOUBLE CABIN</t>
  </si>
  <si>
    <t>MR0BB3CD5P5812881</t>
  </si>
  <si>
    <t>2GD1489672</t>
  </si>
  <si>
    <t>KH 8234 PW</t>
  </si>
  <si>
    <t>U01970171M</t>
  </si>
  <si>
    <t>BELANJA MODAL KENDARAAN BERMOTOR ANGKUTAN BARANG (MOBIL PICK UP DOUBLE CABIN+ACCESORIS)</t>
  </si>
  <si>
    <t>MH1KC526FK255715</t>
  </si>
  <si>
    <t>KC52E1253621</t>
  </si>
  <si>
    <t>KH 4372 PY</t>
  </si>
  <si>
    <t>L-069630541 M</t>
  </si>
  <si>
    <t>Dinas Lingkungan Hidup</t>
  </si>
  <si>
    <t>HONDA NF 11B2DA12 M/T REVO SPOKE / HONDA NF 11B2DA12 M/T REVO SPOKE</t>
  </si>
  <si>
    <t>MH1JBE212DK272247</t>
  </si>
  <si>
    <t>JBE2E1266199</t>
  </si>
  <si>
    <t>KH 4179 PY</t>
  </si>
  <si>
    <t>K-05623356 M</t>
  </si>
  <si>
    <t>HONDA SPACY FI / HONDA SPACY FI</t>
  </si>
  <si>
    <t>MH1JFA118EK220105</t>
  </si>
  <si>
    <t>JFA1E1215770</t>
  </si>
  <si>
    <t>KH 4335 PY</t>
  </si>
  <si>
    <t>L 04355423 M</t>
  </si>
  <si>
    <t>Dinas Lingkungan HIdup</t>
  </si>
  <si>
    <t>MH1KC5215EK200493</t>
  </si>
  <si>
    <t>KC52E1198492</t>
  </si>
  <si>
    <t>KH 4292 PY</t>
  </si>
  <si>
    <t>L 04354114 M</t>
  </si>
  <si>
    <t>MH1JBE216CK175180</t>
  </si>
  <si>
    <t>JBE2E1172503</t>
  </si>
  <si>
    <t>KH 4099 PY</t>
  </si>
  <si>
    <t>I-10733003 M</t>
  </si>
  <si>
    <t>MH1JBE21XDK270004</t>
  </si>
  <si>
    <t>JBE2E1266143</t>
  </si>
  <si>
    <t>KH 4177 PY</t>
  </si>
  <si>
    <t>K-05623358 M</t>
  </si>
  <si>
    <t>MH1JBH11XCK320644</t>
  </si>
  <si>
    <t>JBH1E1316094</t>
  </si>
  <si>
    <t>KH 4155 PY</t>
  </si>
  <si>
    <t>J 04695052 M</t>
  </si>
  <si>
    <t>KAWASAKI KLX150/HIJAU / KAWASAKI KLX150/HIJAU</t>
  </si>
  <si>
    <t>MH4LX150CEJP10928</t>
  </si>
  <si>
    <t>LX150CEPG8733</t>
  </si>
  <si>
    <t>KH 4275 PY</t>
  </si>
  <si>
    <t>L04350134M</t>
  </si>
  <si>
    <t>MH1JFT110HK087162</t>
  </si>
  <si>
    <t>JFT1E 1086521</t>
  </si>
  <si>
    <t>KH 4609 PY</t>
  </si>
  <si>
    <t>M 12805850 M</t>
  </si>
  <si>
    <t>Honda / Beat Street</t>
  </si>
  <si>
    <t>MH1JM8217NK703050</t>
  </si>
  <si>
    <t>JM82E1701164</t>
  </si>
  <si>
    <t>KH 5199 PY</t>
  </si>
  <si>
    <t>T-02690772</t>
  </si>
  <si>
    <t>MH1JM8215NK703046</t>
  </si>
  <si>
    <t>JM82E1701160</t>
  </si>
  <si>
    <t>KH 5198 PY</t>
  </si>
  <si>
    <t>T-02690771</t>
  </si>
  <si>
    <t>MH1JM8217NK703081</t>
  </si>
  <si>
    <t>JM82E1701201</t>
  </si>
  <si>
    <t>KH 5201 PY</t>
  </si>
  <si>
    <t>T-02690773</t>
  </si>
  <si>
    <t>Kawasaki / KLX - 230 SE</t>
  </si>
  <si>
    <t>230</t>
  </si>
  <si>
    <t>MH4LX230PNJP00647</t>
  </si>
  <si>
    <t>LX230AEP37264</t>
  </si>
  <si>
    <t>KH 5189 PY</t>
  </si>
  <si>
    <t>S-07229295 M</t>
  </si>
  <si>
    <t>MH4LX230PNJP00888</t>
  </si>
  <si>
    <t>LX230AEP38004</t>
  </si>
  <si>
    <t>KH 5190 PY</t>
  </si>
  <si>
    <t>S-07229296 M</t>
  </si>
  <si>
    <t>MH4LX230PNJP00954</t>
  </si>
  <si>
    <t>LX230AEP36336</t>
  </si>
  <si>
    <t>KH 5191 PY</t>
  </si>
  <si>
    <t>S-07229297 M</t>
  </si>
  <si>
    <t>MH4LX230PNJP00967</t>
  </si>
  <si>
    <t>LX230AEP36324</t>
  </si>
  <si>
    <t>KH 5192 PY</t>
  </si>
  <si>
    <t>S-07229298 M</t>
  </si>
  <si>
    <t>MH4LX230PNJP00323</t>
  </si>
  <si>
    <t>LX230AEP33494</t>
  </si>
  <si>
    <t>KH 5188 PY</t>
  </si>
  <si>
    <t>S-07229294 M</t>
  </si>
  <si>
    <t>HONDA PCX 160 ABS / V1J02Q50L1 M/T</t>
  </si>
  <si>
    <t>157</t>
  </si>
  <si>
    <t>MH1KF8111PK261692</t>
  </si>
  <si>
    <t>KF81E1262098</t>
  </si>
  <si>
    <t>KH 5233 PY</t>
  </si>
  <si>
    <t>U01968710M</t>
  </si>
  <si>
    <t>BELANJA MODAL KENDARAAN BERMOTOR BERODA 2 (DUA)</t>
  </si>
  <si>
    <t>MH1KF8112PK261682</t>
  </si>
  <si>
    <t>KF81E1261986</t>
  </si>
  <si>
    <t>KH 5237 PY</t>
  </si>
  <si>
    <t>U01968714M</t>
  </si>
  <si>
    <t>Honda Vario 160 ABS / L1K02Q33L1 A/T</t>
  </si>
  <si>
    <t>MH1KFA116PK198337</t>
  </si>
  <si>
    <t>KFA1E1199091</t>
  </si>
  <si>
    <t>KH 5260 PY</t>
  </si>
  <si>
    <t>U01974127M</t>
  </si>
  <si>
    <t>MH1KFA113PK198103</t>
  </si>
  <si>
    <t>KFA1E1198103</t>
  </si>
  <si>
    <t>KH 5261 PY</t>
  </si>
  <si>
    <t>U01974128M</t>
  </si>
  <si>
    <t>Honda Vario 160 / 160 Cbs Type Active Matte Black</t>
  </si>
  <si>
    <t>MH1KF0113RK804352</t>
  </si>
  <si>
    <t>KF01E1803254</t>
  </si>
  <si>
    <t>KH 5392 PY</t>
  </si>
  <si>
    <t>V-04730783</t>
  </si>
  <si>
    <t>Honda Vario 160cc Type Cbs Warna Active Matte Black</t>
  </si>
  <si>
    <t>MH1KF011XRK807961</t>
  </si>
  <si>
    <t>KF01E1806743</t>
  </si>
  <si>
    <t>KH 5393 PY</t>
  </si>
  <si>
    <t>V-04730784</t>
  </si>
  <si>
    <t>Kawasaki D-Tracker 150 New  Trail / Kawasaki D-Tracker 150 New  Trail</t>
  </si>
  <si>
    <t>144</t>
  </si>
  <si>
    <t>MH4LX150HHJP29835</t>
  </si>
  <si>
    <t>LX150CEW65474</t>
  </si>
  <si>
    <t>KH 4638 PY</t>
  </si>
  <si>
    <t>M-12819616 M</t>
  </si>
  <si>
    <t>Belanja Modal Kendaraan Roda 2 (dua) Trail</t>
  </si>
  <si>
    <t>MH4LX150HHJP30275</t>
  </si>
  <si>
    <t>LX150CEW67839</t>
  </si>
  <si>
    <t>KH 4636 PY</t>
  </si>
  <si>
    <t>M-12819614 M</t>
  </si>
  <si>
    <t>MH4LX150HHJP30284</t>
  </si>
  <si>
    <t>LX150CEW67590</t>
  </si>
  <si>
    <t>KH 4639 PY</t>
  </si>
  <si>
    <t>M-12819617 M</t>
  </si>
  <si>
    <t>MH4LX150HHJP29832</t>
  </si>
  <si>
    <t>LX150CEW65461</t>
  </si>
  <si>
    <t>KH 4637 PY</t>
  </si>
  <si>
    <t>M-12819615 M</t>
  </si>
  <si>
    <t>MH4LX150HHJP29833</t>
  </si>
  <si>
    <t>LX150CEW65464</t>
  </si>
  <si>
    <t>KH 4635 PY</t>
  </si>
  <si>
    <t>M-12819613 M</t>
  </si>
  <si>
    <t>02.02.01.06.022</t>
  </si>
  <si>
    <t>Truck Sampah</t>
  </si>
  <si>
    <t>Truck Compactor / HINO 2005</t>
  </si>
  <si>
    <t>MJECCB2FXS5027931</t>
  </si>
  <si>
    <t>N04CWYJ38117</t>
  </si>
  <si>
    <t>KH 8294 TW</t>
  </si>
  <si>
    <t>Truck Compactor, spek (KH 8294 TW, warna hijau) Operasional Pengelolaan Sampah</t>
  </si>
  <si>
    <t>Truck Arm Roll / ISUZU 2025 ARC WHITE</t>
  </si>
  <si>
    <t>MHCNMR81HSJ130279</t>
  </si>
  <si>
    <t>4HL1G130279</t>
  </si>
  <si>
    <t>KH 8266 TW</t>
  </si>
  <si>
    <t>AA00309184</t>
  </si>
  <si>
    <t>Truck Arm Roll, spek (KH 8266 TW, warna hijau) Operasional Pengelolaan Sampah</t>
  </si>
  <si>
    <t>Dump Truck / ISUZU 2025 PUTIH KOMBINASI</t>
  </si>
  <si>
    <t>MHCNMR81HSJ130465</t>
  </si>
  <si>
    <t>4HL1G130465</t>
  </si>
  <si>
    <t>KH 8292 TW</t>
  </si>
  <si>
    <t>AA00309601</t>
  </si>
  <si>
    <t>Dump Truck, spek (KH 8292 TW, warna hijau) Operasional Pengelolaan Sampah</t>
  </si>
  <si>
    <t>VIAR/V 30 R Roda Tiga / VIAR/V 30 R Roda Tiga</t>
  </si>
  <si>
    <t>300 cc</t>
  </si>
  <si>
    <t>MGRVR30TAKL101035</t>
  </si>
  <si>
    <t>YX300FMG19100928</t>
  </si>
  <si>
    <t>KH 4894 PY</t>
  </si>
  <si>
    <t>Q00402969M</t>
  </si>
  <si>
    <t>Kendaraan Roda Tiga</t>
  </si>
  <si>
    <t>VIAR / NEW KARYA 200 L</t>
  </si>
  <si>
    <t>MGRVR20TAPL202680</t>
  </si>
  <si>
    <t>YX200FMG23211549</t>
  </si>
  <si>
    <t>KH 6502 XX</t>
  </si>
  <si>
    <t>Q-M</t>
  </si>
  <si>
    <t>Belanja Modal Pengadaan Kendaraan Beroda Tiga</t>
  </si>
  <si>
    <t>TOYOTA KIJANG INOVA / TOYOTA KIJANG INOVA</t>
  </si>
  <si>
    <t>1998cc</t>
  </si>
  <si>
    <t>MHFXW42GOA2160923</t>
  </si>
  <si>
    <t>1TR-6925877</t>
  </si>
  <si>
    <t>KH 1097 PU</t>
  </si>
  <si>
    <t>D2636772-73HSJS9982</t>
  </si>
  <si>
    <t>KEPALA DINAS</t>
  </si>
  <si>
    <t>MH1JBE21XCK156602</t>
  </si>
  <si>
    <t>JBE2E1155252</t>
  </si>
  <si>
    <t>KH 4094 PY</t>
  </si>
  <si>
    <t>I-10732998 M</t>
  </si>
  <si>
    <t>Disdukcapil</t>
  </si>
  <si>
    <t>MH1JBE216CK148075</t>
  </si>
  <si>
    <t>JBE2E1148447</t>
  </si>
  <si>
    <t>KH 4096 PY</t>
  </si>
  <si>
    <t>I-10733000 M</t>
  </si>
  <si>
    <t>MH1JBN11XFK080966</t>
  </si>
  <si>
    <t>JBN1E1079217</t>
  </si>
  <si>
    <t>KH 4401 PY</t>
  </si>
  <si>
    <t>L 06937009 M</t>
  </si>
  <si>
    <t>Drs. Mansyur Ibrahim /Capil</t>
  </si>
  <si>
    <t>MH1KC5213FK255722</t>
  </si>
  <si>
    <t>KC52E1253777</t>
  </si>
  <si>
    <t>KH 4367 PY</t>
  </si>
  <si>
    <t>L 06930536 M</t>
  </si>
  <si>
    <t>PENGURUS BARANG (DISDUKCAPIL)</t>
  </si>
  <si>
    <t>HONDA NF 100 SL / HONDA NF 100 SL</t>
  </si>
  <si>
    <t>100cc</t>
  </si>
  <si>
    <t>MH1JB31185K147971</t>
  </si>
  <si>
    <t>JB31E-1142240</t>
  </si>
  <si>
    <t>KH 2047 PY</t>
  </si>
  <si>
    <t>D - 8035863 M</t>
  </si>
  <si>
    <t>GUDANG</t>
  </si>
  <si>
    <t>HONDA / SEPEDA MOTOR</t>
  </si>
  <si>
    <t>MH1KD1116RK496931</t>
  </si>
  <si>
    <t>KD11E1496193</t>
  </si>
  <si>
    <t>KH 5299 PY</t>
  </si>
  <si>
    <t>V00017449M</t>
  </si>
  <si>
    <t>BELANJA KENDARA SEPEDA MOTOR RODA DUA LAPANGAN</t>
  </si>
  <si>
    <t>Honda Revo FIT FI Vin 2019 / Honda Revo FIT FI Vin 2019</t>
  </si>
  <si>
    <t>MH1JBKK115KK647335</t>
  </si>
  <si>
    <t>JBK1E1643763</t>
  </si>
  <si>
    <t>KH 4875 PY</t>
  </si>
  <si>
    <t>Q00400476M</t>
  </si>
  <si>
    <t>KENDARAAN OPERASIONAL KABID PENDFTARAN PENDUDUK</t>
  </si>
  <si>
    <t>MH1JBK114KK649433</t>
  </si>
  <si>
    <t>JBK1E1645357</t>
  </si>
  <si>
    <t>KH 4889 PY</t>
  </si>
  <si>
    <t>Q00400488M</t>
  </si>
  <si>
    <t>KENDARAAN OPERASIONAL KASUBBAG PERENCANAAN</t>
  </si>
  <si>
    <t>MH1JBK11XXKK647508</t>
  </si>
  <si>
    <t>JBK1E1643924</t>
  </si>
  <si>
    <t>KH 4890 PY</t>
  </si>
  <si>
    <t>Q00400489M</t>
  </si>
  <si>
    <t>MH1JBK118KK646664</t>
  </si>
  <si>
    <t>JBK1E1642239</t>
  </si>
  <si>
    <t>KH 4885 PY</t>
  </si>
  <si>
    <t>Q00400485M</t>
  </si>
  <si>
    <t>KENDARAAN OPERSIONAL PEMBANTU PENGURUS BARANG PENGGUNA</t>
  </si>
  <si>
    <t>MH1JBK114KK649397</t>
  </si>
  <si>
    <t>JBK1E1645826</t>
  </si>
  <si>
    <t>KH 4883 PY</t>
  </si>
  <si>
    <t>Q00400484</t>
  </si>
  <si>
    <t>KENDARAAN DINAS OPERASIONAL KAUBBAG KEUANGAN</t>
  </si>
  <si>
    <t>MH1JBK118KK649032</t>
  </si>
  <si>
    <t>JBK1E1645202</t>
  </si>
  <si>
    <t>KH 4887 PY</t>
  </si>
  <si>
    <t>Q00400487M</t>
  </si>
  <si>
    <t>MH1JBK115KK646671</t>
  </si>
  <si>
    <t>JBK1E1642228</t>
  </si>
  <si>
    <t>KH 4882 PY</t>
  </si>
  <si>
    <t>Q00400483M</t>
  </si>
  <si>
    <t>KASUBBAG PENCATATAN SIPIL</t>
  </si>
  <si>
    <t>MH1JBK110KK667721</t>
  </si>
  <si>
    <t>JBK1E1664044</t>
  </si>
  <si>
    <t>KH 4881 PY</t>
  </si>
  <si>
    <t>Q00400482M</t>
  </si>
  <si>
    <t>SEKRETARIS</t>
  </si>
  <si>
    <t>MH1JBK110KK647341</t>
  </si>
  <si>
    <t>JBK1E1643757</t>
  </si>
  <si>
    <t>KH 4876 PY</t>
  </si>
  <si>
    <t>QOO400477M</t>
  </si>
  <si>
    <t>KASUBBAG PEMANFAATAN DATA DAN INOVASI PELAYANAN</t>
  </si>
  <si>
    <t>TOYOTA INNOVA G A/T / TOYOTA INNOVA G A/T</t>
  </si>
  <si>
    <t>MHFJB8EK1060408</t>
  </si>
  <si>
    <t>2GDC623167</t>
  </si>
  <si>
    <t>KH 1271 PU</t>
  </si>
  <si>
    <t>F 06123521 M</t>
  </si>
  <si>
    <t>Mutasi ( KH 1271 PU ) Ny.WELDULINE SELANORWANDA,SE.MA</t>
  </si>
  <si>
    <t>MHFXW42G2D2269369</t>
  </si>
  <si>
    <t>1TR7640119</t>
  </si>
  <si>
    <t>KH 1176 PU</t>
  </si>
  <si>
    <t>K 03039976 M</t>
  </si>
  <si>
    <t>Kepala Dinas an. RUSDI HIDAYAT</t>
  </si>
  <si>
    <t>FORD RANGER DOUBLE CABIN 2.5L 5X4 M/T XLTD PLUS / FORD RANGER DOUBLE CABIN 2.5L 5X4 M/T XLTD PLUS</t>
  </si>
  <si>
    <t>2.499</t>
  </si>
  <si>
    <t>MNBLSFE40AW877815</t>
  </si>
  <si>
    <t>WLAT1191807</t>
  </si>
  <si>
    <t>KH 9511 PW</t>
  </si>
  <si>
    <t>H-11437993 M</t>
  </si>
  <si>
    <t>Mutasi ( KH 9511 PW) RUSDI HIDAYAT</t>
  </si>
  <si>
    <t>Toyota (Hilux Double Cabin) / 2,4 V</t>
  </si>
  <si>
    <t>MROBE3CD9T5818B2</t>
  </si>
  <si>
    <t>2GDJ165395</t>
  </si>
  <si>
    <t>KH 8253 PW</t>
  </si>
  <si>
    <t>Pengadaan Belanja Modal Mobil Hilux Double Cabin 2.4V 4x4 DSL</t>
  </si>
  <si>
    <t>Honda Supra  / Honda Supra</t>
  </si>
  <si>
    <t>MHIJB125AK388807</t>
  </si>
  <si>
    <t>JB91E-2382860</t>
  </si>
  <si>
    <t>KH 4009 PY</t>
  </si>
  <si>
    <t>H 06857576 M</t>
  </si>
  <si>
    <t>IIS SETIAWATI</t>
  </si>
  <si>
    <t>MHIJB125AK389267</t>
  </si>
  <si>
    <t>JB91E-2383113</t>
  </si>
  <si>
    <t>KH 4012 PY</t>
  </si>
  <si>
    <t>H 06857579 M</t>
  </si>
  <si>
    <t>OKKY CAHAYO</t>
  </si>
  <si>
    <t>MHIJB124AK388773</t>
  </si>
  <si>
    <t>JB91E-2382855</t>
  </si>
  <si>
    <t>KH 4011 PY</t>
  </si>
  <si>
    <t>H 06857578 M</t>
  </si>
  <si>
    <t>EDI</t>
  </si>
  <si>
    <t>MHIJB125AK391245</t>
  </si>
  <si>
    <t>JB91E-2378016</t>
  </si>
  <si>
    <t>KH 4006 PY</t>
  </si>
  <si>
    <t>H 06857573 M</t>
  </si>
  <si>
    <t>DPMDES</t>
  </si>
  <si>
    <t>MHIJB120AK388771</t>
  </si>
  <si>
    <t>JB91E-2382866</t>
  </si>
  <si>
    <t>KH 4013 PY</t>
  </si>
  <si>
    <t>H 06857580 M</t>
  </si>
  <si>
    <t>JUPRI KURNIAWANTOS.Pd</t>
  </si>
  <si>
    <t>MH1JBE118CK508786</t>
  </si>
  <si>
    <t>JBE1E1500566</t>
  </si>
  <si>
    <t>KH 4158 PY</t>
  </si>
  <si>
    <t>J-04697978 M</t>
  </si>
  <si>
    <t>RI ERNAWATI,S.AP</t>
  </si>
  <si>
    <t>MH1JFS119HK398387</t>
  </si>
  <si>
    <t>JFS1E1390149</t>
  </si>
  <si>
    <t>KH 4642 PY</t>
  </si>
  <si>
    <t>M 12824302 M</t>
  </si>
  <si>
    <t>EDI PENGURUS BARANG</t>
  </si>
  <si>
    <t>MH1JFS110HK402374</t>
  </si>
  <si>
    <t>JFS1E1394433</t>
  </si>
  <si>
    <t>KH 4647 PY</t>
  </si>
  <si>
    <t>M 12824305 M</t>
  </si>
  <si>
    <t>RAHMAWATI EKA MURNI,SHi</t>
  </si>
  <si>
    <t>MH1JFS118HK402543</t>
  </si>
  <si>
    <t>JFS1E1394633</t>
  </si>
  <si>
    <t>KH 4649 PY</t>
  </si>
  <si>
    <t>M 12824307 M</t>
  </si>
  <si>
    <t>FAHRIZAL,SH</t>
  </si>
  <si>
    <t>MH1JFS117HK402498</t>
  </si>
  <si>
    <t>JFS1E1394575</t>
  </si>
  <si>
    <t>KH 4653 PY</t>
  </si>
  <si>
    <t>M 12824311 M</t>
  </si>
  <si>
    <t>MILAWATI,SP</t>
  </si>
  <si>
    <t>MH1JFS111HK398321</t>
  </si>
  <si>
    <t>JFS1E1390170</t>
  </si>
  <si>
    <t>KH 4654 PY</t>
  </si>
  <si>
    <t>M 12824312 M</t>
  </si>
  <si>
    <t>EKA MAYASARI, SE, MM</t>
  </si>
  <si>
    <t>MH1JFS110HK399086</t>
  </si>
  <si>
    <t>JFS1E1391848</t>
  </si>
  <si>
    <t>KH 4656 PY</t>
  </si>
  <si>
    <t>M 12824314 M</t>
  </si>
  <si>
    <t>TAUFIK WAHYUDI, A.Md</t>
  </si>
  <si>
    <t>MH1JFS111HK402500</t>
  </si>
  <si>
    <t>JFS1E1394598</t>
  </si>
  <si>
    <t>KH 4641 PY</t>
  </si>
  <si>
    <t>M 12824301 M</t>
  </si>
  <si>
    <t>MUHAMMAD SUBHAN,SH</t>
  </si>
  <si>
    <t>MH1JFS118HK398381</t>
  </si>
  <si>
    <t>JFS1E1390144</t>
  </si>
  <si>
    <t>KH 4645 PY</t>
  </si>
  <si>
    <t>M 12824304 M</t>
  </si>
  <si>
    <t>NURLATHIFAH QADAR,S.Pi.,MM</t>
  </si>
  <si>
    <t>MH1JBE319DK299895</t>
  </si>
  <si>
    <t>JBE3E1294631</t>
  </si>
  <si>
    <t>KH 4208 PY</t>
  </si>
  <si>
    <t>K 08796085 M</t>
  </si>
  <si>
    <t>HENDRA,A.Md (DIGUDANG)</t>
  </si>
  <si>
    <t>LX150CEWR2656</t>
  </si>
  <si>
    <t>KH 5099 PY</t>
  </si>
  <si>
    <t>R-02937466</t>
  </si>
  <si>
    <t>02.01.01.10.003</t>
  </si>
  <si>
    <t>Truck Crane</t>
  </si>
  <si>
    <t>AYAXX / ISUZU NMR 71THD 6,1</t>
  </si>
  <si>
    <t>4570 CC</t>
  </si>
  <si>
    <t>MHCNMR71HKJ109080</t>
  </si>
  <si>
    <t>B109080</t>
  </si>
  <si>
    <t>KH 9050 PW</t>
  </si>
  <si>
    <t>Q00386022 M</t>
  </si>
  <si>
    <t>Q00396022 M</t>
  </si>
  <si>
    <t>Pengadaan Truck Crane (BM)</t>
  </si>
  <si>
    <t>Dinas Perhubungan</t>
  </si>
  <si>
    <t>02.02.01.02.001</t>
  </si>
  <si>
    <t>Bus ( Penumpang 30 Orang Keatas )</t>
  </si>
  <si>
    <t>Mitsubishi / Mitsubishi</t>
  </si>
  <si>
    <t>3907 CC</t>
  </si>
  <si>
    <t>MHMFE349H5R016044</t>
  </si>
  <si>
    <t>HB11E-1012473</t>
  </si>
  <si>
    <t>KH 7000 PU</t>
  </si>
  <si>
    <t>0000000</t>
  </si>
  <si>
    <t>R02909518 M</t>
  </si>
  <si>
    <t>Hibah dari Pusat</t>
  </si>
  <si>
    <t>ISUZU / ISUZU</t>
  </si>
  <si>
    <t>MHCN1R71Ljj08889</t>
  </si>
  <si>
    <t>B088891</t>
  </si>
  <si>
    <t>KH 7001 PU</t>
  </si>
  <si>
    <t>N07836842 M</t>
  </si>
  <si>
    <t>Q08285882 M</t>
  </si>
  <si>
    <t>Pengadaan Bus Pemkab Seruyan</t>
  </si>
  <si>
    <t>HINO</t>
  </si>
  <si>
    <t>4009 CC</t>
  </si>
  <si>
    <t>MJEC1JG11L5191345</t>
  </si>
  <si>
    <t>W04DTPJK070</t>
  </si>
  <si>
    <t>KH 7006 PU</t>
  </si>
  <si>
    <t>U08670095 M</t>
  </si>
  <si>
    <t>HIBAH BARANG MILIK NEGARA BERUPA 1 (SATU ) UNIT BUS SEKOLAH</t>
  </si>
  <si>
    <t>2771 CC</t>
  </si>
  <si>
    <t>MHCNLR55HKJO86292</t>
  </si>
  <si>
    <t>MO86292</t>
  </si>
  <si>
    <t>KH 7005 PU</t>
  </si>
  <si>
    <t>HIBAH BARANG MILIK NEGARA 1 (SATU ) UNIT BUS SEKOLAH</t>
  </si>
  <si>
    <t>TOYOTA INNOVA V (TGN40R-GKMNKD) / TOYOTA INNOVA V (TGN40R-GKMNKD)</t>
  </si>
  <si>
    <t>MHFXW43G674033752</t>
  </si>
  <si>
    <t>1TR6373890</t>
  </si>
  <si>
    <t>KH 1201 PU Ex. KH 77 PU</t>
  </si>
  <si>
    <t>F 2143275 M</t>
  </si>
  <si>
    <t>V0476178 M</t>
  </si>
  <si>
    <t>Mobil Dinas</t>
  </si>
  <si>
    <t>INNOVA  / ZENIX Z.OG CVT</t>
  </si>
  <si>
    <t xml:space="preserve">MHFAAAAA8R002707 
</t>
  </si>
  <si>
    <t>M20ANB66383</t>
  </si>
  <si>
    <t>KH 1413 PU</t>
  </si>
  <si>
    <t>DI Gudang ( Rusak )</t>
  </si>
  <si>
    <t>Mobil Kepala Dinas</t>
  </si>
  <si>
    <t>HILUX DOUBLE CABIN 2.4 E (4x4) DSL M/T / GUN25DcEM / T30</t>
  </si>
  <si>
    <t>2393 CC</t>
  </si>
  <si>
    <t>MR0DB8CDXN0127226</t>
  </si>
  <si>
    <t>2 GD 5329146</t>
  </si>
  <si>
    <t>KH 8218 PW</t>
  </si>
  <si>
    <t>T02688170 M</t>
  </si>
  <si>
    <t>Kendaraan Operasional</t>
  </si>
  <si>
    <t>TOYOTA / HILUX DOUBLE CABIN 2.4 G 4X4 DSL M/T</t>
  </si>
  <si>
    <t>MR0KB8CDXR1225180</t>
  </si>
  <si>
    <t>2 GDD451272</t>
  </si>
  <si>
    <t>KH 8247 PW</t>
  </si>
  <si>
    <t>V04726178 M</t>
  </si>
  <si>
    <t>Pembayaran Belanja Modal Pengadaan Kendaraan Operasional Double Gardan/Double Cabin  Sub Kegiatan Pengadaan Kendaraan Dinas Operasional atau Lapangan pada Badan Keuangan dan Aset Daerah Kabupaten Seruyan Tahun 2024</t>
  </si>
  <si>
    <t>FORD  XLS Plus 2.2L 4x4 MT VIN 2014 / FORD  XLS Plus 2.2L 4x4 MT VIN 2014</t>
  </si>
  <si>
    <t>2.198 CC</t>
  </si>
  <si>
    <t>MNBLMFF80EW292465</t>
  </si>
  <si>
    <t>P4AT1198489</t>
  </si>
  <si>
    <t>KH 8114 PW</t>
  </si>
  <si>
    <t>K 06865255 M</t>
  </si>
  <si>
    <t>PERWIRA PENGHUBUNG TNI</t>
  </si>
  <si>
    <t>MH1KC5211DK034181</t>
  </si>
  <si>
    <t>KC52E1034115</t>
  </si>
  <si>
    <t>KH 4167 PY</t>
  </si>
  <si>
    <t>K-05626006 M</t>
  </si>
  <si>
    <t>Abdul Azis, ST ( analis kebijakan )</t>
  </si>
  <si>
    <t>Yamaha Jupiter Z / Yamaha Jupiter Z</t>
  </si>
  <si>
    <t>MH35TP0065K473286</t>
  </si>
  <si>
    <t>STP719890</t>
  </si>
  <si>
    <t>KH 2027 PY</t>
  </si>
  <si>
    <t>Di Gudang</t>
  </si>
  <si>
    <t>Suzuki Shogun FL 125 SD / Suzuki Shogun FL 125 SD</t>
  </si>
  <si>
    <t>MH8BF45CA7J125309</t>
  </si>
  <si>
    <t>F496-ID141245</t>
  </si>
  <si>
    <t>KH 2706 PY Ex.KH 2233 PY</t>
  </si>
  <si>
    <t>E 0204965 M</t>
  </si>
  <si>
    <t>Bagian Keuangan</t>
  </si>
  <si>
    <t>MH8BF45CA7JI25318</t>
  </si>
  <si>
    <t>F496ID141255</t>
  </si>
  <si>
    <t>KH 5664 PY</t>
  </si>
  <si>
    <t>F 0204966 M</t>
  </si>
  <si>
    <t>Erydinata, S.I.P ( Pengurus Barang)</t>
  </si>
  <si>
    <t>Honda Supra Fit / Honda Supra Fit</t>
  </si>
  <si>
    <t>MH1HB11123KO10946</t>
  </si>
  <si>
    <t>KH 3050 PM</t>
  </si>
  <si>
    <t>Taufani, A.Md (kasi Pemeliharaan dan Operasional )</t>
  </si>
  <si>
    <t>Honda Revo NF 100 TD / Honda Revo NF 100 TD</t>
  </si>
  <si>
    <t>MH1HB62128K462169</t>
  </si>
  <si>
    <t>HB62E-1458117</t>
  </si>
  <si>
    <t>KH 2545 PY</t>
  </si>
  <si>
    <t>F 4849365 M</t>
  </si>
  <si>
    <t>MH1B62168K40372</t>
  </si>
  <si>
    <t>HB62E-1530355</t>
  </si>
  <si>
    <t>KH 2548 PY</t>
  </si>
  <si>
    <t>F 4849368 M</t>
  </si>
  <si>
    <t>Honda Revo NF 1OO TD / Honda Revo NF 1OO TD</t>
  </si>
  <si>
    <t>MH1HB62198K462184</t>
  </si>
  <si>
    <t>KH 2547 PY</t>
  </si>
  <si>
    <t>F484367</t>
  </si>
  <si>
    <t>Bagian Perlengkapan dan Umum</t>
  </si>
  <si>
    <t>MHIHB 62158 K505 757</t>
  </si>
  <si>
    <t>HB 62E - 1499557</t>
  </si>
  <si>
    <t>KH 2546 PY</t>
  </si>
  <si>
    <t>F 4849366M</t>
  </si>
  <si>
    <t>Kasubag Tata Usaha UPTD PKB Asam Baru</t>
  </si>
  <si>
    <t>Suzuki Shogun FL 125RCD / Suzuki Shogun FL 125RCD</t>
  </si>
  <si>
    <t>MH8BF45DA8J207943</t>
  </si>
  <si>
    <t>F496-ID-256980</t>
  </si>
  <si>
    <t>KH 2499 PY</t>
  </si>
  <si>
    <t>F 4847937M</t>
  </si>
  <si>
    <t>HONDA CRF 150 2018 T4G02T31L0 M/T / HONDA CRF 150 2018 T4G02T31L0 M/T</t>
  </si>
  <si>
    <t>MH1KD1112JK021555</t>
  </si>
  <si>
    <t>KD11E1021098</t>
  </si>
  <si>
    <t>KH 4741 PY</t>
  </si>
  <si>
    <t>O02643604 m</t>
  </si>
  <si>
    <r>
      <rPr>
        <sz val="12"/>
        <color theme="1"/>
        <rFont val="Calibri"/>
      </rPr>
      <t>EPRI PUJIANSON,</t>
    </r>
    <r>
      <rPr>
        <u/>
        <sz val="12"/>
        <color rgb="FF1155CC"/>
        <rFont val="Calibri"/>
      </rPr>
      <t>S.Tr</t>
    </r>
    <r>
      <rPr>
        <sz val="12"/>
        <color theme="1"/>
        <rFont val="Calibri"/>
      </rPr>
      <t xml:space="preserve"> (Ka.UPTD PKB Asam Baru)</t>
    </r>
  </si>
  <si>
    <t>HONDA NF11T11C01 M/T / HONDA NF11T11C01 M/T</t>
  </si>
  <si>
    <t>MH1JBK213FK087920</t>
  </si>
  <si>
    <t>JBK2E1087605</t>
  </si>
  <si>
    <t>KH 4435 PY</t>
  </si>
  <si>
    <t>L-06967187 M</t>
  </si>
  <si>
    <t>BAHRUDIN,ST ( Kasubag Umum )</t>
  </si>
  <si>
    <t>HONDA NEW VARIO 125 CBS 2018 A1F02N36M1 A/T / HONDA NEW VARIO 125 CBS 2018 A1F02N36M1 A/T</t>
  </si>
  <si>
    <t>MH1JM4115JK192409</t>
  </si>
  <si>
    <t>JM41E1192264</t>
  </si>
  <si>
    <t>KH 4786 PY</t>
  </si>
  <si>
    <t>O02643656 M</t>
  </si>
  <si>
    <t>Pratiwi Anggareni, A.Md ( Bendahara Pengeluaran )</t>
  </si>
  <si>
    <t>HONDA GL15B1DF M/T / HONDA GL15B1DF M/T</t>
  </si>
  <si>
    <t>MH1KC5218FK278882</t>
  </si>
  <si>
    <t>KC52E1276780</t>
  </si>
  <si>
    <t>KH 4436 PY</t>
  </si>
  <si>
    <t>L-06967188 M</t>
  </si>
  <si>
    <t xml:space="preserve">Sodermanto </t>
  </si>
  <si>
    <t>MH1JFS115HK398323</t>
  </si>
  <si>
    <t>JFS1E1390168</t>
  </si>
  <si>
    <t>KH 4652 PY</t>
  </si>
  <si>
    <t>M 12824310 M</t>
  </si>
  <si>
    <t>ISNANIAH,A.Md (Plt.Kasubag Perencanaan dan Keuangan )</t>
  </si>
  <si>
    <t>MH1JFJ111EK325763</t>
  </si>
  <si>
    <t>JFJ1E1327058</t>
  </si>
  <si>
    <t>KH 4329 PY</t>
  </si>
  <si>
    <t>L 04358942 M</t>
  </si>
  <si>
    <t>Eka Erdayanti</t>
  </si>
  <si>
    <t>MH1JBK211FK084837</t>
  </si>
  <si>
    <t>JBK2E-1084517</t>
  </si>
  <si>
    <t>KH 4434 PY</t>
  </si>
  <si>
    <t>L-06967186 M</t>
  </si>
  <si>
    <t>Iskandar, A.Md ( Analis kebijakan )</t>
  </si>
  <si>
    <t>MH1JBK216FK084753</t>
  </si>
  <si>
    <t>JBK2E-1084447</t>
  </si>
  <si>
    <t>KH 4430 PY</t>
  </si>
  <si>
    <t>L-06967182 M</t>
  </si>
  <si>
    <t>Persetujuan Pengalihan status Penggunaan Sepeda motor Ke BKAD</t>
  </si>
  <si>
    <t>02.02.01.06.038</t>
  </si>
  <si>
    <t>Mobil Pers Van</t>
  </si>
  <si>
    <t>Isuzu  / TBR54 Pick Up Turbo</t>
  </si>
  <si>
    <t>MHCTBR54BBK159248</t>
  </si>
  <si>
    <t>E159248</t>
  </si>
  <si>
    <t>KH 8312 PU</t>
  </si>
  <si>
    <t>000000</t>
  </si>
  <si>
    <t>Mobil Unit Siaran Keliling</t>
  </si>
  <si>
    <t>MHFXW42G6B2210984</t>
  </si>
  <si>
    <t>1TR7229517</t>
  </si>
  <si>
    <t>KH 1150 PU</t>
  </si>
  <si>
    <t>I-05945494 M</t>
  </si>
  <si>
    <t>Kadis Kominfo</t>
  </si>
  <si>
    <t>TOYOTA HILUX DOUBLE CABIN 2.5 E 4X4 M/T / TOYOTA HILUX DOUBLE CABIN 2.5 E 4X4 M/T</t>
  </si>
  <si>
    <t>2494  CC</t>
  </si>
  <si>
    <t>MR0DS8CDXG0330118</t>
  </si>
  <si>
    <t>2KD-U865434</t>
  </si>
  <si>
    <t>KH 8138 PW</t>
  </si>
  <si>
    <t>L-09729454 M</t>
  </si>
  <si>
    <t>Mutasi Mobil Operasional KH 8138 PW</t>
  </si>
  <si>
    <t>109</t>
  </si>
  <si>
    <t>MH1JBK213FK084743</t>
  </si>
  <si>
    <t>JBK2E-1084456</t>
  </si>
  <si>
    <t>KH 4432 PY</t>
  </si>
  <si>
    <t>L-06967184 M</t>
  </si>
  <si>
    <t>digudang</t>
  </si>
  <si>
    <t>MH1KC5211FK280800</t>
  </si>
  <si>
    <t>KC52E-1278595</t>
  </si>
  <si>
    <t>KH 4437 PY</t>
  </si>
  <si>
    <t>L-06967189 M</t>
  </si>
  <si>
    <t>HAFIJIL ANSARI</t>
  </si>
  <si>
    <t>HONDA NCIIA3CB A/T / HONDA NCIIA3CB A/T</t>
  </si>
  <si>
    <t>MHIJF7II6BK094003</t>
  </si>
  <si>
    <t>JF71E - 1093390</t>
  </si>
  <si>
    <t>KH 4026 PY</t>
  </si>
  <si>
    <t>H 11008874 M</t>
  </si>
  <si>
    <t>Muhamad ariyanto, S.Sos.</t>
  </si>
  <si>
    <t>MH1JF3114AK176741</t>
  </si>
  <si>
    <t>JF31E0175931</t>
  </si>
  <si>
    <t>KH 2635 PY</t>
  </si>
  <si>
    <t>H-06859631 M</t>
  </si>
  <si>
    <t>MAWARTI NINGSIH, S.A.P</t>
  </si>
  <si>
    <t>MH1JFS11XHK398320</t>
  </si>
  <si>
    <t>JFS1E1390174</t>
  </si>
  <si>
    <t>KH 4655 PY</t>
  </si>
  <si>
    <t>M 12824313 M</t>
  </si>
  <si>
    <t>Pengurus Barang</t>
  </si>
  <si>
    <t>MH1JFT117HK087689</t>
  </si>
  <si>
    <t>JFT1E 1087277</t>
  </si>
  <si>
    <t>KH 4604 PY</t>
  </si>
  <si>
    <t>M  12805845 M</t>
  </si>
  <si>
    <t>Wikan Wijiyanto, SH</t>
  </si>
  <si>
    <t>MH1JFT110HK086271</t>
  </si>
  <si>
    <t>JFT1E 1085843</t>
  </si>
  <si>
    <t>KH 4602 PY</t>
  </si>
  <si>
    <t>M 12805843 M</t>
  </si>
  <si>
    <t>Kasubbag Umum, Kepegawaian dan Perlengkapan</t>
  </si>
  <si>
    <t>HONDA Y1G02N15L0 A/T	 CBS ISS- 2017 / HONDA Y1G02N15L0 A/T	 CBS ISS- 2017</t>
  </si>
  <si>
    <t>MH1JFT111HK086215</t>
  </si>
  <si>
    <t>JFT1E 1085870</t>
  </si>
  <si>
    <t>KH 4625 PY</t>
  </si>
  <si>
    <t>M 12805866 M</t>
  </si>
  <si>
    <t>Bono Suhendra, ST</t>
  </si>
  <si>
    <t>MH1JFT116HK086033</t>
  </si>
  <si>
    <t>JFT1E 1085650</t>
  </si>
  <si>
    <t>KH 4623 PY</t>
  </si>
  <si>
    <t>M 12805864 M</t>
  </si>
  <si>
    <t>Nelly Hendriany, S.Sos.MM</t>
  </si>
  <si>
    <t>MH1JFZ124JK846929</t>
  </si>
  <si>
    <t>JFZ1E2844438</t>
  </si>
  <si>
    <t>KH 4787 PY</t>
  </si>
  <si>
    <t>O02643657M</t>
  </si>
  <si>
    <t>MASHURI, S.Hut.,MM</t>
  </si>
  <si>
    <t>MH1KC0213JK036304</t>
  </si>
  <si>
    <t>KC02E1036609</t>
  </si>
  <si>
    <t>KH 4743 PY</t>
  </si>
  <si>
    <t>O02643606M</t>
  </si>
  <si>
    <t>Granciano E. Kamis, S.ST</t>
  </si>
  <si>
    <t>MH4LX150GMJP89556</t>
  </si>
  <si>
    <t>LX150CEWR2467</t>
  </si>
  <si>
    <t>KH 5096 PY</t>
  </si>
  <si>
    <t>R-02937463</t>
  </si>
  <si>
    <t>MH1JFZ125JK852626</t>
  </si>
  <si>
    <t>JFZ1E2851138</t>
  </si>
  <si>
    <t>KH 4748 PY</t>
  </si>
  <si>
    <t>O 02643609 M</t>
  </si>
  <si>
    <t>MH1JFT118HK087197</t>
  </si>
  <si>
    <t>JFT1E1086510</t>
  </si>
  <si>
    <t>KH 4607 PY</t>
  </si>
  <si>
    <t>M 12805848 M</t>
  </si>
  <si>
    <t>MH1JFT112HK087101</t>
  </si>
  <si>
    <t>JFT1E1086503</t>
  </si>
  <si>
    <t>KH 4611 PY</t>
  </si>
  <si>
    <t>M 12805852 M</t>
  </si>
  <si>
    <t>TOYOTA INNOVA G M/T / TOYOTA INNOVA G M/T</t>
  </si>
  <si>
    <t>1998.0</t>
  </si>
  <si>
    <t>MHFJW8EMIK2366977</t>
  </si>
  <si>
    <t>ITR A596187</t>
  </si>
  <si>
    <t>KH 1265 PU</t>
  </si>
  <si>
    <t>O06847629M</t>
  </si>
  <si>
    <t>Mutasi ( KH 1265 PU )</t>
  </si>
  <si>
    <t>TOYOTA/HILUX 2.4 G / TOYOTA/HILUX 2.4 G</t>
  </si>
  <si>
    <t>2393.0</t>
  </si>
  <si>
    <t>MR0KB8CD6K1209242</t>
  </si>
  <si>
    <t>2GD-4702125</t>
  </si>
  <si>
    <t>KH 8185 PW</t>
  </si>
  <si>
    <t>P 02931057 M</t>
  </si>
  <si>
    <t>Kendaraan Roda 4</t>
  </si>
  <si>
    <t>MH1JBK113EK144861</t>
  </si>
  <si>
    <t>JBK1E1145125</t>
  </si>
  <si>
    <t>KH 4304 PY</t>
  </si>
  <si>
    <t>L 04354126 M</t>
  </si>
  <si>
    <t>MH1JBK113EK117983</t>
  </si>
  <si>
    <t>JBK1E1118223</t>
  </si>
  <si>
    <t>KH 4307 PY</t>
  </si>
  <si>
    <t>L 04354129 M</t>
  </si>
  <si>
    <t>MH1JBK112EK145497</t>
  </si>
  <si>
    <t>JBK1E1145850</t>
  </si>
  <si>
    <t>KH 4308 PY</t>
  </si>
  <si>
    <t>L 04354130 M</t>
  </si>
  <si>
    <t>MH1JBK115EK143436</t>
  </si>
  <si>
    <t>JBK1E1143111</t>
  </si>
  <si>
    <t>KH 4310 PY</t>
  </si>
  <si>
    <t>L 04354132 M</t>
  </si>
  <si>
    <t>MH1JBK110EK143425</t>
  </si>
  <si>
    <t>JBK1E1143510 M</t>
  </si>
  <si>
    <t>KH 4288 PY</t>
  </si>
  <si>
    <t>L 04354110 M</t>
  </si>
  <si>
    <t>DIGUNAKAN OLEH PENGAWAS PERDAGANGAN</t>
  </si>
  <si>
    <t>MH1KC5217EK202410</t>
  </si>
  <si>
    <t>KC52E1200079</t>
  </si>
  <si>
    <t>KH 4293 PY</t>
  </si>
  <si>
    <t>L 04354115 M</t>
  </si>
  <si>
    <t>DIGUNAKAN OLEH PENYULUH PERINDUSTRIAN DAN PERDAGANGAN</t>
  </si>
  <si>
    <t>MH1KC5216EK199306</t>
  </si>
  <si>
    <t>KC52E1197557</t>
  </si>
  <si>
    <t>KH 4294 PY</t>
  </si>
  <si>
    <t>L 04354116 M</t>
  </si>
  <si>
    <t>DIGUNAKAN OLEH PENGAWAS KOPERASI</t>
  </si>
  <si>
    <t>MH1KC5216EK199385</t>
  </si>
  <si>
    <t>KC52E1197281</t>
  </si>
  <si>
    <t>KH 4280 PY</t>
  </si>
  <si>
    <t>L 04353744 M</t>
  </si>
  <si>
    <t>MH1KC5214EK200436</t>
  </si>
  <si>
    <t>KC52E1198708</t>
  </si>
  <si>
    <t>KH 4301 PY</t>
  </si>
  <si>
    <t>L 04354123 M</t>
  </si>
  <si>
    <t>DIGUNAKAN OLEH PENGAWAS KEMETROLOGIAN</t>
  </si>
  <si>
    <t>SUZUKI / SUZUKI</t>
  </si>
  <si>
    <t>MH8CE47AAKJ149863</t>
  </si>
  <si>
    <t>AE54ID154909</t>
  </si>
  <si>
    <t>KH 4825 PY</t>
  </si>
  <si>
    <t>PO2948819M</t>
  </si>
  <si>
    <t>OPERASIONAL RODA 2 (DUA) KEMETROLOGIAN DAERAH / DIGUNAKAN OLEH PENYUSUNAN PERKENBANGAN HARGA DAN PENGKAJIAN PASAR.</t>
  </si>
  <si>
    <t>MH8CE47AAKJ149376</t>
  </si>
  <si>
    <t>AE541D154432</t>
  </si>
  <si>
    <t>KH 4826 PY</t>
  </si>
  <si>
    <t>P02948820M</t>
  </si>
  <si>
    <t>OPERASIONAL RODA 2 (DUA) KEMETROLOGIAN DAERAH / DIGUNAKAN OLEH PENILAI PELAYANAN KEMETROLOGIAN</t>
  </si>
  <si>
    <t>JRD Arjuna X100-4A  / JRD Arjuna X100-4A</t>
  </si>
  <si>
    <t>MFTA2122A.4</t>
  </si>
  <si>
    <t>JT100LCS2003001864</t>
  </si>
  <si>
    <t>KH 2007 PY</t>
  </si>
  <si>
    <t>HILANG DI BAWA YANG BERSANGKUTAN PINDAH KE GUNUNG MAS</t>
  </si>
  <si>
    <t>MATIC 125 CBS / L1F02N36L 1 A/T</t>
  </si>
  <si>
    <t>MH1JMC118RK515096</t>
  </si>
  <si>
    <t>JMC1E1514301</t>
  </si>
  <si>
    <t>KH 5378 PY</t>
  </si>
  <si>
    <t>V04725299M</t>
  </si>
  <si>
    <t>Kendaraan Roda Dua Dinas dipakai Sekretaris Dinas</t>
  </si>
  <si>
    <t>MATIC 125 CBS / L1F02N36L 1 A/T HONDA VARIO</t>
  </si>
  <si>
    <t>JMC110RK523306</t>
  </si>
  <si>
    <t>JMC1E152210</t>
  </si>
  <si>
    <t>KH 5382 PY</t>
  </si>
  <si>
    <t>V04725303M</t>
  </si>
  <si>
    <t>Kendaraan Roda Dua Dinas dipakai oleh Kepala Bidang Usaha Kecil dan Menengah</t>
  </si>
  <si>
    <t>JMC110RK525170</t>
  </si>
  <si>
    <t>JMC1E1524384</t>
  </si>
  <si>
    <t>KH 5379 PY</t>
  </si>
  <si>
    <t>V04725300M</t>
  </si>
  <si>
    <t>Kendaraan Roda Dua Dinas dipakai oleh Kepala Bidang Industri</t>
  </si>
  <si>
    <t>JMC113RK525194</t>
  </si>
  <si>
    <t>JMC1E1524254</t>
  </si>
  <si>
    <t>KH 5380 PY</t>
  </si>
  <si>
    <t>V04725301M</t>
  </si>
  <si>
    <t>Kendaraan Roda Dua Dinas dipakai oleh Kepala Bidang Perdagangan</t>
  </si>
  <si>
    <t>JMC115RK522331</t>
  </si>
  <si>
    <t>JMC1E1521334</t>
  </si>
  <si>
    <t>KH 5377 PY</t>
  </si>
  <si>
    <t>V04725298M</t>
  </si>
  <si>
    <t>Kendaraan Roda Dua Dinas dipakai oleh Kepala Sub Bagian Penyusunan Program dan Keuangan</t>
  </si>
  <si>
    <t>JMC118RK523165</t>
  </si>
  <si>
    <t>JMC1E1522365</t>
  </si>
  <si>
    <t>KH 5383 PY</t>
  </si>
  <si>
    <t>V04725304M</t>
  </si>
  <si>
    <t>Kendaraan Roda Dua Dinas dipakai oleh Bendahara Pengeluaran</t>
  </si>
  <si>
    <t>JMC11XRK523345</t>
  </si>
  <si>
    <t>JMC1E1522565</t>
  </si>
  <si>
    <t>KH 5381 PY</t>
  </si>
  <si>
    <t>V04725302M</t>
  </si>
  <si>
    <t>Kendaraan Roda Dua Dinas dipakai oleh Kepala Bidang Koperasi</t>
  </si>
  <si>
    <t>TOYOTA INNOVA G M/T LUX BENSIN / TOYOTA INNOVA G M/T LUX BENSIN</t>
  </si>
  <si>
    <t>MHFXW42G5C2226756</t>
  </si>
  <si>
    <t>1TR-7325890</t>
  </si>
  <si>
    <t>KH 1156 PU</t>
  </si>
  <si>
    <t>J-01776787 M</t>
  </si>
  <si>
    <t>KEPALA DMPTSP</t>
  </si>
  <si>
    <t>MH1JFJ118EK338218</t>
  </si>
  <si>
    <t>JFJ1E1334245</t>
  </si>
  <si>
    <t>KH 4330 PY</t>
  </si>
  <si>
    <t>L 04358943 M</t>
  </si>
  <si>
    <t>ISMAIL, S.E</t>
  </si>
  <si>
    <t>MH1JFS113FK106343</t>
  </si>
  <si>
    <t>JFS1E1104507</t>
  </si>
  <si>
    <t>KH 4384 PY</t>
  </si>
  <si>
    <t>L 06931767 M</t>
  </si>
  <si>
    <t>MAULIDAH, S.A.P</t>
  </si>
  <si>
    <t>MH1JFS112FK106351</t>
  </si>
  <si>
    <t>JFS1E104504</t>
  </si>
  <si>
    <t>KH 4382 PY</t>
  </si>
  <si>
    <t>L 06931765 M</t>
  </si>
  <si>
    <t>THAILAH YUSTIAN, A.Md Kom</t>
  </si>
  <si>
    <t>MH1JFV112FK194321</t>
  </si>
  <si>
    <t>JFV1E-1194043</t>
  </si>
  <si>
    <t>KH 4415 PY</t>
  </si>
  <si>
    <t>L 06955154 M</t>
  </si>
  <si>
    <t>WINARSIH, S.Sos., M.A.P</t>
  </si>
  <si>
    <t>HONDA E1F02N12M2 A/T / HONDA E1F02N12M2 A/T</t>
  </si>
  <si>
    <t>124.7</t>
  </si>
  <si>
    <t>MH1JFV116GK260273</t>
  </si>
  <si>
    <t>JFV1E-1260164</t>
  </si>
  <si>
    <t>KH 4439 PY</t>
  </si>
  <si>
    <t>L-06967191 M</t>
  </si>
  <si>
    <t>SARINAH MAULIDAH, S.E., M.E</t>
  </si>
  <si>
    <t>MH1JFV117GK260959</t>
  </si>
  <si>
    <t>JFV1E-1260278</t>
  </si>
  <si>
    <t>KH 4440 PY</t>
  </si>
  <si>
    <t>L-06967192 M</t>
  </si>
  <si>
    <t>MULIYAN, S.E., M.M</t>
  </si>
  <si>
    <t>MH1JFV118FK240203</t>
  </si>
  <si>
    <t>JFV1E-1237867</t>
  </si>
  <si>
    <t>KH 4433 PY</t>
  </si>
  <si>
    <t>L-06967185 M</t>
  </si>
  <si>
    <t>KASIANTO, S.Pd</t>
  </si>
  <si>
    <t>MH1JFV110FK246318</t>
  </si>
  <si>
    <t>JFV1E-1246624</t>
  </si>
  <si>
    <t>KH 4427 PY</t>
  </si>
  <si>
    <t>L-06967179 M</t>
  </si>
  <si>
    <t>EVA VERONIKA, A.Md</t>
  </si>
  <si>
    <t>MH1JFV112FK231660</t>
  </si>
  <si>
    <t>JFV1E-123129</t>
  </si>
  <si>
    <t>KH 4428 PY</t>
  </si>
  <si>
    <t>L-06967181 M</t>
  </si>
  <si>
    <t>ENTI MUNIFAH, S.T., M.M</t>
  </si>
  <si>
    <t>MH1JFS113HK398305</t>
  </si>
  <si>
    <t>JFS1E1390163</t>
  </si>
  <si>
    <t>KH 4643 PY</t>
  </si>
  <si>
    <t>M 12824303 M</t>
  </si>
  <si>
    <t>KRIESNA HARYADI, S.H., M.M</t>
  </si>
  <si>
    <t>MH1JFT119HK087144</t>
  </si>
  <si>
    <t>JFT1E 1085632</t>
  </si>
  <si>
    <t>KH 4619 PY</t>
  </si>
  <si>
    <t>M 12805860 M</t>
  </si>
  <si>
    <t>NOOR HIDAYAH, S.Sos</t>
  </si>
  <si>
    <t>MH1JFZ122JK852650</t>
  </si>
  <si>
    <t>JFZ1E2851137</t>
  </si>
  <si>
    <t>KH 4788 PY</t>
  </si>
  <si>
    <t>O 02643658 M</t>
  </si>
  <si>
    <t>BUDI SISWANTO, S.E</t>
  </si>
  <si>
    <t>HONDA/H1B02N42L0 A/T / HONDA/H1B02N42L0 A/T</t>
  </si>
  <si>
    <t>MH1JM9110MK640363</t>
  </si>
  <si>
    <t>JM91E1639967</t>
  </si>
  <si>
    <t>KH 4995 PY</t>
  </si>
  <si>
    <t>R 02931097 M</t>
  </si>
  <si>
    <t>SYUKRANI, S.P., M.M</t>
  </si>
  <si>
    <t>JM91E1639946</t>
  </si>
  <si>
    <t>KH 4992 PY</t>
  </si>
  <si>
    <t>R 02931095 M</t>
  </si>
  <si>
    <t>AHMAD SUPIAN, S.E</t>
  </si>
  <si>
    <t>MH1JM9116MK640318</t>
  </si>
  <si>
    <t>NINARA KRISMA, S.E., M.A.P</t>
  </si>
  <si>
    <t>MH1JM9116MK654042</t>
  </si>
  <si>
    <t>JM91E1656843</t>
  </si>
  <si>
    <t>KH 4996 PY</t>
  </si>
  <si>
    <t>R 02931098 M</t>
  </si>
  <si>
    <t>DEWI FORTUNA, S.H</t>
  </si>
  <si>
    <t>MH1JFZ126JK860153</t>
  </si>
  <si>
    <t>JFZ1E2857672</t>
  </si>
  <si>
    <t>KH 4752 PY</t>
  </si>
  <si>
    <t>O 026443613 M</t>
  </si>
  <si>
    <t>YASIN FADILLAH, S.M., M.A.P</t>
  </si>
  <si>
    <t>MH1JF3118AK176466</t>
  </si>
  <si>
    <t>JF31E0175740</t>
  </si>
  <si>
    <t>KH 2651 PY</t>
  </si>
  <si>
    <t>H-06859726 M</t>
  </si>
  <si>
    <t>HENDRI WAGIANTO</t>
  </si>
  <si>
    <t>Toyota Kijang Std KF 60 R / Toyota Kijang Std KF 60 R</t>
  </si>
  <si>
    <t>1781</t>
  </si>
  <si>
    <t>MHF31KF6060046049</t>
  </si>
  <si>
    <t>7K-0818879</t>
  </si>
  <si>
    <t>KH 8056 PW</t>
  </si>
  <si>
    <t>E 2533811 M</t>
  </si>
  <si>
    <t>TOYOTA NEW KIJANG INNOVA E M/T BENSIN / TOYOTA NEW KIJANG INNOVA E M/T BENSIN</t>
  </si>
  <si>
    <t>MHFXW41G4E0063467</t>
  </si>
  <si>
    <t>1 TR7857578</t>
  </si>
  <si>
    <t>KH 1188 PU</t>
  </si>
  <si>
    <t>K 00650509 M</t>
  </si>
  <si>
    <t>KESBANG LINMAS</t>
  </si>
  <si>
    <t>MH1KC5211DK033223</t>
  </si>
  <si>
    <t>KC52E1033135</t>
  </si>
  <si>
    <t>KH 4182 PY</t>
  </si>
  <si>
    <t>K 05633495 M</t>
  </si>
  <si>
    <t>MH1JF3115AK176733</t>
  </si>
  <si>
    <t>JF31E0175929</t>
  </si>
  <si>
    <t>KH 2634 PY</t>
  </si>
  <si>
    <t>H-06859632 M</t>
  </si>
  <si>
    <t>MH1JFZ128JK860123</t>
  </si>
  <si>
    <t>JFZ1E2857645</t>
  </si>
  <si>
    <t>KH 4754 PY</t>
  </si>
  <si>
    <t>002643615M</t>
  </si>
  <si>
    <t>MH1KC0218JK034967</t>
  </si>
  <si>
    <t>KC02E1035150</t>
  </si>
  <si>
    <t>KH 4760 PY</t>
  </si>
  <si>
    <t>002643631M</t>
  </si>
  <si>
    <t>MH1JBK115EK092651</t>
  </si>
  <si>
    <t>JBK1E1093268</t>
  </si>
  <si>
    <t>KH 4303 PY</t>
  </si>
  <si>
    <t>L 04354125 M</t>
  </si>
  <si>
    <t>ATINITA /DPRD</t>
  </si>
  <si>
    <t>HONDA ATI121B01 A/T / HONDA ATI121B01 A/T</t>
  </si>
  <si>
    <t>107</t>
  </si>
  <si>
    <t>MHIJFH115K388164</t>
  </si>
  <si>
    <t>JFH1E-1386968</t>
  </si>
  <si>
    <t>KH 4425 PY</t>
  </si>
  <si>
    <t>L - 06960703 M</t>
  </si>
  <si>
    <t>RIJALI HADY</t>
  </si>
  <si>
    <t>MH1JFJ11XEK311571</t>
  </si>
  <si>
    <t>JFJ1E1316389</t>
  </si>
  <si>
    <t>KH 4316 PY</t>
  </si>
  <si>
    <t>L 04358928 M</t>
  </si>
  <si>
    <t>M. GAZALI, S.Pd</t>
  </si>
  <si>
    <t>MH1JFJ11XEK340892</t>
  </si>
  <si>
    <t>JFJ1E1339496</t>
  </si>
  <si>
    <t>KH 4315 PY</t>
  </si>
  <si>
    <t>L 04358927 M</t>
  </si>
  <si>
    <t>KHAIRIL YADI /DPRD</t>
  </si>
  <si>
    <t>MHFXW42G6B2203291</t>
  </si>
  <si>
    <t>1TR7189097</t>
  </si>
  <si>
    <t>KH 1142 PU</t>
  </si>
  <si>
    <t>I-04919009 M</t>
  </si>
  <si>
    <t>Kepala Dinas Perpustakaan ( ANGGA, S.E. )</t>
  </si>
  <si>
    <t>MH1JFT114HK086077</t>
  </si>
  <si>
    <t>JFT1E 1085684</t>
  </si>
  <si>
    <t>KH 4624 PY</t>
  </si>
  <si>
    <t>M 12805865 M</t>
  </si>
  <si>
    <t>Pengurus Barang Dinas Perpustakaan dan Kearsipan (WAHYUTI, A.Md.,Kom)</t>
  </si>
  <si>
    <t>MH1KC5211EK200457</t>
  </si>
  <si>
    <t>KC52E1198761</t>
  </si>
  <si>
    <t>KH 4291 PY</t>
  </si>
  <si>
    <t>L 04354113 M</t>
  </si>
  <si>
    <t>Dinas Perpustakaan dan Kearsipan ( BONO SUHENDRA, ST)</t>
  </si>
  <si>
    <t>MH1KC5216EK199399</t>
  </si>
  <si>
    <t>KC52E1197287</t>
  </si>
  <si>
    <t>KH 4279 PY</t>
  </si>
  <si>
    <t>L 04353743 M</t>
  </si>
  <si>
    <t>Dinas Perpustakaan dan Kearsipan ( SULPINAH, S.A.P)</t>
  </si>
  <si>
    <t>MH1JFS112FK080723</t>
  </si>
  <si>
    <t>JFS1E1078846</t>
  </si>
  <si>
    <t>KH 4374 PY</t>
  </si>
  <si>
    <t>L 06931757 M</t>
  </si>
  <si>
    <t>Pembantu Pengurus Barang Dinas Perpustakaan dan Kearsipan ( YESI MAULINA,S.Pi)</t>
  </si>
  <si>
    <t>SUZUKI  FL 125 RCD / SUZUKI  FL 125 RCD</t>
  </si>
  <si>
    <t>MH8BF45D48J-208612</t>
  </si>
  <si>
    <t>F496-ID-257690</t>
  </si>
  <si>
    <t>KH 2522 PY</t>
  </si>
  <si>
    <t>F 4847851</t>
  </si>
  <si>
    <t>Kepala Dinas, Dinas Perpustakaan dan Kearsipan (ANGGA, S.E.)</t>
  </si>
  <si>
    <t>SUZUKI  FL 125 RCMD / SUZUKI  FL 125 RCMD</t>
  </si>
  <si>
    <t>MH8BF45AAJ194777</t>
  </si>
  <si>
    <t>F4AI-ID-194856</t>
  </si>
  <si>
    <t>KH 2622 PY</t>
  </si>
  <si>
    <t>H 11006986 M</t>
  </si>
  <si>
    <t>Dinas Perpustakaan dan Kearsipan (SRI NORKAMALA DEWI, SE., MM)</t>
  </si>
  <si>
    <t>MH1KC521XDK087915</t>
  </si>
  <si>
    <t>KC52E1088809</t>
  </si>
  <si>
    <t>KH 4204 PY</t>
  </si>
  <si>
    <t>K 08796081 M</t>
  </si>
  <si>
    <t>Dinas Perpustakaan dan Kearsipan ( VERA ASTUTI,S.Sos.,MM )</t>
  </si>
  <si>
    <t>MH1KC0410SK022603</t>
  </si>
  <si>
    <t>KC04E1022626</t>
  </si>
  <si>
    <t>B 3760 PKQ</t>
  </si>
  <si>
    <t>W02266130</t>
  </si>
  <si>
    <t>Hibah Perpusnas RI (RUSIDAH, S. Kom.,M.A.P)</t>
  </si>
  <si>
    <t>02.02.01.06.008</t>
  </si>
  <si>
    <t>Mobil Unit Perpustakaan Keliling</t>
  </si>
  <si>
    <t>TOYOTA HILUK  2.OL MT / TOYOTA HILUK  2.OL MT</t>
  </si>
  <si>
    <t>1998</t>
  </si>
  <si>
    <t>MR0AW12G1A0022577</t>
  </si>
  <si>
    <t>1TR6949312</t>
  </si>
  <si>
    <t>KH 8072 PW</t>
  </si>
  <si>
    <t>I-07207098M</t>
  </si>
  <si>
    <t>Dinas Perpustakaan dan Kearsipan (RUSIDAH, S. Kom.,M.A.P)</t>
  </si>
  <si>
    <t>Toyota / Toyota Hilux Single Cabin 2.4 DSL</t>
  </si>
  <si>
    <t>MR0DB8CB8S6008551</t>
  </si>
  <si>
    <t>2GDD534778</t>
  </si>
  <si>
    <t>KH 9104 PW</t>
  </si>
  <si>
    <t>AA00315338</t>
  </si>
  <si>
    <t>Belanja Modal Kendaraan Bermotor -Mobil Puslin (RUSIDAH, S. Kom.,M.A.P)</t>
  </si>
  <si>
    <t>02.02.01.01.006</t>
  </si>
  <si>
    <t>kendaraan dinas bermotor perorangan  lainnya (dst)</t>
  </si>
  <si>
    <t>Toyota/Kijang Innova 2.4 G / Toyota/Kijang Innova 2.4 G</t>
  </si>
  <si>
    <t>2.393 CC</t>
  </si>
  <si>
    <t>Besi/campuran</t>
  </si>
  <si>
    <t>MHFJBBEMXM10790</t>
  </si>
  <si>
    <t>2GDC805023</t>
  </si>
  <si>
    <t>KH 1282 PU</t>
  </si>
  <si>
    <t>H 06860779 M</t>
  </si>
  <si>
    <t>Kendaraan Dinas Roda Empat (TAUFIK KURAHMAN, S.Pi.,MM)</t>
  </si>
  <si>
    <t>Toyota (Kijang Innova)  / Toyota (Kijang Innova)</t>
  </si>
  <si>
    <t>1.998 CC</t>
  </si>
  <si>
    <t>Besi Campuran</t>
  </si>
  <si>
    <t>MHFXW42G4A2161329</t>
  </si>
  <si>
    <t>1TR-6929108</t>
  </si>
  <si>
    <t>KH 1098 PU</t>
  </si>
  <si>
    <t>Pinjam Pakai Ketua PWI Kab. Seruyan (HENDRI EDITIA)</t>
  </si>
  <si>
    <t>Yamaha JUVITER  - Z / Yamaha JUVITER  - Z</t>
  </si>
  <si>
    <t>MH331B004BJ941203</t>
  </si>
  <si>
    <t>31B941256</t>
  </si>
  <si>
    <t>KH 2190 PY</t>
  </si>
  <si>
    <t>I 06367914 M</t>
  </si>
  <si>
    <t>Kendaraan Roda Dua 
(RATNI SUPIYATI, S.E)</t>
  </si>
  <si>
    <t>HONDA  SUPRA X 125 CC / HONDA  SUPRA X 125 CC</t>
  </si>
  <si>
    <t>Besi Campuran/Plastik</t>
  </si>
  <si>
    <t>MH1JBG11XCK039597</t>
  </si>
  <si>
    <t>JBG1E1035145</t>
  </si>
  <si>
    <t>KH 4153 PY</t>
  </si>
  <si>
    <t>I 10726476 M</t>
  </si>
  <si>
    <t>Kendaraan Roda Dua (TRI HARTONO MATTUJU)</t>
  </si>
  <si>
    <t>Suzuki  FD 125 XSD / Suzuki  FD 125 XSD</t>
  </si>
  <si>
    <t>MH8FDI25X4J-246665</t>
  </si>
  <si>
    <t>F403-ID-247697</t>
  </si>
  <si>
    <t>KH 2596 PY</t>
  </si>
  <si>
    <t>D 0127189 M</t>
  </si>
  <si>
    <t>Kendaraan Roda Dua (SANDRA)</t>
  </si>
  <si>
    <t>HONDA NF 100 D SUPRA X / HONDA NF 100 D SUPRA X</t>
  </si>
  <si>
    <t>100 CC</t>
  </si>
  <si>
    <t>MHIKEVA245K128108</t>
  </si>
  <si>
    <t>KEV AE-2126414</t>
  </si>
  <si>
    <t>KH 2017 PY</t>
  </si>
  <si>
    <t>D 3169987 M</t>
  </si>
  <si>
    <t>Kendaraan Roda Dua (ABDUS SALAM, S.Sos)</t>
  </si>
  <si>
    <t>Honda NF 100 D SUPRA X / Honda NF 100 D SUPRA X</t>
  </si>
  <si>
    <t>MHIKEVA255K141011</t>
  </si>
  <si>
    <t>KEV AE2140833</t>
  </si>
  <si>
    <t>KH 2016 PY</t>
  </si>
  <si>
    <t>D 5076001 M</t>
  </si>
  <si>
    <t>Kendaraan Roda Dua (ELLADIN)</t>
  </si>
  <si>
    <t>YAMAHA JUVITER  - Z / YAMAHA JUVITER  - Z</t>
  </si>
  <si>
    <t>MH8TP0065K486352</t>
  </si>
  <si>
    <t>5TP730715</t>
  </si>
  <si>
    <t>KH 2028 PY</t>
  </si>
  <si>
    <t>D 5075772 M</t>
  </si>
  <si>
    <t>Kendaraan Roda Dua (HARRY BAMBANG SETIAWAN)</t>
  </si>
  <si>
    <t>Honda NF 100 SLD / Honda NF 100 SLD</t>
  </si>
  <si>
    <t>MHIJB42156K001758</t>
  </si>
  <si>
    <t>HB4ZE-1001582</t>
  </si>
  <si>
    <t>KH 2134 PY</t>
  </si>
  <si>
    <t>E 1047111 M</t>
  </si>
  <si>
    <t>Kendaraan Roda Dua (SUGIAN)</t>
  </si>
  <si>
    <t>HONDA NF 125 SC / HONDA NF 125 SC</t>
  </si>
  <si>
    <t>MHIJB52116K137924</t>
  </si>
  <si>
    <t>JB52E11376849</t>
  </si>
  <si>
    <t>KH 2135 PY</t>
  </si>
  <si>
    <t>E 1047123 M</t>
  </si>
  <si>
    <t>Kendaraan Roda Dua (M. ASWIN SIDIK, S.Sos)</t>
  </si>
  <si>
    <t>HONDA/CRF 150 / HONDA/CRF 150</t>
  </si>
  <si>
    <t>Logam/Campuran</t>
  </si>
  <si>
    <t>MH1KD111XMK254197</t>
  </si>
  <si>
    <t>KD11E1253401</t>
  </si>
  <si>
    <t>KH 5119 PY</t>
  </si>
  <si>
    <t>R- 02965662M</t>
  </si>
  <si>
    <t>Kendaraan Roda Dua (M. ARAFIK)</t>
  </si>
  <si>
    <t>MH1KD1118MK254165</t>
  </si>
  <si>
    <t>KD11E1253005</t>
  </si>
  <si>
    <t>KH 5121 PY</t>
  </si>
  <si>
    <t>R- 02965664M</t>
  </si>
  <si>
    <t>Kendaraan Roda Dua (TAUFIK KURAHMAN, S.Pi.,MM)</t>
  </si>
  <si>
    <t>MH1KD1118MK251267</t>
  </si>
  <si>
    <t>KD11E1250579</t>
  </si>
  <si>
    <t>KH 5122 PY</t>
  </si>
  <si>
    <t>R- 02965665M</t>
  </si>
  <si>
    <t>Kendaraan Roda Dua (HUSIN, S.Pi)</t>
  </si>
  <si>
    <t>HONDA/Matic Beat Sporty CBS ISS / HONDA/Matic Beat Sporty CBS ISS</t>
  </si>
  <si>
    <t>MH1JM9115MK805646</t>
  </si>
  <si>
    <t>JM91E1802699</t>
  </si>
  <si>
    <t>KH 5120 PY</t>
  </si>
  <si>
    <t>R- 02965663M</t>
  </si>
  <si>
    <t>Kendaraan Roda Dua (MUHAMAD INDRA)</t>
  </si>
  <si>
    <t>MH1KC5212FK255713</t>
  </si>
  <si>
    <t>KC52E1253670</t>
  </si>
  <si>
    <t>KH 4370 PY</t>
  </si>
  <si>
    <t>L 06930539 M</t>
  </si>
  <si>
    <t>Kendaraan Roda Dua (MUHAMMAD ARSYAD)</t>
  </si>
  <si>
    <t>Suzuki  FL 125 RCD / Suzuki  FL 125 RCD</t>
  </si>
  <si>
    <t>MH8BF45DA8J-209109</t>
  </si>
  <si>
    <t>F4D61D257993</t>
  </si>
  <si>
    <t>KH 2517 PY</t>
  </si>
  <si>
    <t>F 4847846 M</t>
  </si>
  <si>
    <t>Kendaraan Roda Dua 
(OKTI MARLIANI, S.Pi)</t>
  </si>
  <si>
    <t>000019 s/d 000020</t>
  </si>
  <si>
    <t>Honda / Vario 160 ABS</t>
  </si>
  <si>
    <t>160 CC
160 CC</t>
  </si>
  <si>
    <t>Besi Campuran
Besi Campuran</t>
  </si>
  <si>
    <t>MH1KFA110RK261418
MH1KFA116RK261410</t>
  </si>
  <si>
    <t>KFA1E1261037
KFA1E1261045</t>
  </si>
  <si>
    <t>KH 5355 PY
KH 5356 PY</t>
  </si>
  <si>
    <t>V- 04719742 M
V- 04719743 M</t>
  </si>
  <si>
    <t xml:space="preserve">Pembelian
</t>
  </si>
  <si>
    <t>Belanja Modal Kendaraan Bermotor Beroda Dua - Belanja Kendaraan Bermotor Beroda Dua
- KH 5355 PY (MISBAKHUL MUNIR, S.Pi)
- KH 5356 PY (MONALISA, S.Pi.,MM)</t>
  </si>
  <si>
    <t>000021 s/d 000022</t>
  </si>
  <si>
    <t>Honda / Vario 160</t>
  </si>
  <si>
    <t>MH1KFA117SK294034
MH1KFA110SK294036</t>
  </si>
  <si>
    <t>KFA1E1293618
KFA1E1293615</t>
  </si>
  <si>
    <t>KH 5416 PY
KH 5417 PY</t>
  </si>
  <si>
    <t>V- 04015013 M
V- 04015014 M</t>
  </si>
  <si>
    <t>Belanja Kendaraan Perorangan Dinas atau Kendaraan Dinas Jabatan - Belanja Modal Kendaraan Bermotor Beroda Dua
- KH 5416 PY (M. FAHRURAJI, S.Pi)
- KH 5417 PY (RENSI S.N. SIREGAR, S.STPi)</t>
  </si>
  <si>
    <t>Honda / Scoopy</t>
  </si>
  <si>
    <t>MH1JMH219SK191772</t>
  </si>
  <si>
    <t>JMH2E1192092</t>
  </si>
  <si>
    <t>KH 5418 PY</t>
  </si>
  <si>
    <t>V- 04015015 M</t>
  </si>
  <si>
    <t>Belanja Kendaraan Perorangan Dinas atau Kendaraan Dinas Jabatan - Belanja Modal Kendaraan Bermotor Beroda Dua (SULISTYORINI)</t>
  </si>
  <si>
    <t>MHFXW42G1B2210486</t>
  </si>
  <si>
    <t>1TR7225304</t>
  </si>
  <si>
    <t>KH 1153 PU</t>
  </si>
  <si>
    <t>I-05945492 M</t>
  </si>
  <si>
    <t>Masih belum dikembalikan oleh eks Kepala Bappedalitbang sdr. Budi Purwanto</t>
  </si>
  <si>
    <t>TOYOTA  / KIJANG INNOVA 2.4 G M/T</t>
  </si>
  <si>
    <t>2400</t>
  </si>
  <si>
    <t>-MHFJE8BM8P1119190</t>
  </si>
  <si>
    <t>2GDD318835</t>
  </si>
  <si>
    <t>KH 1316 PU</t>
  </si>
  <si>
    <t>U-06710704 M</t>
  </si>
  <si>
    <t>(Kendaraan Dinas Eselon II Kepala Badan) Tahun Anggaran 2024</t>
  </si>
  <si>
    <t>MH1KC5212FK255159</t>
  </si>
  <si>
    <t>KC52E-1252745</t>
  </si>
  <si>
    <t>KH 4342 PY</t>
  </si>
  <si>
    <t>L 06930511 M</t>
  </si>
  <si>
    <t>Kendaraan rusak ringan 25% (digudang) masih bisa dipergunakan/nunggu dana perbaikan</t>
  </si>
  <si>
    <t>KAWASAKI KLX150/HITAM / KAWASAKI KLX150/HITAM</t>
  </si>
  <si>
    <t>MH4LX150CEJP13032</t>
  </si>
  <si>
    <t>LX150CEPH2335</t>
  </si>
  <si>
    <t>KH 4276 PY</t>
  </si>
  <si>
    <t>L043550135M</t>
  </si>
  <si>
    <t>Pemegang/ Bendahara Penerimaan an. Akhmadiyanor</t>
  </si>
  <si>
    <t>MH1JFS112FK106363</t>
  </si>
  <si>
    <t>JFS1E1104555</t>
  </si>
  <si>
    <t>KH 4393 PY</t>
  </si>
  <si>
    <t>L 06931776 M</t>
  </si>
  <si>
    <t>Pemegang/Analis Kebijakan an. Dody Supiannor</t>
  </si>
  <si>
    <t>SUZUKI SHOGUN FL 125 RCD / SUZUKI SHOGUN FL 125 RCD</t>
  </si>
  <si>
    <t>MH8BF45DA8J20827</t>
  </si>
  <si>
    <t>F496-ID-257231</t>
  </si>
  <si>
    <t>KH 2497 PY</t>
  </si>
  <si>
    <t>F 4847935 M</t>
  </si>
  <si>
    <t>An. Kasubbag Umum pemegang... penjaga siang (sdr. Romi)kendaraan Operasional</t>
  </si>
  <si>
    <t>MH1JFZ126JK833647</t>
  </si>
  <si>
    <t>JFZ1E2832474</t>
  </si>
  <si>
    <t>KH 4751 PY</t>
  </si>
  <si>
    <t>-002643612</t>
  </si>
  <si>
    <t xml:space="preserve">Pemegang/JPT an. Nurul Izzati </t>
  </si>
  <si>
    <t>MH1JFZ127JK852630</t>
  </si>
  <si>
    <t>JFZ1E2851111</t>
  </si>
  <si>
    <t>KH 4749 PY</t>
  </si>
  <si>
    <t>-002643666</t>
  </si>
  <si>
    <t>Mutasi dari Bpkad</t>
  </si>
  <si>
    <t>HONDA SUPRA X 125 CW FI 2018 AFX12U21C08 M/T / HONDA SUPRA X 125 CW FI 2018 AFX12U21C08 M/T</t>
  </si>
  <si>
    <t>MH1JBP111JK664175</t>
  </si>
  <si>
    <t>JBP1E1664665</t>
  </si>
  <si>
    <t>KH 4794 PY</t>
  </si>
  <si>
    <t>-002643664</t>
  </si>
  <si>
    <t>MH1JBP114JK675638</t>
  </si>
  <si>
    <t>JBP1E1675849</t>
  </si>
  <si>
    <t>KH 4755 PY</t>
  </si>
  <si>
    <t>-002643667 M</t>
  </si>
  <si>
    <t>MH1JBP119JK666519</t>
  </si>
  <si>
    <t>JBP1E1666418</t>
  </si>
  <si>
    <t>KH 4785 PY</t>
  </si>
  <si>
    <t>-002643655 M</t>
  </si>
  <si>
    <t>MH1JBP119JK666465</t>
  </si>
  <si>
    <t>JBP1E1666402</t>
  </si>
  <si>
    <t>KH 4793 PY</t>
  </si>
  <si>
    <t>-002643663 M</t>
  </si>
  <si>
    <t>MH1JBP116JK664737</t>
  </si>
  <si>
    <t>JBP1E1664540</t>
  </si>
  <si>
    <t>KH 4795 PY</t>
  </si>
  <si>
    <t>-002643665</t>
  </si>
  <si>
    <t>MH1JBP116JK671302</t>
  </si>
  <si>
    <t>JBP1E1671332</t>
  </si>
  <si>
    <t>KH 4756 PY</t>
  </si>
  <si>
    <t>-002643617 M</t>
  </si>
  <si>
    <t>MH1JBP119JK664764</t>
  </si>
  <si>
    <t>JBP1E1664107</t>
  </si>
  <si>
    <t>KH 4796 PY</t>
  </si>
  <si>
    <t>MH1JM4119JK183423</t>
  </si>
  <si>
    <t>JM41E1183164</t>
  </si>
  <si>
    <t>KH 4783 PY</t>
  </si>
  <si>
    <t>-002643655 m</t>
  </si>
  <si>
    <t>MH1JM4112JK187670</t>
  </si>
  <si>
    <t>JM41E1187396</t>
  </si>
  <si>
    <t>KH 4746 PY</t>
  </si>
  <si>
    <t>-002643608 m</t>
  </si>
  <si>
    <t>MH1JFT116HK086095</t>
  </si>
  <si>
    <t>JFT1E 1085608</t>
  </si>
  <si>
    <t>KH 4603 PY</t>
  </si>
  <si>
    <t>M 12805844 M</t>
  </si>
  <si>
    <t>Kabid Litbang</t>
  </si>
  <si>
    <t>MH1JFZ12XJK860334</t>
  </si>
  <si>
    <t>JFZ1E2857834</t>
  </si>
  <si>
    <t>KH 4789 PY</t>
  </si>
  <si>
    <t>-002643659 M</t>
  </si>
  <si>
    <t>MH1JFZ127JK846973</t>
  </si>
  <si>
    <t>JFZ1E2844433</t>
  </si>
  <si>
    <t>KH 4750 PY</t>
  </si>
  <si>
    <t>-002643611 M</t>
  </si>
  <si>
    <t>MH1JFZ120JK852629</t>
  </si>
  <si>
    <t>JFZ1E2851141</t>
  </si>
  <si>
    <t>KH 4791 PY</t>
  </si>
  <si>
    <t>-002643661 M</t>
  </si>
  <si>
    <t>MH1JFT110HK086268</t>
  </si>
  <si>
    <t>JFT1E 1085848</t>
  </si>
  <si>
    <t>KH 4601 PY</t>
  </si>
  <si>
    <t>M 12805842 M</t>
  </si>
  <si>
    <t>Pengurus Barang Pengguna</t>
  </si>
  <si>
    <t>MH1JFT115HK087643</t>
  </si>
  <si>
    <t>JFT1E 1087244</t>
  </si>
  <si>
    <t>KH 4618 PY</t>
  </si>
  <si>
    <t>M 12805859 M</t>
  </si>
  <si>
    <t>Kabid Perekonomian , SDA</t>
  </si>
  <si>
    <t>MH1KC5210FK255113</t>
  </si>
  <si>
    <t>KC52E-1252829</t>
  </si>
  <si>
    <t>KH 4343 PY</t>
  </si>
  <si>
    <t>L 06930512 M</t>
  </si>
  <si>
    <t>Kabid Evaluasi Perencanaan</t>
  </si>
  <si>
    <t>YAMAHA NMAX</t>
  </si>
  <si>
    <t>MH3SG9310SK175445</t>
  </si>
  <si>
    <t>G3VSE-0501967</t>
  </si>
  <si>
    <t>KH 5443 PY</t>
  </si>
  <si>
    <t>W 01362545</t>
  </si>
  <si>
    <t>Belanja Modal Pengadaan Kendaraan roda 2 tahun anggaran 2025</t>
  </si>
  <si>
    <t>MH3SG9310SJ189426</t>
  </si>
  <si>
    <t>G3VSE-552222</t>
  </si>
  <si>
    <t>KH 5442 PY</t>
  </si>
  <si>
    <t>W 01362544</t>
  </si>
  <si>
    <t>Belanja Modal Pengadaan Kendaraan Roda 2 tahun anggaran 2025</t>
  </si>
  <si>
    <t>MUTSUBISHI / FE 84G BCN 4X2 M/T</t>
  </si>
  <si>
    <t>3907</t>
  </si>
  <si>
    <t>MHMFE84ENRJ001737</t>
  </si>
  <si>
    <t>4V21U14699</t>
  </si>
  <si>
    <t>KH 7008 PU</t>
  </si>
  <si>
    <t>V04703911M</t>
  </si>
  <si>
    <t>BUS BKAD</t>
  </si>
  <si>
    <t>BADAN KEUANGAN DAN ASET DAERAH</t>
  </si>
  <si>
    <t>2.494</t>
  </si>
  <si>
    <t>MROFR22G5E0780429</t>
  </si>
  <si>
    <t>2KDS368754</t>
  </si>
  <si>
    <t>KH.8115 PW</t>
  </si>
  <si>
    <t>K 00650699 M</t>
  </si>
  <si>
    <t>Mutasi Keluar ( KH 8115 PW)</t>
  </si>
  <si>
    <t>TOYOTA PAJERO SPORT 2.4 DAKKAR  / PAJERO SPORT</t>
  </si>
  <si>
    <t>2442</t>
  </si>
  <si>
    <t>MK2KSWPNUPJ001804</t>
  </si>
  <si>
    <t>4N15UKC8287</t>
  </si>
  <si>
    <t>KH 1312 PU</t>
  </si>
  <si>
    <t>U01989038M</t>
  </si>
  <si>
    <t>Belanja Modal Kendaraan Dinas Jabatan (Kapolres)</t>
  </si>
  <si>
    <t>TOYOTA VELOZ 1.5 Q CVT TSS / VELOZ</t>
  </si>
  <si>
    <t>Belanja Modal Kendaraan Dinas Lapangan (Kejaksaan)</t>
  </si>
  <si>
    <t>TOYOTA / HIACE PREMIO 2.8 M/T</t>
  </si>
  <si>
    <t>2755</t>
  </si>
  <si>
    <t>JTF2A9CP4R6006453</t>
  </si>
  <si>
    <t>1GD9413145</t>
  </si>
  <si>
    <t>KH 7010 PU</t>
  </si>
  <si>
    <t>V04726176M</t>
  </si>
  <si>
    <t>Pembayaran Belanja Modal Pengadaan Kendaraan Operasional Tamu/Pejabat Sub Kegiatan Pengadaan Kendaraan Perorangan Dinas atau Kendaraan Dinas Jabatan pada Badan Keuangan dan Aset Daerah Kabupaten Seruyan Tahun 2024 (HIACE PREMIO)</t>
  </si>
  <si>
    <t>FORTUNER / 2,8 VRZ GR-S TSS 4X2 A/T</t>
  </si>
  <si>
    <t>MHFAA8GS3R0922268</t>
  </si>
  <si>
    <t>1GD5695254</t>
  </si>
  <si>
    <t>KH 1332 PU</t>
  </si>
  <si>
    <t>V04726175M</t>
  </si>
  <si>
    <t>Pembayaran Belanja Modal Pengadaan Kendaraan Dinas Bermotor Perorangan/Pejabat Sub Kegiatan Pengadaan Kendaraan Perorangan Dinas atau Kendaraan Dinas Jabatan pada Badan Keuangan dan Aset Daerah Kabupaten Seruyan Tahun 2024 (FORTUNER, WAKIL BUPATI)</t>
  </si>
  <si>
    <t>TOYOTA FORTUNER 2.4 VRZ / TOYOTA FORTUNER 2.4 VRZ</t>
  </si>
  <si>
    <t>4X2 A/T DSL VIN 2021</t>
  </si>
  <si>
    <t>MHFAB8GS5M3023786</t>
  </si>
  <si>
    <t>2GD 1086021</t>
  </si>
  <si>
    <t>KH 1285 PU</t>
  </si>
  <si>
    <t>S-00380770</t>
  </si>
  <si>
    <t>BELANJA MODAL KENDARAAN DINAS</t>
  </si>
  <si>
    <t>TOYOTA AVANZA / TOYOTA AVANZA</t>
  </si>
  <si>
    <t>1.498</t>
  </si>
  <si>
    <t>MHFM1CA4JBK057969</t>
  </si>
  <si>
    <t>DC67282</t>
  </si>
  <si>
    <t>KH 1144 PU</t>
  </si>
  <si>
    <t>I-04919011 M</t>
  </si>
  <si>
    <t>INSPEKTORAT</t>
  </si>
  <si>
    <t>KIJANG INOVA 2.0 V M/T BSN / TGN40VM</t>
  </si>
  <si>
    <t>MHFAW8EM1N0222023</t>
  </si>
  <si>
    <t>1 TR B041510</t>
  </si>
  <si>
    <t>KH 35 PU</t>
  </si>
  <si>
    <t>S07221835 M</t>
  </si>
  <si>
    <t>BKAD</t>
  </si>
  <si>
    <t>AVANZA 1.3 E M/T / W00EM/T00</t>
  </si>
  <si>
    <t>MHKAA1BY3NK007343</t>
  </si>
  <si>
    <t>1NR G186618</t>
  </si>
  <si>
    <t>KH 1291 PU</t>
  </si>
  <si>
    <t>S07208219M</t>
  </si>
  <si>
    <t>NEW KIJANG INOVA 2.0 GM/T BSN / TGN40GM/T30X</t>
  </si>
  <si>
    <t>MHFJW8EM0N2402985</t>
  </si>
  <si>
    <t>1TR B033165</t>
  </si>
  <si>
    <t>KH 1292 PU</t>
  </si>
  <si>
    <t>S07208234M</t>
  </si>
  <si>
    <t>TOYOTA / INNOVA ZENIX 2.0V HV MODELISTA CVT</t>
  </si>
  <si>
    <t>MHFABAAAXS0034093</t>
  </si>
  <si>
    <t>M20ADN29362</t>
  </si>
  <si>
    <t>KH 1339 PU</t>
  </si>
  <si>
    <t>U-01952356M</t>
  </si>
  <si>
    <t>Belanja Modal Pengadaan Kendaraan Roda 4 (Innova Zenix 2.0 VHV Modelista CVT (Non Premium Color)</t>
  </si>
  <si>
    <t>MITSUBISHI / MITSUBISHI PAJERO SPORT 2.4 L DAKAR ULT-L 4X4 8 A/</t>
  </si>
  <si>
    <t>MK2KSWFNUS3001039</t>
  </si>
  <si>
    <t>4N15ULA5209</t>
  </si>
  <si>
    <t>KH 1349 PU</t>
  </si>
  <si>
    <t>AA00308932</t>
  </si>
  <si>
    <t>Belanja Modal Kendaraan Dinas Bermotor Perorangan/Pejabat Sub Kegiatan Pengadaan Kendaraan Perorangan Dinas atau Kendaraan Dinas Jabatan (PAJERO)</t>
  </si>
  <si>
    <t>TOYOTA RUSH / 1.5 S M/T GR SPORT</t>
  </si>
  <si>
    <t>MHKE8FA3JSK137042</t>
  </si>
  <si>
    <t>2NR4F07459</t>
  </si>
  <si>
    <t>KH 1350 PU</t>
  </si>
  <si>
    <t>AA00313027M</t>
  </si>
  <si>
    <t>Pembayaran Pembelian 1 Unit Mobil (RUSH 1,5 S M/T GR SPORT (1675000GR)</t>
  </si>
  <si>
    <t>FORD Ranger Double Cabin / FORD Ranger Double Cabin</t>
  </si>
  <si>
    <t>MNBBSFE40AW883800</t>
  </si>
  <si>
    <t>WLAT1200720</t>
  </si>
  <si>
    <t>KH 8060 PW</t>
  </si>
  <si>
    <t>H 09658027 M</t>
  </si>
  <si>
    <t>Mutasi Mobil Operasional</t>
  </si>
  <si>
    <t>FORD RANGER RAS 2.2L 4X4 M/T / FORD RANGER RAS 2.2L 4X4 M/T</t>
  </si>
  <si>
    <t>2,198</t>
  </si>
  <si>
    <t>MNBBM2F20CW118777</t>
  </si>
  <si>
    <t>P4AT 1017991</t>
  </si>
  <si>
    <t>KH 8075 PW</t>
  </si>
  <si>
    <t>J-01776780 M</t>
  </si>
  <si>
    <t>Usulan Pengalihan Status Penggunaan Barang Milik Daerah Kendaraan Dinas Operasional.</t>
  </si>
  <si>
    <t>STRADA TRITON DOUBLE CABIN EXCEED 4X4 M/T / STRADA TRITON DOUBLE CABIN EXCEED 4X4 M/T</t>
  </si>
  <si>
    <t>MMBJNKB40DD004436</t>
  </si>
  <si>
    <t>4D56UCDW5860</t>
  </si>
  <si>
    <t>KH 9090 PW</t>
  </si>
  <si>
    <t>J-05545753 M</t>
  </si>
  <si>
    <t>MROFR22G1C0622585</t>
  </si>
  <si>
    <t>2KDS112332</t>
  </si>
  <si>
    <t>KH 8084 PW</t>
  </si>
  <si>
    <t>J-04246948 M</t>
  </si>
  <si>
    <t>FORD RANGER DOUBLE CABIN XLS 2.2L (4x4) M/T PLUS / FORD RANGER DOUBLE CABIN XLS 2.2L (4x4) M/T PLUS</t>
  </si>
  <si>
    <t>2.198</t>
  </si>
  <si>
    <t>MNBLMFF80DW236290</t>
  </si>
  <si>
    <t>P4AT1152144</t>
  </si>
  <si>
    <t>KH 8105 PW</t>
  </si>
  <si>
    <t>K 06860425 M</t>
  </si>
  <si>
    <t>Mutasi Mobil Opersional Ford Ranger KH 8105 PW REG.001</t>
  </si>
  <si>
    <t>TOYOTA HILUX DOUBLE CABIN G M/T DIESEL / TOYOTA HILUX DOUBLE CABIN G M/T DIESEL</t>
  </si>
  <si>
    <t>MROFR22G1B0783845</t>
  </si>
  <si>
    <t>2KDS394238</t>
  </si>
  <si>
    <t>KH 8109 PW</t>
  </si>
  <si>
    <t>K 06866197 M</t>
  </si>
  <si>
    <t>Mutasi Keluar</t>
  </si>
  <si>
    <t>TOYOTA HILUX DOUBLE CABIN E M/T DIESEL VIN 2015 PI / TOYOTA HILUX DOUBLE CABIN E M/T DIESEL VIN 2015</t>
  </si>
  <si>
    <t>26.03.2015 20</t>
  </si>
  <si>
    <t>MROFR22G6F0797340</t>
  </si>
  <si>
    <t>2KDU746785</t>
  </si>
  <si>
    <t>KH 8120 PW</t>
  </si>
  <si>
    <t>L 06940426 M</t>
  </si>
  <si>
    <t>FORD/ RANGER DOUBLE CABIN XLS 2.2L (4X4) M/T PLUS DAN TOYOTA HILUX DOUBLE CABIN E M/T DIESEL VIN 2015</t>
  </si>
  <si>
    <t>MROFR22G4F0797658</t>
  </si>
  <si>
    <t>2KDU748198</t>
  </si>
  <si>
    <t>KH 8119 PW</t>
  </si>
  <si>
    <t>L 06940386 M</t>
  </si>
  <si>
    <t>MROFR22G2F0799375</t>
  </si>
  <si>
    <t>2KD U769466</t>
  </si>
  <si>
    <t>KH 8126 PW</t>
  </si>
  <si>
    <t>L 06940921 M</t>
  </si>
  <si>
    <t>MRODS8CD0F0260904</t>
  </si>
  <si>
    <t>2KDU792292</t>
  </si>
  <si>
    <t>KH 8132 PW</t>
  </si>
  <si>
    <t>L-06968287 M</t>
  </si>
  <si>
    <t>Mutasi Mobil Operasional KH 8132 PW</t>
  </si>
  <si>
    <t>MRODS8CD4H0331072</t>
  </si>
  <si>
    <t>2KDU973935</t>
  </si>
  <si>
    <t>KH 8153 PW</t>
  </si>
  <si>
    <t>M 10655029 M</t>
  </si>
  <si>
    <t>Persetujuan Pengalihan Status Penggunaan Barang Milik Daerah Kendaraan Dinas Operasional SKPD</t>
  </si>
  <si>
    <t>MRODS8CD2H0330941</t>
  </si>
  <si>
    <t>2KDU969576</t>
  </si>
  <si>
    <t>KH 8158 PW</t>
  </si>
  <si>
    <t>M 10655034 M</t>
  </si>
  <si>
    <t>Mutasi Mobil OPerasional KH 8158 PW</t>
  </si>
  <si>
    <t>MRODS8CD6H0331039</t>
  </si>
  <si>
    <t>2KDU972428</t>
  </si>
  <si>
    <t>KH 8169 PW</t>
  </si>
  <si>
    <t>M 12814679 M</t>
  </si>
  <si>
    <t>Mutasi Mobil Operasional KH 8169 PW</t>
  </si>
  <si>
    <t>MRODS8CD1H0262986</t>
  </si>
  <si>
    <t>2KDU974870</t>
  </si>
  <si>
    <t>KH 8160 PW</t>
  </si>
  <si>
    <t>M 10655036 M</t>
  </si>
  <si>
    <t>Mutasi ( KH 8160 PW )</t>
  </si>
  <si>
    <t>MRODS8CD8H022743</t>
  </si>
  <si>
    <t>2KDU968569</t>
  </si>
  <si>
    <t>KH 8151 PW</t>
  </si>
  <si>
    <t>M 10655027 M</t>
  </si>
  <si>
    <t>KEJAKSAAN</t>
  </si>
  <si>
    <t>Toyota Hilux Single Cabin 2.0 M/T</t>
  </si>
  <si>
    <t>MR0CW8BB3PG047799</t>
  </si>
  <si>
    <t>KH 8223 PW</t>
  </si>
  <si>
    <t>U01952351M</t>
  </si>
  <si>
    <t>Belanja Kendaraan Dinas Operasional Roda 4 (KH 8223 PW)</t>
  </si>
  <si>
    <t>Toyota Hilux Doubel Cabin 2.4 V</t>
  </si>
  <si>
    <t>MR0BB3CD7P5802045</t>
  </si>
  <si>
    <t>KH 8225 PW</t>
  </si>
  <si>
    <t>U01952353M</t>
  </si>
  <si>
    <t>Belanja Modal Kendaraan Dinas Operasional Roda 4 (KH 8225 PW)</t>
  </si>
  <si>
    <t>Toyota Hilux Double Cabin 2.4 G</t>
  </si>
  <si>
    <t>MR0KB8CD8F1147141</t>
  </si>
  <si>
    <t>2GDD283245</t>
  </si>
  <si>
    <t>KH 8229 PW</t>
  </si>
  <si>
    <t>Belanja Kendaraan Dinas Operasional Roda 4 (KH 8229 PW)</t>
  </si>
  <si>
    <t>MRODS8CD4H0331086</t>
  </si>
  <si>
    <t>2KDU973964</t>
  </si>
  <si>
    <t>KH 8157 PW</t>
  </si>
  <si>
    <t>M 10655033 M</t>
  </si>
  <si>
    <t>HILUX DOUBLE CABIN / 2.4 G (4X4) DSL M/T</t>
  </si>
  <si>
    <t>MR0KB8CD9S1163275</t>
  </si>
  <si>
    <t>2GD-D537825</t>
  </si>
  <si>
    <t>KH 8251 PW</t>
  </si>
  <si>
    <t>AA00311953M</t>
  </si>
  <si>
    <t>Pembayaran Belanja 2 Unit Kendaraan Dinas Roda 4 (HILUX DOUBLE CABIN 2.4 G (4X4) DSL M/T (100000 GR) &amp; HILUX DOUBLE CABIN 2.4 V (4X4) DSL A/T (1250000 GR))</t>
  </si>
  <si>
    <t>HILUX DOUBLE CABIN / 2.4 V (4X4) DSL A/T</t>
  </si>
  <si>
    <t>MR0BB3CD0S5817401</t>
  </si>
  <si>
    <t>2GD-D542300</t>
  </si>
  <si>
    <t>KH 8252 PW</t>
  </si>
  <si>
    <t>AA00311954M</t>
  </si>
  <si>
    <t>MH1JM4115JK183421</t>
  </si>
  <si>
    <t>JM41E1183163</t>
  </si>
  <si>
    <t>KH 4784 PY</t>
  </si>
  <si>
    <t>O02643654M</t>
  </si>
  <si>
    <t>ARMIDAH, S.H./BPKAD</t>
  </si>
  <si>
    <t>HONDA NEW VARIO 150 2018 X1H02N35M1 A/T / HONDA NEW VARIO 150 2018 X1H02N35M1 A/T</t>
  </si>
  <si>
    <t>MH1KF4110JK285255</t>
  </si>
  <si>
    <t>KF41E1286110</t>
  </si>
  <si>
    <t>KH 4761 PY</t>
  </si>
  <si>
    <t>O02643632M</t>
  </si>
  <si>
    <t>BPKAD /SUNARIATI</t>
  </si>
  <si>
    <t>MH1KF4116JK229207</t>
  </si>
  <si>
    <t>KF41E1230069</t>
  </si>
  <si>
    <t>KH 4763 PY</t>
  </si>
  <si>
    <t>O02643634M</t>
  </si>
  <si>
    <t>NINA HARIYANA</t>
  </si>
  <si>
    <t>MH1KF4113JK293818</t>
  </si>
  <si>
    <t>KF41E1294684</t>
  </si>
  <si>
    <t>KH 4762 PY</t>
  </si>
  <si>
    <t>O02643633M</t>
  </si>
  <si>
    <t>ARIS/BPKAD</t>
  </si>
  <si>
    <t>MH1KF4117JK284054</t>
  </si>
  <si>
    <t>KF41E1284493</t>
  </si>
  <si>
    <t>KH 4764 PY</t>
  </si>
  <si>
    <t>O02643635M</t>
  </si>
  <si>
    <t>CEPIK ARIFIN, S.AP</t>
  </si>
  <si>
    <t>MH1JFS117FK106328</t>
  </si>
  <si>
    <t>JFS1E1104483</t>
  </si>
  <si>
    <t>KH 4379 PY</t>
  </si>
  <si>
    <t>L 06931762 M</t>
  </si>
  <si>
    <t>DI GUDANG</t>
  </si>
  <si>
    <t>MH1JFV112GK260027</t>
  </si>
  <si>
    <t>JFV1E-1259429</t>
  </si>
  <si>
    <t>KH 4443 PY</t>
  </si>
  <si>
    <t>L-06967195 M</t>
  </si>
  <si>
    <t>INTAN KOMALASARI /BPKAD 
(DIGUDANG)</t>
  </si>
  <si>
    <t>MH1JFV110GK254338</t>
  </si>
  <si>
    <t>JFV1E-1253819</t>
  </si>
  <si>
    <t>KH 4441 PY</t>
  </si>
  <si>
    <t>L-06967193 M</t>
  </si>
  <si>
    <t>SRI WAHYU SETYA MEILANI /BPKAD</t>
  </si>
  <si>
    <t>MH1KC5212FK249037</t>
  </si>
  <si>
    <t>KC52E1246651</t>
  </si>
  <si>
    <t>KH 4358 PY</t>
  </si>
  <si>
    <t>L 06930527 M</t>
  </si>
  <si>
    <t>EDY PURWANTO(DIGUDANG)</t>
  </si>
  <si>
    <t>MH1JFT110HK086030</t>
  </si>
  <si>
    <t>JFT1E1085640</t>
  </si>
  <si>
    <t>KH 4622 PY</t>
  </si>
  <si>
    <t>M 12805863 M</t>
  </si>
  <si>
    <t>YOPI PURDIANSARI, SE</t>
  </si>
  <si>
    <t>MH1JFT116HK087389</t>
  </si>
  <si>
    <t>JFT1E1086915</t>
  </si>
  <si>
    <t>KH 4605 PY</t>
  </si>
  <si>
    <t>M 12805846 M</t>
  </si>
  <si>
    <t>DIAN RATNASARI, SE.MM</t>
  </si>
  <si>
    <t>MH1JFT118HK087393</t>
  </si>
  <si>
    <t>JFT1E1086934</t>
  </si>
  <si>
    <t>KH 4606 PY</t>
  </si>
  <si>
    <t>M 12805847 M</t>
  </si>
  <si>
    <t>DWI MEI WINARTI,ST</t>
  </si>
  <si>
    <t>MH1JFT117HK087319</t>
  </si>
  <si>
    <t>JFT1E1086940</t>
  </si>
  <si>
    <t>KH 4615 PY</t>
  </si>
  <si>
    <t>M 12805856 M</t>
  </si>
  <si>
    <t>HELFIANA,SE</t>
  </si>
  <si>
    <t>MH1JFT11XHK087332</t>
  </si>
  <si>
    <t>JFT1E1086979</t>
  </si>
  <si>
    <t>KH 4612 PY</t>
  </si>
  <si>
    <t>M 12805853 M</t>
  </si>
  <si>
    <t>RAHMAD BENDAHARA</t>
  </si>
  <si>
    <t>MH1JFT115HK087304</t>
  </si>
  <si>
    <t>JFT1E1086987</t>
  </si>
  <si>
    <t>KH 4599 PY</t>
  </si>
  <si>
    <t>M 12805841 M</t>
  </si>
  <si>
    <t>BAHRUN ABBAS, M.P.H.( ERNAWATI)</t>
  </si>
  <si>
    <t>MH1JFS112FK106382</t>
  </si>
  <si>
    <t>JFS1E1104284</t>
  </si>
  <si>
    <t>KH 4391 PY</t>
  </si>
  <si>
    <t>L 06931774 M</t>
  </si>
  <si>
    <t>PAJAR ASIKIN, S.Pt</t>
  </si>
  <si>
    <t>MH1JFS112FK080785</t>
  </si>
  <si>
    <t>JFS1E1078937</t>
  </si>
  <si>
    <t>KH 4377 PY</t>
  </si>
  <si>
    <t>L 06931760 M</t>
  </si>
  <si>
    <t>EVI, A.Md</t>
  </si>
  <si>
    <t>MH1JFS110FK109409</t>
  </si>
  <si>
    <t>JFS1E1107613</t>
  </si>
  <si>
    <t>KH 4388 PY</t>
  </si>
  <si>
    <t>L 06931771 M</t>
  </si>
  <si>
    <t>MAITA SARAH, S.Kom</t>
  </si>
  <si>
    <t>MH1JFS115FK080781</t>
  </si>
  <si>
    <t>JFS1E11078942</t>
  </si>
  <si>
    <t>KH 4378 PY</t>
  </si>
  <si>
    <t>L 06931761 M</t>
  </si>
  <si>
    <t>ENTI MUNIFAH</t>
  </si>
  <si>
    <t>HONDA NC 11D1C A/T Spacy CW		 / HONDA NC 11D1C A/T Spacy CW</t>
  </si>
  <si>
    <t>MH1JF0218CK192182</t>
  </si>
  <si>
    <t>JF02E1193579</t>
  </si>
  <si>
    <t>KH 4082 PY</t>
  </si>
  <si>
    <t>I-10731506 M</t>
  </si>
  <si>
    <t>BPKAD /HENDRA, A.Md</t>
  </si>
  <si>
    <t>MH1JF0219CK199951</t>
  </si>
  <si>
    <t>JF02E1201245</t>
  </si>
  <si>
    <t>KH 4078 PY</t>
  </si>
  <si>
    <t>I-10731502 M</t>
  </si>
  <si>
    <t>BPKAD /NOOR AZIAH</t>
  </si>
  <si>
    <t>MH1JF0219CK203237</t>
  </si>
  <si>
    <t>JF02E1204580</t>
  </si>
  <si>
    <t>KH 4079 PY</t>
  </si>
  <si>
    <t>I-10731503 M</t>
  </si>
  <si>
    <t>PENUNGGU KANTOR /SADLI</t>
  </si>
  <si>
    <t>MH1JBE217DK272504</t>
  </si>
  <si>
    <t>JBE2E1265319</t>
  </si>
  <si>
    <t>KH 4176 PY</t>
  </si>
  <si>
    <t>K-05623359 M</t>
  </si>
  <si>
    <t>BPKAD/JHON HARTADY</t>
  </si>
  <si>
    <t>MH4LX150CEJP09864</t>
  </si>
  <si>
    <t>LX150CEPG6184</t>
  </si>
  <si>
    <t>KH 4273 PY</t>
  </si>
  <si>
    <t>L04350132M</t>
  </si>
  <si>
    <t>kaban/pkad</t>
  </si>
  <si>
    <t>Reklasifikasi Aset Tetap (Reklas dari persediaan)</t>
  </si>
  <si>
    <t>HONDA / NEW VARIO</t>
  </si>
  <si>
    <t>MH1JM5114LK684857</t>
  </si>
  <si>
    <t>JM51E1684466</t>
  </si>
  <si>
    <t>KH 4971 PY</t>
  </si>
  <si>
    <t>R02893432M</t>
  </si>
  <si>
    <t>Reklasifikasi Aset Tetap (Reklas dari Persediaan) KH 4971 PY</t>
  </si>
  <si>
    <t>MH1JM5110LK651533</t>
  </si>
  <si>
    <t>JM51E652596</t>
  </si>
  <si>
    <t>KH 4973 PY</t>
  </si>
  <si>
    <t>R02893434M</t>
  </si>
  <si>
    <t>Reklasifikasi Aset Tetap (Reklas dari Persediaan) KH 4973 PY</t>
  </si>
  <si>
    <t>Reklasifikasi Aset Tetap (Reklas dari Persediaan) KH 4974 PY</t>
  </si>
  <si>
    <t>MH4LX150CEJP1092</t>
  </si>
  <si>
    <t>LX150C5PG8731</t>
  </si>
  <si>
    <t>KH 4274 PY</t>
  </si>
  <si>
    <t>L 04350133 M</t>
  </si>
  <si>
    <t>Vario / ABS</t>
  </si>
  <si>
    <t>MH1KFA115RK249040</t>
  </si>
  <si>
    <t>KFA1E1248883</t>
  </si>
  <si>
    <t>KH 5308 PY</t>
  </si>
  <si>
    <t>V00168748M</t>
  </si>
  <si>
    <t>Pembayaran  Belanja Modal Kendaraan Bermotor Beroda Dua sub kegiatan Pengadaan Kendaraan Perorangan Dinas atau Kendaraan Dinas Jabatan (MAHMUDAH)</t>
  </si>
  <si>
    <t>MH1KFA115RK249068</t>
  </si>
  <si>
    <t>KFA1E1248853</t>
  </si>
  <si>
    <t>KH 5309 PY</t>
  </si>
  <si>
    <t>V00168749M</t>
  </si>
  <si>
    <t>Pembayaran  Belanja Modal Kendaraan Bermotor Beroda Dua sub kegiatan Pengadaan Kendaraan Perorangan Dinas atau Kendaraan Dinas Jabatan (INTAN KOMAKASARI)</t>
  </si>
  <si>
    <t>MH1KFA119RK249090</t>
  </si>
  <si>
    <t>KFA1E1248924</t>
  </si>
  <si>
    <t>KH 5310 PY</t>
  </si>
  <si>
    <t>V00168750M</t>
  </si>
  <si>
    <t>Pembayaran  Belanja Modal Kendaraan Bermotor Beroda Dua sub kegiatan Pengadaan Kendaraan Perorangan Dinas atau Kendaraan Dinas Jabatan (POPPY MEIRINDA)</t>
  </si>
  <si>
    <t>MH1KFA118RK249033</t>
  </si>
  <si>
    <t>KFA1E1248875</t>
  </si>
  <si>
    <t>KH 5311 PY</t>
  </si>
  <si>
    <t>V00168751M</t>
  </si>
  <si>
    <t>Pembayaran  Belanja Modal Kendaraan Bermotor Beroda Dua sub kegiatan Pengadaan Kendaraan Perorangan Dinas atau Kendaraan Dinas Jabatan (UMI YULIANAH)</t>
  </si>
  <si>
    <t>MH1KFA117RK251226</t>
  </si>
  <si>
    <t>KFA1E12510832</t>
  </si>
  <si>
    <t>KH 5312 PY</t>
  </si>
  <si>
    <t>V00168752M</t>
  </si>
  <si>
    <t>Pembayaran  Belanja Modal Kendaraan Bermotor Beroda Dua sub kegiatan Pengadaan Kendaraan Perorangan Dinas atau Kendaraan Dinas Jabatan (MEGAWATI)</t>
  </si>
  <si>
    <t>MH1KFA112RK251232</t>
  </si>
  <si>
    <t>KFA1E1251091</t>
  </si>
  <si>
    <t>KH 5313 PY</t>
  </si>
  <si>
    <t>V00168753M</t>
  </si>
  <si>
    <t>Pembayaran  Belanja Modal Kendaraan Bermotor Beroda Dua sub kegiatan Pengadaan Kendaraan Perorangan Dinas atau Kendaraan Dinas Jabatan (ENTI MUNIFAH)</t>
  </si>
  <si>
    <t>MH1KFA111RK249049</t>
  </si>
  <si>
    <t>KFA1E1248884</t>
  </si>
  <si>
    <t>KH 5314 PY</t>
  </si>
  <si>
    <t>V00168754M</t>
  </si>
  <si>
    <t>Pembayaran  Belanja Modal Kendaraan Bermotor Beroda Dua sub kegiatan Pengadaan Kendaraan Perorangan Dinas atau Kendaraan Dinas Jabatan (IDA DWI WULANDARI)</t>
  </si>
  <si>
    <t xml:space="preserve">000041 </t>
  </si>
  <si>
    <t>HONDA VARIO 160CC ABS / ABS</t>
  </si>
  <si>
    <t>MH1KFA119SK332640</t>
  </si>
  <si>
    <t>KFA1E1331806</t>
  </si>
  <si>
    <t>KH 5427 PY</t>
  </si>
  <si>
    <t>W01311527M</t>
  </si>
  <si>
    <t>PEMBAYARAN BELANJA MODAL PENGADAAN KENDARAAN DINAS RODA 2 (HONDA VARIO 160 CC ABS DAN CRF)</t>
  </si>
  <si>
    <t>MH1KFA113SK322959</t>
  </si>
  <si>
    <t>KFA1E1323705</t>
  </si>
  <si>
    <t>KH 5425 PY</t>
  </si>
  <si>
    <t>W013115255M</t>
  </si>
  <si>
    <t>MH1KFA117SK331504</t>
  </si>
  <si>
    <t>KFA1E1328453</t>
  </si>
  <si>
    <t>KH 5426 PY</t>
  </si>
  <si>
    <t>W013115256M</t>
  </si>
  <si>
    <t xml:space="preserve">000044 </t>
  </si>
  <si>
    <t>HONDA CRF 150 L</t>
  </si>
  <si>
    <t>MH1KD1110SK633139</t>
  </si>
  <si>
    <t>KD11E1632431</t>
  </si>
  <si>
    <t>KH 5428 PY</t>
  </si>
  <si>
    <t>W01311528M</t>
  </si>
  <si>
    <t>PEMBAYARAN BELANJA MODAL KENDARAAN DINAS RODA 2 (HONDA VARIO 160 CC DAN CRF 150 L)</t>
  </si>
  <si>
    <t xml:space="preserve"> '000045</t>
  </si>
  <si>
    <t>MH1KD1114SK633144</t>
  </si>
  <si>
    <t>KD11E1632434</t>
  </si>
  <si>
    <t>KH 5429 PY</t>
  </si>
  <si>
    <t>W01311529M</t>
  </si>
  <si>
    <t>MH1KD1116SK634344</t>
  </si>
  <si>
    <t>KD11E1633633</t>
  </si>
  <si>
    <t>KH 5430 PY</t>
  </si>
  <si>
    <t>W01311530M</t>
  </si>
  <si>
    <t xml:space="preserve"> Pembayaran Belanja Modal Kendaraan Roda 2 (Honda Vario 160 ABS 3 Unit &amp; Honda CRF 150 L 3 Unit)</t>
  </si>
  <si>
    <t>MH1KD1113KK104171</t>
  </si>
  <si>
    <t>KD11E1103490</t>
  </si>
  <si>
    <t>KH 4879 PY</t>
  </si>
  <si>
    <t>Q00400480M</t>
  </si>
  <si>
    <t>HIBAH /P. SAMPIT</t>
  </si>
  <si>
    <t>HONDA NEW VARIO 125 CBS ISS / HONDA NEW VARIO 125 CBS ISS</t>
  </si>
  <si>
    <t>MH1JM5116LK682821</t>
  </si>
  <si>
    <t>JM51E1682532</t>
  </si>
  <si>
    <t>KH 4978 PY</t>
  </si>
  <si>
    <t>R-02893439</t>
  </si>
  <si>
    <t>INTAN KOMALASARI, ST</t>
  </si>
  <si>
    <t>MH1JM5112LK684047</t>
  </si>
  <si>
    <t>JM51E1683800</t>
  </si>
  <si>
    <t>KH 4976 PY</t>
  </si>
  <si>
    <t>R-02893437</t>
  </si>
  <si>
    <t>ENTI MUNIFAH, S.T.,M.M.</t>
  </si>
  <si>
    <t>MH1JM5114LK680629</t>
  </si>
  <si>
    <t>JM51E1680221</t>
  </si>
  <si>
    <t>KH 4970 PY</t>
  </si>
  <si>
    <t>R-02893431</t>
  </si>
  <si>
    <t>UMI YULIANA, S.E.</t>
  </si>
  <si>
    <t>MH1JM5110LK682748</t>
  </si>
  <si>
    <t>JM51E1682437</t>
  </si>
  <si>
    <t>KH 4975 PY</t>
  </si>
  <si>
    <t>R-02893434</t>
  </si>
  <si>
    <t>MEGAWATI, S.E</t>
  </si>
  <si>
    <t>SETWAN (KETUA DPRD)</t>
  </si>
  <si>
    <t>TOYOTA NEW FORTUNER 2.7 G A/T LUX BENSIN VIN 2015 / TOYOTA NEW FORTUNER 2.7 G A/T LUX BENSIN VIN 201</t>
  </si>
  <si>
    <t>2700</t>
  </si>
  <si>
    <t>MHFZX69G5F7082740</t>
  </si>
  <si>
    <t>2TR8887267</t>
  </si>
  <si>
    <t>KH 1210 PU</t>
  </si>
  <si>
    <t>L-06968280 M</t>
  </si>
  <si>
    <t>Pengadilan Sampit</t>
  </si>
  <si>
    <t>Dahiatsu Xenia / Dahiatsu Xenia</t>
  </si>
  <si>
    <t>HMKV1BA1JAK059720</t>
  </si>
  <si>
    <t>DF45622</t>
  </si>
  <si>
    <t>KH 1095 PU</t>
  </si>
  <si>
    <t>H-0 2413871</t>
  </si>
  <si>
    <t>TOYOTA NEW KIJANG INNOVA V M/T BENSIN VIN 2015 / TOYOTA NEW KIJANG INNOVA V M/T BENSIN VIN 2015</t>
  </si>
  <si>
    <t>MHFXW43G7F4091903</t>
  </si>
  <si>
    <t>1TR7964746</t>
  </si>
  <si>
    <t>KH 1220 PU</t>
  </si>
  <si>
    <t>L-06968067 M</t>
  </si>
  <si>
    <t>DANDIM 1015/ SAMPIT</t>
  </si>
  <si>
    <t>MHKM5EA2JGK012838</t>
  </si>
  <si>
    <t>1NRF181815</t>
  </si>
  <si>
    <t>KH 1244 PU</t>
  </si>
  <si>
    <t>L 09757241 M</t>
  </si>
  <si>
    <t>DHARMA WANITA</t>
  </si>
  <si>
    <t>TOYOTA GRAND NEW AVANZA 1.3  E  M/T VIN 2016 / TOYOTA GRAND NEW AVANZA 1.3  E  M/T VIN 2016</t>
  </si>
  <si>
    <t>1329 CC</t>
  </si>
  <si>
    <t>MHKM5EA2JGK006038</t>
  </si>
  <si>
    <t>1NRF106626</t>
  </si>
  <si>
    <t>KH 1228 PU</t>
  </si>
  <si>
    <t>L-09739361 M</t>
  </si>
  <si>
    <t>KEJAKSAAN NEGERI SERUYAN</t>
  </si>
  <si>
    <t>MHKM5EA2JGK006297</t>
  </si>
  <si>
    <t>1NRF111995</t>
  </si>
  <si>
    <t>KH 1227 PU</t>
  </si>
  <si>
    <t>L-09739363 M</t>
  </si>
  <si>
    <t>DIREKTUR RSUD HANAU</t>
  </si>
  <si>
    <t>13OO</t>
  </si>
  <si>
    <t>MHKM5EA2JGK013119</t>
  </si>
  <si>
    <t>1NRF184625</t>
  </si>
  <si>
    <t>KH 1243 PU</t>
  </si>
  <si>
    <t>L 09757240 M</t>
  </si>
  <si>
    <t>TOYOTA ALL NEW KIJANG INNOVA 2.4 Q A/T DIESEL VENT / TOYOTA ALL NEW KIJANG INNOVA 2.4 Q A/T DIESEL V</t>
  </si>
  <si>
    <t>MHFAB3EM1H0006319</t>
  </si>
  <si>
    <t>2GDC210078</t>
  </si>
  <si>
    <t>KH 1245 PU</t>
  </si>
  <si>
    <t>M 10648548 M</t>
  </si>
  <si>
    <t>KETUA DPRD</t>
  </si>
  <si>
    <t>MHFXW42GXB2203214</t>
  </si>
  <si>
    <t>1TR7188817</t>
  </si>
  <si>
    <t>KH 1141 PU</t>
  </si>
  <si>
    <t>I-04919008 M</t>
  </si>
  <si>
    <t>DEWAN ADAT DAYAK</t>
  </si>
  <si>
    <t>TOYOTA INNOVA V M/T LUXURY BENSIN / TOYOTA INNOVA V M/T LUXURY BENSIN</t>
  </si>
  <si>
    <t>MHFXW43G6C4069306</t>
  </si>
  <si>
    <t>1TR-7364619</t>
  </si>
  <si>
    <t>KH 1158 PU</t>
  </si>
  <si>
    <t>J-04246950 M</t>
  </si>
  <si>
    <t>WAKAPOLRES</t>
  </si>
  <si>
    <t>SUZUKI CARRIBIAN / SUZUKI CARRIBIAN</t>
  </si>
  <si>
    <t>SJ51-TH700646</t>
  </si>
  <si>
    <t>G13B-TH700646</t>
  </si>
  <si>
    <t>KH 8023 PW</t>
  </si>
  <si>
    <t>F 2143278 M</t>
  </si>
  <si>
    <t>BADAN NARKOTIKA</t>
  </si>
  <si>
    <t>TOYOTA NEW KIJANG INNOVA V M/T LUX BENSIN / TOYOTA NEW KIJANG INNOVA V M/T LUX BENSIN</t>
  </si>
  <si>
    <t>MHFXW43G5D4081710</t>
  </si>
  <si>
    <t>1TR7656722</t>
  </si>
  <si>
    <t>KH 1175 PU</t>
  </si>
  <si>
    <t>K 03040539 M</t>
  </si>
  <si>
    <t>GOW KAB. SERUYAN</t>
  </si>
  <si>
    <t>TOYOTA NEW AVANZA 1.3 E M/T / TOYOTA NEW AVANZA 1.3 E M/T</t>
  </si>
  <si>
    <t>1.300</t>
  </si>
  <si>
    <t>MHKM1BA2JBK054387</t>
  </si>
  <si>
    <t>MD62270</t>
  </si>
  <si>
    <t>KH 1179 PU</t>
  </si>
  <si>
    <t>K 06866180 M</t>
  </si>
  <si>
    <t>Polres</t>
  </si>
  <si>
    <t>MHKM1BA2JBK05454554</t>
  </si>
  <si>
    <t>K3MD62940</t>
  </si>
  <si>
    <t>KH 1180 PU</t>
  </si>
  <si>
    <t>K 06866181 M</t>
  </si>
  <si>
    <t>PWI</t>
  </si>
  <si>
    <t>MHFXW41G6D0055756</t>
  </si>
  <si>
    <t>1TR 7495613</t>
  </si>
  <si>
    <t>KH 1172 PU</t>
  </si>
  <si>
    <t>K-02558278 M</t>
  </si>
  <si>
    <t>Gudang</t>
  </si>
  <si>
    <t>MHFXW41G9D0055850</t>
  </si>
  <si>
    <t>1TR 7499730</t>
  </si>
  <si>
    <t>KH 1173 PU</t>
  </si>
  <si>
    <t>K-02558279 M</t>
  </si>
  <si>
    <t>Pengguna : Plt. Kepala Dinas</t>
  </si>
  <si>
    <t>MHFXW41G2E0063726</t>
  </si>
  <si>
    <t>1 TR7867481</t>
  </si>
  <si>
    <t>KH 1189 PU</t>
  </si>
  <si>
    <t>K 00650511 M</t>
  </si>
  <si>
    <t>BADAN LINGKUNGAN HIDUP</t>
  </si>
  <si>
    <t>MHFXW41GE0063422</t>
  </si>
  <si>
    <t>1 TR785550</t>
  </si>
  <si>
    <t>KH 1197 PU</t>
  </si>
  <si>
    <t>K 00650512 M</t>
  </si>
  <si>
    <t>DISPERKIMTAN</t>
  </si>
  <si>
    <t>MHFXW41G2E0063595</t>
  </si>
  <si>
    <t>1 TR7862638</t>
  </si>
  <si>
    <t>KH 1187 PU</t>
  </si>
  <si>
    <t>K 00650518 M</t>
  </si>
  <si>
    <t>BADAN KETAHANAN PANGAN</t>
  </si>
  <si>
    <t>MBNLMFF80EW293020</t>
  </si>
  <si>
    <t>P4AT1198792</t>
  </si>
  <si>
    <t>KH 8117 PW</t>
  </si>
  <si>
    <t>K 06865519 M</t>
  </si>
  <si>
    <t>BADAN PERTANAHAN NASIONAL</t>
  </si>
  <si>
    <t>SUZUKI PICK UP 1.5 WD / SUZUKI PICK UP 1.5 WD</t>
  </si>
  <si>
    <t>1,493</t>
  </si>
  <si>
    <t>MHYESL415CJ261399</t>
  </si>
  <si>
    <t>G15AID879078</t>
  </si>
  <si>
    <t>KH 8088 PW</t>
  </si>
  <si>
    <t>J-04245901 M</t>
  </si>
  <si>
    <t>PDAM (PINJAM PAKAI)</t>
  </si>
  <si>
    <t>TOYOTA HILUX CABIN E M/T DIESEL / TOYOTA HILUX CABIN E M/T DIESEL</t>
  </si>
  <si>
    <t>MROFR22G080778944</t>
  </si>
  <si>
    <t>2KDS360625</t>
  </si>
  <si>
    <t>KH 8110 PW</t>
  </si>
  <si>
    <t>L- 04388083 M</t>
  </si>
  <si>
    <t>SAMSAT</t>
  </si>
  <si>
    <t>MNBLMFF80DW236557</t>
  </si>
  <si>
    <t>P4AT1152465</t>
  </si>
  <si>
    <t>KH 8106 PW</t>
  </si>
  <si>
    <t>K 06860426 M</t>
  </si>
  <si>
    <t>KPU</t>
  </si>
  <si>
    <t>TOYOTA ALL NEW HILUX DOUBLE CABIN G M/T DIESEL VIN / TOYOTA ALL NEW HILUX DOUBLE CABIN G M/T DIESEL</t>
  </si>
  <si>
    <t>MROKS8CD8F1030903</t>
  </si>
  <si>
    <t>2KDS580144</t>
  </si>
  <si>
    <t>KH 8128 PW</t>
  </si>
  <si>
    <t>L-06968283 M</t>
  </si>
  <si>
    <t>kapolres</t>
  </si>
  <si>
    <t>Ford Ranger  (4X2) M/T / Ford Ranger  (4X2) M/T</t>
  </si>
  <si>
    <t>2800 cc</t>
  </si>
  <si>
    <t>MNBBSBE409W8226917</t>
  </si>
  <si>
    <t>WLAT1122707</t>
  </si>
  <si>
    <t>KH 8046 PW</t>
  </si>
  <si>
    <t>G 3012886 M</t>
  </si>
  <si>
    <t>Pengalihan Status Penggunaan Kendaraan Dinas Roda 4           ( empat) KH 8046 PW</t>
  </si>
  <si>
    <t>MRODS8CD8F0260598</t>
  </si>
  <si>
    <t>2KDU791181</t>
  </si>
  <si>
    <t>KH 8133 PW</t>
  </si>
  <si>
    <t>L-06968288 M</t>
  </si>
  <si>
    <t>IDHAM BW KUSUMAH,SE.,MSM</t>
  </si>
  <si>
    <t>ARJUNA JRD / ARJUNA JRD</t>
  </si>
  <si>
    <t>MFTA2122A4J004295</t>
  </si>
  <si>
    <t>JT100LCS2003001071</t>
  </si>
  <si>
    <t>KH 2012 PY</t>
  </si>
  <si>
    <t>D 2134280M</t>
  </si>
  <si>
    <t>HONDA NF11B2D1 M/T Revo FIT / HONDA NF11B2D1 M/T Revo FIT</t>
  </si>
  <si>
    <t>MH1JBE219CK233069</t>
  </si>
  <si>
    <t>JBE2E1229867</t>
  </si>
  <si>
    <t>KH 4161 PY</t>
  </si>
  <si>
    <t>J-04697981 M</t>
  </si>
  <si>
    <t>PERWIRA PENGHUBUNG</t>
  </si>
  <si>
    <t>MH1JBE216DK273157</t>
  </si>
  <si>
    <t>JBE2E1267330</t>
  </si>
  <si>
    <t>KH 4180 PY</t>
  </si>
  <si>
    <t>K-05623355 M</t>
  </si>
  <si>
    <t>MH1CK5215DK088180</t>
  </si>
  <si>
    <t>KC52E1088884</t>
  </si>
  <si>
    <t>KH 4203 PY</t>
  </si>
  <si>
    <t>K 08796080 M</t>
  </si>
  <si>
    <t>ANGKATAN LAUT</t>
  </si>
  <si>
    <t>MH1JFA110EK220230</t>
  </si>
  <si>
    <t>JFA1E1216434</t>
  </si>
  <si>
    <t>KH 4336 PY</t>
  </si>
  <si>
    <t>L 04355424 M</t>
  </si>
  <si>
    <t>YAMAHA VEGA R / YAMAHA VEGA R</t>
  </si>
  <si>
    <t>MH34D70028J857701</t>
  </si>
  <si>
    <t>4D7-857713</t>
  </si>
  <si>
    <t>KH 2333 PY</t>
  </si>
  <si>
    <t>F 4844214 M</t>
  </si>
  <si>
    <t>AHMADI</t>
  </si>
  <si>
    <t>MH34D70028J854748</t>
  </si>
  <si>
    <t>4D7-854774</t>
  </si>
  <si>
    <t>KH 2321 PY</t>
  </si>
  <si>
    <t>F 4844202 M</t>
  </si>
  <si>
    <t>SUPIANUR</t>
  </si>
  <si>
    <t>MH34D70028J857704</t>
  </si>
  <si>
    <t>4D7-857729</t>
  </si>
  <si>
    <t>KH 2328 PY</t>
  </si>
  <si>
    <t>F 4844209 M</t>
  </si>
  <si>
    <t>USNI</t>
  </si>
  <si>
    <t>MH34D70028J838697</t>
  </si>
  <si>
    <t>4D7-838729</t>
  </si>
  <si>
    <t>KH 2329 PY</t>
  </si>
  <si>
    <t>F 4844210 M</t>
  </si>
  <si>
    <t>ABDUL RAHIM</t>
  </si>
  <si>
    <t>MH34D70028J809737</t>
  </si>
  <si>
    <t>4D7-809763</t>
  </si>
  <si>
    <t>KH 2293 PY</t>
  </si>
  <si>
    <t>F 4844174 M</t>
  </si>
  <si>
    <t>MINAL AIDIN</t>
  </si>
  <si>
    <t>MH34D70028J855542</t>
  </si>
  <si>
    <t>4D7-855557</t>
  </si>
  <si>
    <t>KH 2297 PY</t>
  </si>
  <si>
    <t>F 4844178 M</t>
  </si>
  <si>
    <t>JUHARTO, S.Pd</t>
  </si>
  <si>
    <t>MH34D70028J843078</t>
  </si>
  <si>
    <t>4D7-843136</t>
  </si>
  <si>
    <t>KH 2299 PY</t>
  </si>
  <si>
    <t>F 4844180 M</t>
  </si>
  <si>
    <t>H. TRI ARI SUSILO</t>
  </si>
  <si>
    <t>Honda/  Supra / Honda/  Supra</t>
  </si>
  <si>
    <t xml:space="preserve"> MHIKEVA102K012519</t>
  </si>
  <si>
    <t>KEVAE-1013603</t>
  </si>
  <si>
    <t>KH 2539 PY</t>
  </si>
  <si>
    <t>C 3188944 M</t>
  </si>
  <si>
    <t>Farid (Sopir Pak Haryono)</t>
  </si>
  <si>
    <t>MH1JF3118AK176791</t>
  </si>
  <si>
    <t>JF31E0175957</t>
  </si>
  <si>
    <t>KH 2660 PY</t>
  </si>
  <si>
    <t>H-06859717 M</t>
  </si>
  <si>
    <t>H. Syamsudin, AM /DPRD</t>
  </si>
  <si>
    <t>MH1JF3112AK176799</t>
  </si>
  <si>
    <t>JF31E0175956</t>
  </si>
  <si>
    <t>KH 2643 PY</t>
  </si>
  <si>
    <t>H-06859662 M</t>
  </si>
  <si>
    <t>Tomi Amirol</t>
  </si>
  <si>
    <t>MH1JF3111AK176812</t>
  </si>
  <si>
    <t>JF31E0176000</t>
  </si>
  <si>
    <t>KH 2653 PY</t>
  </si>
  <si>
    <t>H-06859724 M</t>
  </si>
  <si>
    <t>sekretaris KPU /agung sulyistyono</t>
  </si>
  <si>
    <t>MH1JBE215CK193055</t>
  </si>
  <si>
    <t>JBE2E1190705</t>
  </si>
  <si>
    <t>KH 4055 PY</t>
  </si>
  <si>
    <t>I-10729965 M</t>
  </si>
  <si>
    <t xml:space="preserve"> PDAM</t>
  </si>
  <si>
    <t>MH1KC5217DK087919</t>
  </si>
  <si>
    <t>KC52E1088824</t>
  </si>
  <si>
    <t>KH 4205 PY</t>
  </si>
  <si>
    <t>K 08796082 M</t>
  </si>
  <si>
    <t>KADES SUNGAI UNDANG</t>
  </si>
  <si>
    <t>MH1JFJ119EK338695</t>
  </si>
  <si>
    <t>JFJ1E1334726</t>
  </si>
  <si>
    <t>KH 4328 PY</t>
  </si>
  <si>
    <t>L 04358941 M</t>
  </si>
  <si>
    <t>ARBAIN  /DPRD</t>
  </si>
  <si>
    <t>MH1JFJ115EK306469</t>
  </si>
  <si>
    <t>JFJ1E301967</t>
  </si>
  <si>
    <t>KH 4327 PY</t>
  </si>
  <si>
    <t>L 04358940 M</t>
  </si>
  <si>
    <t>H. MURYADI /DPRD</t>
  </si>
  <si>
    <t>MH1JFJ116EK297927</t>
  </si>
  <si>
    <t>JFJ1E1299050</t>
  </si>
  <si>
    <t>KH 4325 PY</t>
  </si>
  <si>
    <t>L 04358938 M</t>
  </si>
  <si>
    <t>ARAHMAN  /DPRD</t>
  </si>
  <si>
    <t>MH1JFJ11XEK297204</t>
  </si>
  <si>
    <t>JFJ1E1298325</t>
  </si>
  <si>
    <t>KH 4324 PY</t>
  </si>
  <si>
    <t>L 04358937 M</t>
  </si>
  <si>
    <t>KOLING IRAWAN,ST/ DPRD</t>
  </si>
  <si>
    <t>MH1JFJ116EK338265</t>
  </si>
  <si>
    <t>JFJ1E1334291</t>
  </si>
  <si>
    <t>KH 4323 PY</t>
  </si>
  <si>
    <t>L 04358936 M</t>
  </si>
  <si>
    <t>ETI SUWARTI /DPRD</t>
  </si>
  <si>
    <t>MH1JFJ114EK338264</t>
  </si>
  <si>
    <t>JFJ1E1334289</t>
  </si>
  <si>
    <t>KH 4322 PY</t>
  </si>
  <si>
    <t>L 04358935 M</t>
  </si>
  <si>
    <t>MUHAMMAD ASWIN / DPRD</t>
  </si>
  <si>
    <t>MH1JFJ116EK334362</t>
  </si>
  <si>
    <t>JFJ1E1331372</t>
  </si>
  <si>
    <t>KH 4320 PY</t>
  </si>
  <si>
    <t>L 04358933 M</t>
  </si>
  <si>
    <t>ANWARI RAMADHANI / DPRD</t>
  </si>
  <si>
    <t>MH1JFJ116EK266306</t>
  </si>
  <si>
    <t>JFJ1E1263116</t>
  </si>
  <si>
    <t>KH 4319 PY</t>
  </si>
  <si>
    <t>L 04358932 M</t>
  </si>
  <si>
    <t>H. BAMBANG YANTOKO /DPRD</t>
  </si>
  <si>
    <t>MH1JFJ113EK334352</t>
  </si>
  <si>
    <t>JFJ1E1331362</t>
  </si>
  <si>
    <t>KH 4313 PY</t>
  </si>
  <si>
    <t>L 04358925 M</t>
  </si>
  <si>
    <t>ARAHMAN</t>
  </si>
  <si>
    <t>MH1KC5210EK200479</t>
  </si>
  <si>
    <t>KC52E1198465</t>
  </si>
  <si>
    <t>KH 4299 PY</t>
  </si>
  <si>
    <t>L 04354121 M</t>
  </si>
  <si>
    <t>Drs. YUSUF SASMITA</t>
  </si>
  <si>
    <t>MH1JFH112FK349337</t>
  </si>
  <si>
    <t>JFH1E-1349170</t>
  </si>
  <si>
    <t>KH 4423 PY</t>
  </si>
  <si>
    <t>L- 06960701 M</t>
  </si>
  <si>
    <t>SEKRETARIAT DPRD (KETUA, WAKIL KETUA I, II)</t>
  </si>
  <si>
    <t>MH1JFH113FK349752</t>
  </si>
  <si>
    <t>JFH1E-1349564</t>
  </si>
  <si>
    <t>KH 4422 PY</t>
  </si>
  <si>
    <t>L- 06960700 M</t>
  </si>
  <si>
    <t>MH1JFH115FK350417</t>
  </si>
  <si>
    <t>JFH1E-1350126</t>
  </si>
  <si>
    <t>KH 4421 PY</t>
  </si>
  <si>
    <t>L- 06960699 M</t>
  </si>
  <si>
    <t>HONDA / SUPRA X</t>
  </si>
  <si>
    <t>KEVAE1817595</t>
  </si>
  <si>
    <t>KH 3085 PY</t>
  </si>
  <si>
    <t>S.K. Keputusan Bupati Seruyan Nomor 188.45/334 /2022</t>
  </si>
  <si>
    <t>HONDA / KHARISMA</t>
  </si>
  <si>
    <t>MH1JB21143K215904</t>
  </si>
  <si>
    <t>JB21E1213820</t>
  </si>
  <si>
    <t>KH 2592 PY</t>
  </si>
  <si>
    <t>C6445794</t>
  </si>
  <si>
    <t>MH1JFT111HK087171</t>
  </si>
  <si>
    <t>JFT1E1086518</t>
  </si>
  <si>
    <t>KH 4613 PY</t>
  </si>
  <si>
    <t>M 12805854 M</t>
  </si>
  <si>
    <t>MH. HB311186K16675</t>
  </si>
  <si>
    <t>HB31E-1211199</t>
  </si>
  <si>
    <t>KH 2055 PY</t>
  </si>
  <si>
    <t>E1047097 M</t>
  </si>
  <si>
    <t>MH.8BF45CAAJ-171904</t>
  </si>
  <si>
    <t>F496-ID-368641</t>
  </si>
  <si>
    <t>KH 2678 PY</t>
  </si>
  <si>
    <t>H 11006980 M</t>
  </si>
  <si>
    <t>FORD RANGER SC BASE 2.2L (4X4) MT / FORD RANGER SC BASE 2.2L (4X4) MT</t>
  </si>
  <si>
    <t>2198</t>
  </si>
  <si>
    <t>MNBDMBF20EW282063</t>
  </si>
  <si>
    <t>P4AT1191195</t>
  </si>
  <si>
    <t>KH 9012 PW</t>
  </si>
  <si>
    <t>K 06865187 M</t>
  </si>
  <si>
    <t>Puskesmas Rantau Pulut 1</t>
  </si>
  <si>
    <t>TOYOTA / KIJANG INNOVA Zenix 2.0 V CVT</t>
  </si>
  <si>
    <t>MHFAAAAA1P0015278</t>
  </si>
  <si>
    <t>M20ANA72603</t>
  </si>
  <si>
    <t>KH 1297 PU</t>
  </si>
  <si>
    <t>U - 00507443 M</t>
  </si>
  <si>
    <t>ASHADI, S.T. (Kepala Badan Pendapatan Daerah)</t>
  </si>
  <si>
    <t>MH1JFJ116EK287205</t>
  </si>
  <si>
    <t>JFJ1E1331354</t>
  </si>
  <si>
    <t>KH 4333 PY</t>
  </si>
  <si>
    <t>L 04358946 M</t>
  </si>
  <si>
    <t>R. Gudang</t>
  </si>
  <si>
    <t>MH1JFJ116EK297913</t>
  </si>
  <si>
    <t>JGJ1E1299036</t>
  </si>
  <si>
    <t>KH 4321 PY</t>
  </si>
  <si>
    <t>L 04358934 M</t>
  </si>
  <si>
    <t>Suzuki  FL 125 SD / Shogun R / Suzuki  FL 125 SD / Shogun R</t>
  </si>
  <si>
    <t>MH8BF45CAAJ171488</t>
  </si>
  <si>
    <t>F496ID361424</t>
  </si>
  <si>
    <t>KH 2663 PY</t>
  </si>
  <si>
    <t>H-11011857 M</t>
  </si>
  <si>
    <t>di gudang Bapenda</t>
  </si>
  <si>
    <t>MH8BF45CAAJ171452</t>
  </si>
  <si>
    <t>F496ID361483</t>
  </si>
  <si>
    <t>KH 2664 PY</t>
  </si>
  <si>
    <t>H-11006968 M</t>
  </si>
  <si>
    <t>ADI PANTRI S.AB (Kasubbid. Pengawasan dan Penyalesaian Keberatan Pajak Daerah)</t>
  </si>
  <si>
    <t>MH8BF45CAAJ171799</t>
  </si>
  <si>
    <t>F496ID363877</t>
  </si>
  <si>
    <t>KH 2665 PY</t>
  </si>
  <si>
    <t>H-11006967 M</t>
  </si>
  <si>
    <t>di gudang</t>
  </si>
  <si>
    <t>MH8BF45CAAJ171382</t>
  </si>
  <si>
    <t>F496ID361236</t>
  </si>
  <si>
    <t>KH 2666 PY</t>
  </si>
  <si>
    <t>H-11006969 M</t>
  </si>
  <si>
    <t>SYARIF HAFIEDZ, S.H. (Kasubbid. Penyusunan Kebijakan dan Penyuluhan Pendapatan Daerah)</t>
  </si>
  <si>
    <t>MH8BF45CAAJ171482</t>
  </si>
  <si>
    <t>F496ID361382</t>
  </si>
  <si>
    <t>KH 2667 PY</t>
  </si>
  <si>
    <t>H-11006966 M</t>
  </si>
  <si>
    <t>MH8BF45CAAJ171443</t>
  </si>
  <si>
    <t>F496ID361386</t>
  </si>
  <si>
    <t>KH 2668 PY</t>
  </si>
  <si>
    <t>H-11006971 M</t>
  </si>
  <si>
    <t>DAHLIA, S.E. (Analis Kebijakan Ahli Muda)</t>
  </si>
  <si>
    <t>MH8BF45CAAJ171496</t>
  </si>
  <si>
    <t>F496ID361410</t>
  </si>
  <si>
    <t>KH 2669 PY</t>
  </si>
  <si>
    <t>H-11006970 M</t>
  </si>
  <si>
    <t>DEWI EKA WIDIANTI, S.Sos (Kasubbid. Pengolahan Data dan Penetapan)</t>
  </si>
  <si>
    <t>HONDA  NF 125 TR / HONDA  NF 125 TR</t>
  </si>
  <si>
    <t>MH1JB9125BK888653</t>
  </si>
  <si>
    <t>JB91E2879387</t>
  </si>
  <si>
    <t>KH 4045 PY</t>
  </si>
  <si>
    <t>I-  05944374 M</t>
  </si>
  <si>
    <t>MUFTI AZALI DAIM (Pengelola Keuangan)</t>
  </si>
  <si>
    <t>MH1JB9124BK899210</t>
  </si>
  <si>
    <t>JB91E2890471</t>
  </si>
  <si>
    <t>KH 4046 PY</t>
  </si>
  <si>
    <t>I-  05944375 M</t>
  </si>
  <si>
    <t>MH1JB9122BK898721</t>
  </si>
  <si>
    <t>JB91E-2889879</t>
  </si>
  <si>
    <t>KH 4047 PY</t>
  </si>
  <si>
    <t>I-  05944376 M</t>
  </si>
  <si>
    <t>LIA VERANICA, S.E.(Kasubbid. Monitoring dan Evaluasi Pendapatan Daerah)</t>
  </si>
  <si>
    <t>MH1JB9129BK899297</t>
  </si>
  <si>
    <t>JB91E2890507</t>
  </si>
  <si>
    <t>KH 4049 PY</t>
  </si>
  <si>
    <t>I-  05944378 M</t>
  </si>
  <si>
    <t>SURYANA CITRA PERMANA DEWI,SE (Kasubbid. Pendataan dan Penilaian Pajak Daerah)</t>
  </si>
  <si>
    <t>HONDA  NC 11A3CB  NEW VARIO TECHNO / HONDA  NC 11A3CB  NEW VARIO TECHNO</t>
  </si>
  <si>
    <t>MH1JF711XBK179653</t>
  </si>
  <si>
    <t>JF71E1177072</t>
  </si>
  <si>
    <t>KH 4048 PY</t>
  </si>
  <si>
    <t>I-  05944377  M</t>
  </si>
  <si>
    <t>MARTA SIAH, S.I.P(Kasubbid. Pelaporan Pendapatan Daerah)</t>
  </si>
  <si>
    <t>SUZUKI EN 125 HAK / SUZUKI EN 125 HAK</t>
  </si>
  <si>
    <t>MH8NF4FAACJ115177</t>
  </si>
  <si>
    <t>F4B1-ID116006</t>
  </si>
  <si>
    <t>KH 4163 PY</t>
  </si>
  <si>
    <t>J-04704662 M</t>
  </si>
  <si>
    <t>MH1JM4117JK183968</t>
  </si>
  <si>
    <t>JM41E1183668</t>
  </si>
  <si>
    <t>KH 4778 PY</t>
  </si>
  <si>
    <t>O 02643640 M</t>
  </si>
  <si>
    <t>ASTRI SABANA, S.A.P ( Analis Kebijakan Ahli Muda)</t>
  </si>
  <si>
    <t>MH1KC0217JK034975</t>
  </si>
  <si>
    <t>KC02E1035159</t>
  </si>
  <si>
    <t>KH 4766 PY</t>
  </si>
  <si>
    <t>O 02643637 M</t>
  </si>
  <si>
    <t>ANANG FAHRUROZI, S.E., M.A.P ( Kasubbid. Perencanaan dan Pelayanan Pendapatan Daerah ) mutasi dari BPKAD</t>
  </si>
  <si>
    <t>MH1KC5211FK254861</t>
  </si>
  <si>
    <t>KC52E1252673</t>
  </si>
  <si>
    <t>KH 4365 PY</t>
  </si>
  <si>
    <t>L 06930534 M</t>
  </si>
  <si>
    <t>FITRIYANI AKBAR (Pengurus Barang Pengguna)</t>
  </si>
  <si>
    <t>HONDA NF 125 / NF 125</t>
  </si>
  <si>
    <t>MH1JB51156K582073</t>
  </si>
  <si>
    <t>JB51E1583876</t>
  </si>
  <si>
    <t>KH 2059 PY</t>
  </si>
  <si>
    <t>E 1047095 M</t>
  </si>
  <si>
    <t>RUDY HERIYANTO SURATMAN, A.Md (Analis Penagih Pajak)</t>
  </si>
  <si>
    <t>YAMAHA / ALL NEW NMAX 155 VVA/155 CC</t>
  </si>
  <si>
    <t>155 CC</t>
  </si>
  <si>
    <t>MH3SG5620NJ711547</t>
  </si>
  <si>
    <t>G3L8E-1472459</t>
  </si>
  <si>
    <t>KH 5228 PY</t>
  </si>
  <si>
    <t>U-01948463M</t>
  </si>
  <si>
    <t>RINA SELVIANI, S.E. ( Kasubbag. Umum, Perlengkapan dan Kepegawaian)</t>
  </si>
  <si>
    <t>HONDA / L1K02Q33L1 A/T (VARIO 160)</t>
  </si>
  <si>
    <t>156,93 cc</t>
  </si>
  <si>
    <t>Besi dan Plastik</t>
  </si>
  <si>
    <t>MH1KFA116RK253128</t>
  </si>
  <si>
    <t>KFA1E-1252925</t>
  </si>
  <si>
    <t>KH 5322 PY</t>
  </si>
  <si>
    <t>V-00171622 M</t>
  </si>
  <si>
    <t>YUDIANSYAH, S.Sos (Kabid. Perencanaan, Pelayanan dan Penyuluhan  Pendapatan Daerah)</t>
  </si>
  <si>
    <t>MH1KFA114RK253175</t>
  </si>
  <si>
    <t>KFA1E-1253002</t>
  </si>
  <si>
    <t>KH 5321 PY</t>
  </si>
  <si>
    <t>V-00171621 M</t>
  </si>
  <si>
    <t>HASNI SYAHRIDA, S.E. (Perencana Ahli Muda)</t>
  </si>
  <si>
    <t>MH1KFA113RK253278</t>
  </si>
  <si>
    <t>KFA1E-1253090</t>
  </si>
  <si>
    <t>KH 5323 PY</t>
  </si>
  <si>
    <t>V-00171623 M</t>
  </si>
  <si>
    <t>RONY HASMI, S.E., M.M (Kabid. Pendataan, Penilaian dan  Penetapan Pajak Daerah)</t>
  </si>
  <si>
    <t>MH1KFA112RK253160</t>
  </si>
  <si>
    <t>KFA1E-1252977</t>
  </si>
  <si>
    <t>KH 5324 PY</t>
  </si>
  <si>
    <t>V-00171624 M</t>
  </si>
  <si>
    <t>ROBBY PRAMUDYA, S.Sos (Kabid. Evaluasi dan Pelaporan Pendapatan Daerah)</t>
  </si>
  <si>
    <t>MH1KFA110RK255196</t>
  </si>
  <si>
    <t>KFA1E-1253712</t>
  </si>
  <si>
    <t>KH 5326 PY</t>
  </si>
  <si>
    <t>V-04696373 M</t>
  </si>
  <si>
    <t>AGUS DWI SURYANTO,S.P., M.M (Kabid. Penagihan, Pengawasan dan Penyelesaian Keberatan Pemungutan)</t>
  </si>
  <si>
    <t>MH1KFA115RK254545</t>
  </si>
  <si>
    <t>KFA1E-1254395</t>
  </si>
  <si>
    <t>KH 5327 PY</t>
  </si>
  <si>
    <t>V-04696372 M</t>
  </si>
  <si>
    <t>FAUZI AKBAR, S.T. (Sekretaris)</t>
  </si>
  <si>
    <t>19.01.2015 51</t>
  </si>
  <si>
    <t>MHFXW42G5F2305381</t>
  </si>
  <si>
    <t>1TR7958492</t>
  </si>
  <si>
    <t>KH 1198 PU</t>
  </si>
  <si>
    <t>L 06940393 M</t>
  </si>
  <si>
    <t>Kepala Badan
Agung Sulistyono,SH.MSM</t>
  </si>
  <si>
    <t>Pick Up
HILUX DOUBLE CABIN / 2.4 G
 (4x40 DSL M/T HITAM</t>
  </si>
  <si>
    <t>HILUX DOUBLE CABIN / 2.4 G (4x40 DSL M/T HITAM</t>
  </si>
  <si>
    <t>MR0KB8CD9S1231963</t>
  </si>
  <si>
    <t>2GD5899802</t>
  </si>
  <si>
    <t>KH 8254 PW</t>
  </si>
  <si>
    <t>MH1JFS115FK106344</t>
  </si>
  <si>
    <t>JFS1E1104505</t>
  </si>
  <si>
    <t>KH 4383 PY</t>
  </si>
  <si>
    <t>L 06931766 M</t>
  </si>
  <si>
    <t>PEMBANTU PENGURUS BARANG PENGGUNA (JANIARTI)</t>
  </si>
  <si>
    <t>MH1JFH110FK353242</t>
  </si>
  <si>
    <t>JFH1E-1352169</t>
  </si>
  <si>
    <t>KH 4420 PY</t>
  </si>
  <si>
    <t>L- 06960698 M</t>
  </si>
  <si>
    <t>KABID PENGEMBANGAN KOMPETENSI
(AGUS DIANTO,SH)</t>
  </si>
  <si>
    <t>MH1KC5211FK255721</t>
  </si>
  <si>
    <t>KC52E1253771</t>
  </si>
  <si>
    <t>KH 4369 PY</t>
  </si>
  <si>
    <t>L 06930538 M</t>
  </si>
  <si>
    <t xml:space="preserve">KASUBBAG UMUM 
Krisna sanjaya, A.Md
</t>
  </si>
  <si>
    <t>MH1JFH114FK352143</t>
  </si>
  <si>
    <t>JFH1E-1351075</t>
  </si>
  <si>
    <t>KH 4419 PY</t>
  </si>
  <si>
    <t>L- 06960697 M</t>
  </si>
  <si>
    <t>SEKRETARIS BADAN
(RIDUANSYAH,S.IP.,M.A.P)</t>
  </si>
  <si>
    <t>MH1JFH122FK387215</t>
  </si>
  <si>
    <t>JFH1E-1386611</t>
  </si>
  <si>
    <t>KH 4418 PY</t>
  </si>
  <si>
    <t>L- 06960696 M</t>
  </si>
  <si>
    <t>HONDA NF 125 TR / HONDA NF 125 TR</t>
  </si>
  <si>
    <t>MH1JB9125AK247548</t>
  </si>
  <si>
    <t>JB91E-2241489</t>
  </si>
  <si>
    <t>KH 4008 PY</t>
  </si>
  <si>
    <t>H 06857.575 M</t>
  </si>
  <si>
    <t>PRANATA KOMPUTER (RIKA FITRIYANA, S.Kom)</t>
  </si>
  <si>
    <t>HONDA  NF125TR / HONDA  NF125TR</t>
  </si>
  <si>
    <t>MH1JB9124AK251462</t>
  </si>
  <si>
    <t>JB91E-2245204</t>
  </si>
  <si>
    <t>KH 4014 PY</t>
  </si>
  <si>
    <t>H 06857.581 M</t>
  </si>
  <si>
    <t>KABID MUTASI DAN PROMOSI
(ADDELI, S.Sos., M. Si)</t>
  </si>
  <si>
    <t>HONDA  NF 125TR / HONDA  NF 125TR</t>
  </si>
  <si>
    <t>MH1JB9120AK322902</t>
  </si>
  <si>
    <t>JB91E-2316544</t>
  </si>
  <si>
    <t>KH 4015 PY</t>
  </si>
  <si>
    <t>H 06857.582 M</t>
  </si>
  <si>
    <t>SUPRIYADINATA, AMd. Kom</t>
  </si>
  <si>
    <t>HONDA NF125TR / HONDA NF125TR</t>
  </si>
  <si>
    <t>MH1JB9129AK254535</t>
  </si>
  <si>
    <t>JB91E-2248361</t>
  </si>
  <si>
    <t>KH 4016 PY</t>
  </si>
  <si>
    <t>H 06857.583</t>
  </si>
  <si>
    <t>PRANATA KOMPUTER 
 (ABDUL BASIT)</t>
  </si>
  <si>
    <t>MH1JB9122AK254358</t>
  </si>
  <si>
    <t>JB91E-2248177</t>
  </si>
  <si>
    <t>KH 4017 PY</t>
  </si>
  <si>
    <t>H 06857.587 M</t>
  </si>
  <si>
    <t>MULYADI
(BENDAHARA)</t>
  </si>
  <si>
    <t>124</t>
  </si>
  <si>
    <t>MH1JB9124AK247427</t>
  </si>
  <si>
    <t>JB91E-2241242</t>
  </si>
  <si>
    <t>KH 4007 PY</t>
  </si>
  <si>
    <t>H 06857574 M</t>
  </si>
  <si>
    <t>ATIEK JOEHARIE, SP</t>
  </si>
  <si>
    <t>SUZUKI FL/125 RCD / SUZUKI FL/125 RCD</t>
  </si>
  <si>
    <t>MH8BF45DA8J-208253</t>
  </si>
  <si>
    <t>F496-ID-257260</t>
  </si>
  <si>
    <t>KH 2509 PY</t>
  </si>
  <si>
    <t>F4847947M</t>
  </si>
  <si>
    <t>PENGADMINISTRASI UMUM
(SANDYANSYAH)</t>
  </si>
  <si>
    <t>MH1JBE312DK299902</t>
  </si>
  <si>
    <t>JBE3E1294624</t>
  </si>
  <si>
    <t>KH 4201 PY</t>
  </si>
  <si>
    <t>K 08796078 M</t>
  </si>
  <si>
    <t>HONDA NC 11BF1CB A/T BEAT F1 CBS / HONDA NC 11BF1CB A/T BEAT F1 CBS</t>
  </si>
  <si>
    <t>MH1JFE116DK092503</t>
  </si>
  <si>
    <t>JFE1E1094175</t>
  </si>
  <si>
    <t>KH 4168 PY</t>
  </si>
  <si>
    <t>K-05623367 M</t>
  </si>
  <si>
    <t xml:space="preserve">KASUBBAG KEUANGAN
 BUDIYONO </t>
  </si>
  <si>
    <t>YAMAHA 3SO(VEGA R) / YAMAHA 3SO(VEGA R)</t>
  </si>
  <si>
    <t>MH33500027 K2.1792</t>
  </si>
  <si>
    <t>3SO-217989</t>
  </si>
  <si>
    <t>KH 2185 PY</t>
  </si>
  <si>
    <t>E 7028673 M</t>
  </si>
  <si>
    <t>SUZUKI FE 125 FD / SUZUKI FE 125 FD</t>
  </si>
  <si>
    <t>MH8BF45CA7J109233</t>
  </si>
  <si>
    <t>F496-ID112261</t>
  </si>
  <si>
    <t>KH 2177 PY</t>
  </si>
  <si>
    <t>E 7027227 M</t>
  </si>
  <si>
    <t>PENGURUS BARANG
(IBNU MASHADI)</t>
  </si>
  <si>
    <t>Toyota Kijang Innova / Toyota Kijang Innova</t>
  </si>
  <si>
    <t>MHFXW4302B4061931</t>
  </si>
  <si>
    <t>1TR-7217512</t>
  </si>
  <si>
    <t>KH 1149 PU</t>
  </si>
  <si>
    <t>I 05945493 M</t>
  </si>
  <si>
    <t>MITSUBISHI / pajero sport 2.4 L dakar Ultimate-L (4x4) 8A/T</t>
  </si>
  <si>
    <t>MK2KSWPNURJ001135</t>
  </si>
  <si>
    <t>4N15UKT6936</t>
  </si>
  <si>
    <t>KH 1328 PU</t>
  </si>
  <si>
    <t>V04715345M</t>
  </si>
  <si>
    <t>Mobil Dinas Ketua DPRD</t>
  </si>
  <si>
    <t>MITSUBISHI / PAJERO SPORT 2.5L GLX-L 4 X 4 5M/T</t>
  </si>
  <si>
    <t>MK2KSWMDNRJ000520</t>
  </si>
  <si>
    <t>4D58UBM7405</t>
  </si>
  <si>
    <t>KH 1327 PU</t>
  </si>
  <si>
    <t>V04715048M</t>
  </si>
  <si>
    <t>pengadaan mobil dinas unsur pimpinan DPRD Kab. Seruyan Waka II DPRD</t>
  </si>
  <si>
    <t>belanja modal pengadaan mobil dinas waka ketua I DPRD Kabupaten Seruyan tahun 2024</t>
  </si>
  <si>
    <t>KH 1246 PU</t>
  </si>
  <si>
    <t>M 10648544 M</t>
  </si>
  <si>
    <t>SEKRETARIAT DEWAN / KABAG FASILITASI DAN PENGAWASAN</t>
  </si>
  <si>
    <t>MHKMSEA2JHK023072</t>
  </si>
  <si>
    <t>1 NRF251999</t>
  </si>
  <si>
    <t>KH 1247 PU</t>
  </si>
  <si>
    <t>M 10648546 M</t>
  </si>
  <si>
    <t>SEKRETARIAT DEWAN / KABAG PERSIDANGAN DAN PERUNDANG-UNDANGAN</t>
  </si>
  <si>
    <t>MHKMSEA2JHK022061</t>
  </si>
  <si>
    <t>1 NRF248979</t>
  </si>
  <si>
    <t>KH 1248 PU</t>
  </si>
  <si>
    <t>M 10648545 M</t>
  </si>
  <si>
    <t>SEKRETARIAT DEWAN / KABAG UMUM DAN KEUANGAN</t>
  </si>
  <si>
    <t>MHFJW8EM5K2367274</t>
  </si>
  <si>
    <t>1TRA598127</t>
  </si>
  <si>
    <t>KH 1263 PU</t>
  </si>
  <si>
    <t>O06847627M</t>
  </si>
  <si>
    <t>Mutasi ( KH 1263 PU )</t>
  </si>
  <si>
    <t>TOYOTA / Hilux 2.4 G Double Cabin (4x4) M/T (GUN1</t>
  </si>
  <si>
    <t>2393</t>
  </si>
  <si>
    <t>MR0KB8CD8R1154190</t>
  </si>
  <si>
    <t>2GDD442951</t>
  </si>
  <si>
    <t>KH 8242 PW</t>
  </si>
  <si>
    <t>V04713519M</t>
  </si>
  <si>
    <t>pengadaan mobil dinas unsur pimpinan DPRD Kabupaten Seruyan (Ketua DPRD)</t>
  </si>
  <si>
    <t>Toyota All New Hilux  Double Cabin 2.5 E (4x4) M/T / Toyota All New Hilux  Double Cabin 2.5 E (4x4)</t>
  </si>
  <si>
    <t>MR0DB8CD3J0176441</t>
  </si>
  <si>
    <t>2GD0472397</t>
  </si>
  <si>
    <t>KH 8179 PW</t>
  </si>
  <si>
    <t>N-07824679 M</t>
  </si>
  <si>
    <t>Mutasi dr. BPKAD (KH 8179 PW)</t>
  </si>
  <si>
    <t>HONDA SUPRA SPOKE FI / HONDA SUPRA SPOKE FI</t>
  </si>
  <si>
    <t>MH1JBN112EK023160</t>
  </si>
  <si>
    <t>JBN1E1023581</t>
  </si>
  <si>
    <t>KH 4289 PY</t>
  </si>
  <si>
    <t>L 04354111 M</t>
  </si>
  <si>
    <t>SEKRETARIAT DEWAN</t>
  </si>
  <si>
    <t>MH1JBN116EK003316</t>
  </si>
  <si>
    <t>JBN1E1003315</t>
  </si>
  <si>
    <t>KH 4302 PY</t>
  </si>
  <si>
    <t>L 04354124 M</t>
  </si>
  <si>
    <t>MH1JFV113FK193744</t>
  </si>
  <si>
    <t>JFV1E-1193236</t>
  </si>
  <si>
    <t>KH 4408 PY</t>
  </si>
  <si>
    <t>L 06955147 M</t>
  </si>
  <si>
    <t>MH1JFV110FK182569</t>
  </si>
  <si>
    <t>JFV1E-1182541</t>
  </si>
  <si>
    <t>KH 4407 PY</t>
  </si>
  <si>
    <t>L 06955146 M</t>
  </si>
  <si>
    <t>MH1JFV116FK178476</t>
  </si>
  <si>
    <t>JFV1E-1177145</t>
  </si>
  <si>
    <t>KH 4417 PY</t>
  </si>
  <si>
    <t>L 06955156 M</t>
  </si>
  <si>
    <t>MH1JFV117FK187543</t>
  </si>
  <si>
    <t>JFV1E-1187444</t>
  </si>
  <si>
    <t>KH 4414 PY</t>
  </si>
  <si>
    <t>L 06955153 M</t>
  </si>
  <si>
    <t>MH1JFV113FK196059</t>
  </si>
  <si>
    <t>JFV1E-1195570</t>
  </si>
  <si>
    <t>KH 4416 PY</t>
  </si>
  <si>
    <t>L 06955155 M</t>
  </si>
  <si>
    <t>MH1JFV112FK195145</t>
  </si>
  <si>
    <t>JFV1E-1194584</t>
  </si>
  <si>
    <t>KH 4411 PY</t>
  </si>
  <si>
    <t>L 06955150 M</t>
  </si>
  <si>
    <t>MH1JFV114FK175852</t>
  </si>
  <si>
    <t>JFV1E-1175504</t>
  </si>
  <si>
    <t>KH 4410 PY</t>
  </si>
  <si>
    <t>L 06955149 M</t>
  </si>
  <si>
    <t>MH1JFV116FK174296</t>
  </si>
  <si>
    <t>JFV1E-1174795</t>
  </si>
  <si>
    <t>KH 4409 PY</t>
  </si>
  <si>
    <t>L 06955140 M</t>
  </si>
  <si>
    <t>Yamaha  Jupiter / Yamaha  Jupiter</t>
  </si>
  <si>
    <t>105</t>
  </si>
  <si>
    <t>MH35LM0022K137294</t>
  </si>
  <si>
    <t>5LM136731</t>
  </si>
  <si>
    <t>KH 2463 PY</t>
  </si>
  <si>
    <t>C 6280808 M</t>
  </si>
  <si>
    <t>Yamaha  Jupiter  / Yamaha  Jupiter</t>
  </si>
  <si>
    <t>MH35LM0022K137296</t>
  </si>
  <si>
    <t>5LM13736</t>
  </si>
  <si>
    <t>KH 2460 PY</t>
  </si>
  <si>
    <t>C 6280812 M</t>
  </si>
  <si>
    <t>MH35LM0022K136107</t>
  </si>
  <si>
    <t>5LM133317</t>
  </si>
  <si>
    <t>KH 2465 PY</t>
  </si>
  <si>
    <t>C 6280807 M</t>
  </si>
  <si>
    <t>MH35LMOO22K198964</t>
  </si>
  <si>
    <t>5LM199106</t>
  </si>
  <si>
    <t>KH 3703 PY</t>
  </si>
  <si>
    <t>MH35LM0023K183046</t>
  </si>
  <si>
    <t>5LM183029</t>
  </si>
  <si>
    <t>KH 3701 PY</t>
  </si>
  <si>
    <t>C 7669612 M</t>
  </si>
  <si>
    <t>Honda  Supra / Honda  Supra</t>
  </si>
  <si>
    <t>MH1KEVA152K088978</t>
  </si>
  <si>
    <t>KEVAE109007</t>
  </si>
  <si>
    <t>KH 5362 F</t>
  </si>
  <si>
    <t>C 3188993 M</t>
  </si>
  <si>
    <t>penyesuaian penyusutan arb</t>
  </si>
  <si>
    <t>MH1JFJ11XEK266471</t>
  </si>
  <si>
    <t>JFJ1E1263396</t>
  </si>
  <si>
    <t>KH 4334 PY</t>
  </si>
  <si>
    <t>L 04358947 M</t>
  </si>
  <si>
    <t>TARUNA JAYA</t>
  </si>
  <si>
    <t>02.02.01.01.002</t>
  </si>
  <si>
    <t>Jeep</t>
  </si>
  <si>
    <t>NEW LAND CRUISER 200 FULL SPEC A/T DSL / NEW LAND CRUISER 200 FULL SPEC A/T DSL</t>
  </si>
  <si>
    <t>Besi/metal</t>
  </si>
  <si>
    <t>JTMHV02J2M4335415</t>
  </si>
  <si>
    <t>1VD 0582688</t>
  </si>
  <si>
    <t>KH 1288 PU</t>
  </si>
  <si>
    <t>R 02909630</t>
  </si>
  <si>
    <t>Pengadaan Mobil Operasional Pemkab Seruyan</t>
  </si>
  <si>
    <t>TOYOTA ALL NEW FORTUNER 4X2 2,4 G M/T DSL LUX VIN  / TOYOTA ALL NEW FORTUNER 4X2 2,4 G M/T DSL LUX V</t>
  </si>
  <si>
    <t>MHFJB8GSX1510059</t>
  </si>
  <si>
    <t>2GDC069434</t>
  </si>
  <si>
    <t>KH 1239 PU</t>
  </si>
  <si>
    <t>L 09742754</t>
  </si>
  <si>
    <t>BUPATI SERUYAN</t>
  </si>
  <si>
    <t>TOYOTA ALL NEW FORTUNER 4 X 2.24 G A/TDSL LUX VIN  / TOYOTA ALL NEW FORTUNER 4 X 2.24 G A/TDSL LUX V</t>
  </si>
  <si>
    <t>MHFJB9GS5H1530656</t>
  </si>
  <si>
    <t>2GDC1913316</t>
  </si>
  <si>
    <t>KH 1250 PU</t>
  </si>
  <si>
    <t>M 10648938 M</t>
  </si>
  <si>
    <t>SEKRETRAIS DAERAH</t>
  </si>
  <si>
    <t>TOYOTA NEW FORTUNER 4 X4 2,4 VRZ A/T DSL LUX VIN 2 / TOYOTA NEW FORTUNER 4 X4 2,4 VRZ A/T DSL LUX VI</t>
  </si>
  <si>
    <t>MHFHB3FS9J0035889</t>
  </si>
  <si>
    <t>2GD C476384</t>
  </si>
  <si>
    <t>KH 1262 PU</t>
  </si>
  <si>
    <t>O-02642648 M</t>
  </si>
  <si>
    <t>Mutasi (KH 1262)</t>
  </si>
  <si>
    <t>Toyota / Fortuner 2.8 VRZ GR-S 4x4 A/T</t>
  </si>
  <si>
    <t>2800</t>
  </si>
  <si>
    <t>MHFBA3FS1P1052620</t>
  </si>
  <si>
    <t>1GD5428771</t>
  </si>
  <si>
    <t>KH 1299 PU</t>
  </si>
  <si>
    <t>Kendaraan PJ bupati</t>
  </si>
  <si>
    <t>TOYOTA / NEW FORTUNER 2.8 VRZ 4X4</t>
  </si>
  <si>
    <t>MHFBA3FS7S1058253</t>
  </si>
  <si>
    <t>1GD5738896</t>
  </si>
  <si>
    <t>- KH 1340 PU</t>
  </si>
  <si>
    <t>V04000447M</t>
  </si>
  <si>
    <t>Kendaraan Bupati</t>
  </si>
  <si>
    <t>0000010</t>
  </si>
  <si>
    <t>MHFBA3FS4S1058565</t>
  </si>
  <si>
    <t>1GD5751122</t>
  </si>
  <si>
    <t>- KH 1347 PU</t>
  </si>
  <si>
    <t>V04007222M</t>
  </si>
  <si>
    <t>Kendaraan Wakil Bupati</t>
  </si>
  <si>
    <t>1373</t>
  </si>
  <si>
    <t>MHYKZE81SFJ282247</t>
  </si>
  <si>
    <t>G15AID1169994</t>
  </si>
  <si>
    <t>KH 1215 PU</t>
  </si>
  <si>
    <t>L-06968125 M</t>
  </si>
  <si>
    <t>KABAG KESRA</t>
  </si>
  <si>
    <t>MHYKZE81SFJ282798</t>
  </si>
  <si>
    <t>G15AID1170331</t>
  </si>
  <si>
    <t>KH 1217 PU</t>
  </si>
  <si>
    <t>L-06968123 M</t>
  </si>
  <si>
    <t>KABAG HUKUM</t>
  </si>
  <si>
    <t>MHYKZE81SFJ282470</t>
  </si>
  <si>
    <t>G15AID1170325</t>
  </si>
  <si>
    <t>KH 1218 PU</t>
  </si>
  <si>
    <t>L-06968122 M</t>
  </si>
  <si>
    <t>KABAG ORGANISASI</t>
  </si>
  <si>
    <t>TOYOTA GRAND NEW AVANZA 1.3 M/T VIN 2015 / TOYOTA GRAND NEW AVANZA 1.3 M/T VIN 2015</t>
  </si>
  <si>
    <t>MHKM5EA2JFJ002133</t>
  </si>
  <si>
    <t>1 NRF024640</t>
  </si>
  <si>
    <t>KH 1221 PU</t>
  </si>
  <si>
    <t>L -06969220 M</t>
  </si>
  <si>
    <t>KEPALA BADAN LAYANAN PENGADAAN</t>
  </si>
  <si>
    <t>TOYOTA NEW KIJANG INNOVA G M/T LUX BENSIN VIN 2015 / TOYOTA NEW KIJANG INNOVA G M/T LUX BENSIN VIN 2</t>
  </si>
  <si>
    <t>MHFXW42G5F2306191</t>
  </si>
  <si>
    <t>1 TR7966417</t>
  </si>
  <si>
    <t>KH 1219 PU</t>
  </si>
  <si>
    <t>L-0698068 M</t>
  </si>
  <si>
    <t>Mutasi Mobil Toyota Kijang Innova KH 1219 PU</t>
  </si>
  <si>
    <t>TOYOTA ALL NEW KIJANG INNOVA V M/T LUX BENSIN VIN  / TOYOTA ALL NEW KIJANG INNOVA V M/T LUX BENSIN V</t>
  </si>
  <si>
    <t>MHFGW8EN7G1005857</t>
  </si>
  <si>
    <t>1TR-A118037</t>
  </si>
  <si>
    <t>KH 1229 PU</t>
  </si>
  <si>
    <t>L-09739362 M</t>
  </si>
  <si>
    <t>SEKRETARIS DAERAH</t>
  </si>
  <si>
    <t>MHKM5EA2JHK034313</t>
  </si>
  <si>
    <t>1NRF313506</t>
  </si>
  <si>
    <t>KH 1252 PU</t>
  </si>
  <si>
    <t>M 12814226 M</t>
  </si>
  <si>
    <t>SEKRETRIAT DAERAH /KABAG PROTOKOL</t>
  </si>
  <si>
    <t>TOYOTA GRAND NEW AVANZA  1,3 G M/T VIN 2017 / TOYOTA GRAND NEW AVANZA  1,3 G M/T VIN 2017</t>
  </si>
  <si>
    <t>MHKMSEA3JHK075012</t>
  </si>
  <si>
    <t>1 NRF300602</t>
  </si>
  <si>
    <t>KH 1249 PU</t>
  </si>
  <si>
    <t>M 10648547 M</t>
  </si>
  <si>
    <t>Mutasi (KH. 1249)PU</t>
  </si>
  <si>
    <t>NEW AVANZA 1,5 G M/T VIN 2019 / NEW AVANZA 1,5 G M/T VIN 2019</t>
  </si>
  <si>
    <t>MHKM5FA3JKK007729</t>
  </si>
  <si>
    <t>2NRF939642</t>
  </si>
  <si>
    <t>KH 1269 PU</t>
  </si>
  <si>
    <t>Mutasi (KH 1269)PU</t>
  </si>
  <si>
    <t>TOYOTA KIJANG INNOVA / TOYOTA KIJANG INNOVA</t>
  </si>
  <si>
    <t>MHFJW8EM1K2367031</t>
  </si>
  <si>
    <t>1 TRA596842</t>
  </si>
  <si>
    <t>KH 1264 PU</t>
  </si>
  <si>
    <t>O06847628M</t>
  </si>
  <si>
    <t>Mutasi(KH 1264)PU</t>
  </si>
  <si>
    <t>INNOVA ZENIX 2.0 Q HV / ZENIX</t>
  </si>
  <si>
    <t>1987</t>
  </si>
  <si>
    <t>MHFABBAA5R0418573</t>
  </si>
  <si>
    <t>M20ANNB59024</t>
  </si>
  <si>
    <t>KH 1310 PU</t>
  </si>
  <si>
    <t>U01988984M</t>
  </si>
  <si>
    <t>Belanja Modal Kendaraan Dinas Perorangan (SETDA)</t>
  </si>
  <si>
    <t>Toyota Avanza E MT / Toyota Avanza E MT</t>
  </si>
  <si>
    <t>MHFM1BA2JAK031352</t>
  </si>
  <si>
    <t>D 656367</t>
  </si>
  <si>
    <t>KH 1125 PU</t>
  </si>
  <si>
    <t>Mobil Dinas Kabag Ekonomi</t>
  </si>
  <si>
    <t>toyota Avanza GMT / toyota Avanza GMT</t>
  </si>
  <si>
    <t>MHFM1BA3JAK279342</t>
  </si>
  <si>
    <t>D 671289</t>
  </si>
  <si>
    <t>KH 1136 PU</t>
  </si>
  <si>
    <t>H 11008200 M</t>
  </si>
  <si>
    <t>Mobil Dinas Kabag Umum</t>
  </si>
  <si>
    <t>Toyota / Innova Zenix 2.0 G CVT</t>
  </si>
  <si>
    <t>MHFAAAAAOPO017023</t>
  </si>
  <si>
    <t>M20ANAB1198</t>
  </si>
  <si>
    <t>KH 1298 PU</t>
  </si>
  <si>
    <t>Mobil Operasional PKK</t>
  </si>
  <si>
    <t>Suzuki / All New Ertiga Hybrid GX M/T</t>
  </si>
  <si>
    <t>MHYANC32SPJ108161</t>
  </si>
  <si>
    <t>K15BT1560494</t>
  </si>
  <si>
    <t>KH 1308 PU</t>
  </si>
  <si>
    <t>U01970122M</t>
  </si>
  <si>
    <t>Kabag Pembangunan</t>
  </si>
  <si>
    <t>MHYANC32SPJ108087</t>
  </si>
  <si>
    <t>K15BT1560153</t>
  </si>
  <si>
    <t>KH 1307 PU</t>
  </si>
  <si>
    <t>U01970121M</t>
  </si>
  <si>
    <t>Kabag Umum</t>
  </si>
  <si>
    <t>MHYANC32SPJ107732</t>
  </si>
  <si>
    <t>K15BT1558191</t>
  </si>
  <si>
    <t>KH 1309 PU</t>
  </si>
  <si>
    <t>U01970123M</t>
  </si>
  <si>
    <t>Kabag Ekonomi</t>
  </si>
  <si>
    <t>05.12.2014.A1</t>
  </si>
  <si>
    <t>MHFXW42G8F2303222</t>
  </si>
  <si>
    <t>1 TR7933498</t>
  </si>
  <si>
    <t>KH 1199 PU</t>
  </si>
  <si>
    <t>L 06940394 M</t>
  </si>
  <si>
    <t>Dra. Hj. MASFUATUN ( KOMISI II)</t>
  </si>
  <si>
    <t>TOYOTA DYNA PS 115 / TOYOTA DYNA PS 115</t>
  </si>
  <si>
    <t>MHFCIBU43400057</t>
  </si>
  <si>
    <t>1481737583</t>
  </si>
  <si>
    <t>KH 9500 PW</t>
  </si>
  <si>
    <t>E960794M</t>
  </si>
  <si>
    <t>Operasional Bag. Umum</t>
  </si>
  <si>
    <t>MITSUBISHI COLT DIESEL FE 74 S / MITSUBISHI COLT DIESEL FE 74 S</t>
  </si>
  <si>
    <t>3908</t>
  </si>
  <si>
    <t>MHMFE74P4HK087955</t>
  </si>
  <si>
    <t>4D34TRX4651</t>
  </si>
  <si>
    <t>KH 8171 PW</t>
  </si>
  <si>
    <t>M 12829131 M</t>
  </si>
  <si>
    <t>MRODS8CD4H0330939</t>
  </si>
  <si>
    <t>2KDU969538</t>
  </si>
  <si>
    <t>KH 8161 PW</t>
  </si>
  <si>
    <t>M 10655030 M</t>
  </si>
  <si>
    <t>Mutasi dari Pemdes KH 8161 PW</t>
  </si>
  <si>
    <t>TOYOTA ALL NEW HILUX DOUBLE CABIN 2.5 G (4X4) M/T  / TOYOTA ALL NEW HILUX DOUBLE CABIN 2.5 G (4X4) M</t>
  </si>
  <si>
    <t>MRODS8CD4H1036202</t>
  </si>
  <si>
    <t>2KDU971744</t>
  </si>
  <si>
    <t>KH 8166 PW</t>
  </si>
  <si>
    <t>M 12814687 M</t>
  </si>
  <si>
    <t>TOYOTA NEW HILUX E M/T / TOYOTA NEW HILUX E M/T</t>
  </si>
  <si>
    <t>MRODB8CD2K0120556</t>
  </si>
  <si>
    <t>2GD4651427</t>
  </si>
  <si>
    <t>KH 8184 PW</t>
  </si>
  <si>
    <t>Mutasi Dr. BPKAD (KH 8184 PW)</t>
  </si>
  <si>
    <t>MRODB8CD5K0120566</t>
  </si>
  <si>
    <t>2GD4655776</t>
  </si>
  <si>
    <t>KH 8183 PW</t>
  </si>
  <si>
    <t>Mutasi dr. BPKAD (KH 8183 PW)</t>
  </si>
  <si>
    <t>Ford Ranger / Ford Ranger</t>
  </si>
  <si>
    <t>2499 cc</t>
  </si>
  <si>
    <t>MNBBSBE40AW886869</t>
  </si>
  <si>
    <t>WLAT-1204826</t>
  </si>
  <si>
    <t>KH 8058 PW</t>
  </si>
  <si>
    <t>Operasional B.Kesra</t>
  </si>
  <si>
    <t>FORD RANGER SINGLE CABIN BASE 4X4 2L TDCi M/T / FORD RANGER SINGLE CABIN BASE 4X4 2L TDCi M/T</t>
  </si>
  <si>
    <t>2,498</t>
  </si>
  <si>
    <t>MNBBMBF20CW148069</t>
  </si>
  <si>
    <t>P4AT1055677</t>
  </si>
  <si>
    <t>KH 8093 PW</t>
  </si>
  <si>
    <t>SETDA/BAG. UMUM SETDA</t>
  </si>
  <si>
    <t>MROFR22G7E0781808</t>
  </si>
  <si>
    <t>2KDS378532</t>
  </si>
  <si>
    <t>KH 8107 PW</t>
  </si>
  <si>
    <t>K 06866474 M</t>
  </si>
  <si>
    <t>WAKIL BUPATI SERUYAN</t>
  </si>
  <si>
    <t>MRODS8CD1F0260300</t>
  </si>
  <si>
    <t>2KDS571671</t>
  </si>
  <si>
    <t>KH 8127 PW</t>
  </si>
  <si>
    <t>L-06968282 M</t>
  </si>
  <si>
    <t>2494 CC</t>
  </si>
  <si>
    <t>MRODS8CD8G0261414</t>
  </si>
  <si>
    <t>2KD-U866781</t>
  </si>
  <si>
    <t>KH 8136 PW</t>
  </si>
  <si>
    <t>L-09729457 M</t>
  </si>
  <si>
    <t>Toyota All New Hilux  Single Cabin 2.5 M/T Diesel  / Toyota All New Hilux  Single Cabin 2.5 M/T Dies</t>
  </si>
  <si>
    <t>2494 cc</t>
  </si>
  <si>
    <t>MR0ES8BB4J0063490</t>
  </si>
  <si>
    <t>2KDU989933</t>
  </si>
  <si>
    <t>KH 8175 PW</t>
  </si>
  <si>
    <t>N-07819602 M</t>
  </si>
  <si>
    <t>Mutasi dr. BPKAD (KH 8175 PW)</t>
  </si>
  <si>
    <t>MR0KB8CD4R1156194</t>
  </si>
  <si>
    <t>2GDD462343</t>
  </si>
  <si>
    <t>KH 8246 PW</t>
  </si>
  <si>
    <t>V04726177M</t>
  </si>
  <si>
    <t>MRODS8CD4H0263095</t>
  </si>
  <si>
    <t>2KDU976732</t>
  </si>
  <si>
    <t>KH 8167 PW</t>
  </si>
  <si>
    <t>M 12814677 M</t>
  </si>
  <si>
    <t>Persetujuan Pengalihan Status Pengguna Barang  ( Mobil Operasional)</t>
  </si>
  <si>
    <t>MRODS8CD6H0262949</t>
  </si>
  <si>
    <t>2KDU974018</t>
  </si>
  <si>
    <t>KH 8156 PW</t>
  </si>
  <si>
    <t>M 10655032 M</t>
  </si>
  <si>
    <t>MH1KEVA192K 012633</t>
  </si>
  <si>
    <t>KEVAE-1013597</t>
  </si>
  <si>
    <t>KH 2533 PY</t>
  </si>
  <si>
    <t>4324531 M</t>
  </si>
  <si>
    <t>Proses lelang</t>
  </si>
  <si>
    <t>MH1HB31145K152181</t>
  </si>
  <si>
    <t>KC11E-1149225</t>
  </si>
  <si>
    <t>KH 2076 PY</t>
  </si>
  <si>
    <t>Op. Setda</t>
  </si>
  <si>
    <t>Honda supra / Honda supra</t>
  </si>
  <si>
    <t>MHKLVAI93K334520</t>
  </si>
  <si>
    <t>KH 2146 PY</t>
  </si>
  <si>
    <t>MH1KD1117JK038366</t>
  </si>
  <si>
    <t>KD11E1037754</t>
  </si>
  <si>
    <t>KH 4742 PY</t>
  </si>
  <si>
    <t>O02643605M</t>
  </si>
  <si>
    <t>MH34D70028J839415</t>
  </si>
  <si>
    <t>4D7-839464</t>
  </si>
  <si>
    <t>KH 2340 PY</t>
  </si>
  <si>
    <t>F4844221M</t>
  </si>
  <si>
    <t>Proses Lelang</t>
  </si>
  <si>
    <t>MH34D70028J838575</t>
  </si>
  <si>
    <t>4D7-833610</t>
  </si>
  <si>
    <t>KH 2332 PY</t>
  </si>
  <si>
    <t>F4844213M</t>
  </si>
  <si>
    <t>MH34D70028J833635</t>
  </si>
  <si>
    <t>4D7-833690</t>
  </si>
  <si>
    <t>KH 2334 PY</t>
  </si>
  <si>
    <t>F4844215M</t>
  </si>
  <si>
    <t>MH34D70028J884581</t>
  </si>
  <si>
    <t>4D7-884598</t>
  </si>
  <si>
    <t>KH 2284 PY</t>
  </si>
  <si>
    <t>F4844165M</t>
  </si>
  <si>
    <t>Desa Lanpasa (op. Kades)</t>
  </si>
  <si>
    <t>Honda  GL 160 D / Honda  GL 160 D</t>
  </si>
  <si>
    <t>MH1KC11178K148041</t>
  </si>
  <si>
    <t>KC11E-1150018</t>
  </si>
  <si>
    <t>KH 2350 PY</t>
  </si>
  <si>
    <t>F2146809M</t>
  </si>
  <si>
    <t>Desa Sahabu (Op. BPD)</t>
  </si>
  <si>
    <t>MH1KC11158K148023</t>
  </si>
  <si>
    <t>KC11E-1150099</t>
  </si>
  <si>
    <t>KH 2357 PY</t>
  </si>
  <si>
    <t>F2146816M</t>
  </si>
  <si>
    <t>Desa Tl.Bayur (Op. Kades)</t>
  </si>
  <si>
    <t>MH1KC11158K146923</t>
  </si>
  <si>
    <t>KC11E-1150109</t>
  </si>
  <si>
    <t>KH 2358 PY</t>
  </si>
  <si>
    <t>F2146817M</t>
  </si>
  <si>
    <t>Desa Tl. Bayur (Op. BPD)</t>
  </si>
  <si>
    <t>MH1KC11128K148030</t>
  </si>
  <si>
    <t>KC11E-1150102</t>
  </si>
  <si>
    <t>KH 2363 PY</t>
  </si>
  <si>
    <t>F2146819M</t>
  </si>
  <si>
    <t>Desa Mugi Penyuhu (Op. Kades)</t>
  </si>
  <si>
    <t>MH1KC11108K148026</t>
  </si>
  <si>
    <t>KC11E-1150118</t>
  </si>
  <si>
    <t>KH 2364 PY</t>
  </si>
  <si>
    <t>F2146823M</t>
  </si>
  <si>
    <t>Desa Mugi Penyuhu (Op. BPD)</t>
  </si>
  <si>
    <t>MH1KC11158K148040</t>
  </si>
  <si>
    <t>KH 2372 PY</t>
  </si>
  <si>
    <t>F2146831M</t>
  </si>
  <si>
    <t>Desa Pangke (Op. BPD)</t>
  </si>
  <si>
    <t>MH1KC11178K146571</t>
  </si>
  <si>
    <t>KC11E-1148764</t>
  </si>
  <si>
    <t>KH 2399 PY</t>
  </si>
  <si>
    <t>F2146851M</t>
  </si>
  <si>
    <t>Desa Tb. Hentas (Op. Kades)</t>
  </si>
  <si>
    <t>MH1KC11148K146912</t>
  </si>
  <si>
    <t>KC11E-1149047</t>
  </si>
  <si>
    <t>KH 2405 PY</t>
  </si>
  <si>
    <t>F2146749M</t>
  </si>
  <si>
    <t>Desa Tj. Tukal (Op. Kades)</t>
  </si>
  <si>
    <t>MH1KC11118K146933</t>
  </si>
  <si>
    <t>KC11E-1149149</t>
  </si>
  <si>
    <t>KH 2406 PY</t>
  </si>
  <si>
    <t>F2146750M</t>
  </si>
  <si>
    <t>Desa Tj. Tukal (Op. BPD)</t>
  </si>
  <si>
    <t>MH1KC11118K146597</t>
  </si>
  <si>
    <t>KC11E-1148794</t>
  </si>
  <si>
    <t>KH 2407 PY</t>
  </si>
  <si>
    <t>F2146751M</t>
  </si>
  <si>
    <t>Desa Rangkang Munduk (Op.Kades)</t>
  </si>
  <si>
    <t>MH1KC11108K146851</t>
  </si>
  <si>
    <t>KC11E-1148694</t>
  </si>
  <si>
    <t>KH 2408 PY</t>
  </si>
  <si>
    <t>F2146752M</t>
  </si>
  <si>
    <t>Desa Rangka Munduk (Op. BPD)</t>
  </si>
  <si>
    <t>MH1KC11148K148031</t>
  </si>
  <si>
    <t>KC11E-1150131</t>
  </si>
  <si>
    <t>KH 2417 PY</t>
  </si>
  <si>
    <t>F2146708M</t>
  </si>
  <si>
    <t>Desa Buntut Sapau (Op. Kades)</t>
  </si>
  <si>
    <t>MH1KC11118K148049</t>
  </si>
  <si>
    <t>KC11E-1150060</t>
  </si>
  <si>
    <t>KH 2418 PY</t>
  </si>
  <si>
    <t>F2146709M</t>
  </si>
  <si>
    <t>Desa Buntut Sapau (Op. BPD)</t>
  </si>
  <si>
    <t>MH1KC11188K146945</t>
  </si>
  <si>
    <t>KC11E-1149007</t>
  </si>
  <si>
    <t>KH 2419 PY</t>
  </si>
  <si>
    <t>F2146710M</t>
  </si>
  <si>
    <t>Desa Tj. Paku (Op. Kades)</t>
  </si>
  <si>
    <t>MH1KC11128K146925</t>
  </si>
  <si>
    <t>KC11E-1149191</t>
  </si>
  <si>
    <t>KH 2420 PY</t>
  </si>
  <si>
    <t>F2146711M</t>
  </si>
  <si>
    <t>Desa Tj. Paku (Op. BPD)</t>
  </si>
  <si>
    <t>MH1KC11138K142558</t>
  </si>
  <si>
    <t>KC11E-1144621</t>
  </si>
  <si>
    <t>KH 2426 PY</t>
  </si>
  <si>
    <t>F2146717M</t>
  </si>
  <si>
    <t>Desa Tb. Kasai (Op. BPD)</t>
  </si>
  <si>
    <t>MH1KC11128K146567</t>
  </si>
  <si>
    <t>KC11E-1148714</t>
  </si>
  <si>
    <t>KH 2431 PY</t>
  </si>
  <si>
    <t>F2146722M</t>
  </si>
  <si>
    <t>Desa Tb. Kalam (Op. Kades)</t>
  </si>
  <si>
    <t>MH1KC11108K146583</t>
  </si>
  <si>
    <t>KC11E-1148825</t>
  </si>
  <si>
    <t>KH 2435 PY</t>
  </si>
  <si>
    <t>F2146726M</t>
  </si>
  <si>
    <t>Desa Marandang (Op. Kades)</t>
  </si>
  <si>
    <t>MH1JBN115FK081023</t>
  </si>
  <si>
    <t>JBN1E1078980</t>
  </si>
  <si>
    <t>KH 4400 PY</t>
  </si>
  <si>
    <t>L 06937008 M</t>
  </si>
  <si>
    <t>kepala BLP</t>
  </si>
  <si>
    <t>MH1JBN114FK080963</t>
  </si>
  <si>
    <t>JBN1E1079267</t>
  </si>
  <si>
    <t>KH 4402 PY</t>
  </si>
  <si>
    <t>L 06937010 M</t>
  </si>
  <si>
    <t>Assisten II</t>
  </si>
  <si>
    <t>MIJFV113GK260022</t>
  </si>
  <si>
    <t>JFV1E-1259435</t>
  </si>
  <si>
    <t>KH 4444 PY</t>
  </si>
  <si>
    <t>L-06967196 M</t>
  </si>
  <si>
    <t>DETTY INGGUARY UYUH /SETDA</t>
  </si>
  <si>
    <t>MH1JM4114JK189453</t>
  </si>
  <si>
    <t>JM41E1189004</t>
  </si>
  <si>
    <t>KH 4780 PY</t>
  </si>
  <si>
    <t>O02643650M</t>
  </si>
  <si>
    <t>MH1JM4118JK187656</t>
  </si>
  <si>
    <t>JM41E1187366</t>
  </si>
  <si>
    <t>KH 4779 PY</t>
  </si>
  <si>
    <t>O02643649M</t>
  </si>
  <si>
    <t>MH1JM4112JK183425</t>
  </si>
  <si>
    <t>JM41E1183183</t>
  </si>
  <si>
    <t>KH 4782 PY</t>
  </si>
  <si>
    <t>MH1JM4112JK189404</t>
  </si>
  <si>
    <t>JM41E1188946</t>
  </si>
  <si>
    <t>KH 4781 PY</t>
  </si>
  <si>
    <t>MH1KF411XJK293220</t>
  </si>
  <si>
    <t>KF41E1294078</t>
  </si>
  <si>
    <t>KH 4765 PY</t>
  </si>
  <si>
    <t>O02643636M</t>
  </si>
  <si>
    <t>MH1KD1114JK021556</t>
  </si>
  <si>
    <t>KD11E1021163</t>
  </si>
  <si>
    <t>KH 4776 PY</t>
  </si>
  <si>
    <t>O02643647M</t>
  </si>
  <si>
    <t>MH1JBE213DK267817</t>
  </si>
  <si>
    <t>JBE2E1262711</t>
  </si>
  <si>
    <t>KH 4172 PY</t>
  </si>
  <si>
    <t>K-05623363 M</t>
  </si>
  <si>
    <t>WAKIL BUPATI</t>
  </si>
  <si>
    <t>124.9</t>
  </si>
  <si>
    <t>MH1JBN114EK033706</t>
  </si>
  <si>
    <t>JBN1E1033602</t>
  </si>
  <si>
    <t>KH 4298 PY</t>
  </si>
  <si>
    <t>L 04354120 M</t>
  </si>
  <si>
    <t>Ir. ILYAS /STAF AHLI</t>
  </si>
  <si>
    <t>MH1JBK119EK074413</t>
  </si>
  <si>
    <t>JBK1E1074210</t>
  </si>
  <si>
    <t>KH 4309 PY</t>
  </si>
  <si>
    <t>L 04354131 M</t>
  </si>
  <si>
    <t>FAUZIAH</t>
  </si>
  <si>
    <t>MH1JFA114EK220215</t>
  </si>
  <si>
    <t>JFA1E1216465</t>
  </si>
  <si>
    <t>KH 4312 PY</t>
  </si>
  <si>
    <t>L 04355426 M</t>
  </si>
  <si>
    <t>KESRA</t>
  </si>
  <si>
    <t>MH1JBE218DK274018</t>
  </si>
  <si>
    <t>JBE2E1267520</t>
  </si>
  <si>
    <t>KH 4171 PY</t>
  </si>
  <si>
    <t>K-05623364 M</t>
  </si>
  <si>
    <t>LELANG 2025</t>
  </si>
  <si>
    <t>MH1JBE213DK274346</t>
  </si>
  <si>
    <t>JBE2E1268361</t>
  </si>
  <si>
    <t>KH 4178 PY</t>
  </si>
  <si>
    <t>K-05623357 M</t>
  </si>
  <si>
    <t>PLT. SEKDA</t>
  </si>
  <si>
    <t>MH1JBE31XDK299906</t>
  </si>
  <si>
    <t>JBE3E1294622</t>
  </si>
  <si>
    <t>KH 4207 PY</t>
  </si>
  <si>
    <t>K 08796084 M</t>
  </si>
  <si>
    <t>ASSISTEN I</t>
  </si>
  <si>
    <t>MH1KC5219DK034185</t>
  </si>
  <si>
    <t>KC52E1034181</t>
  </si>
  <si>
    <t>KH 4173 PY</t>
  </si>
  <si>
    <t>K-05623362 M</t>
  </si>
  <si>
    <t>MENTENG (AJUDAN WABUP)</t>
  </si>
  <si>
    <t>MH1KC5213DK083690</t>
  </si>
  <si>
    <t>KC52E1084752</t>
  </si>
  <si>
    <t>KH 4202 PY</t>
  </si>
  <si>
    <t>K 08796079 M</t>
  </si>
  <si>
    <t>AJUDAN BUPATI /SAIPULLAH</t>
  </si>
  <si>
    <t>MH1JFJ110EK334342</t>
  </si>
  <si>
    <t>JFJ1E1331353</t>
  </si>
  <si>
    <t>KH 4332 PY</t>
  </si>
  <si>
    <t>L 04358945 M</t>
  </si>
  <si>
    <t>Dra. RATNA MUSTIKA</t>
  </si>
  <si>
    <t>MH1JFJ114EK334344</t>
  </si>
  <si>
    <t>JFJ1E1286857</t>
  </si>
  <si>
    <t>KH 4331 PY</t>
  </si>
  <si>
    <t>L 04358944 M</t>
  </si>
  <si>
    <t>MH1KC5218EK199243</t>
  </si>
  <si>
    <t>KC52E1197392</t>
  </si>
  <si>
    <t>KH 4278 PY</t>
  </si>
  <si>
    <t>L 04353742</t>
  </si>
  <si>
    <t>HONDA AT1121B01 A/T / HONDA AT1121B01 A/T</t>
  </si>
  <si>
    <t>MH1JFH110FK350082</t>
  </si>
  <si>
    <t>JFH1E-1347915</t>
  </si>
  <si>
    <t>KH 4424 PY</t>
  </si>
  <si>
    <t>L- 06960702 M</t>
  </si>
  <si>
    <t>TITOK KURDIAS, S.H.,M.M.</t>
  </si>
  <si>
    <t>MH1JBE218CK192126</t>
  </si>
  <si>
    <t>JBE2E1189732</t>
  </si>
  <si>
    <t>KH 4057 PY</t>
  </si>
  <si>
    <t>I-10729967 M</t>
  </si>
  <si>
    <t xml:space="preserve"> Setda</t>
  </si>
  <si>
    <t>Suzuki  125 R / Suzuki  125 R</t>
  </si>
  <si>
    <t>MH88F45CAAJ173427</t>
  </si>
  <si>
    <t>F496-ID-374555</t>
  </si>
  <si>
    <t>KH 2694 PY</t>
  </si>
  <si>
    <t>Suzuki 125 R / Suzuki 125 R</t>
  </si>
  <si>
    <t>MH88F45CAAJ173793</t>
  </si>
  <si>
    <t>F496-ID-375502</t>
  </si>
  <si>
    <t>KH 2698 PY</t>
  </si>
  <si>
    <t>MH88F45CAAJ173624</t>
  </si>
  <si>
    <t>F496-ID-374964</t>
  </si>
  <si>
    <t>KH 2703 PY</t>
  </si>
  <si>
    <t>MH88F45CAAJ173621</t>
  </si>
  <si>
    <t>F496-ID-374976</t>
  </si>
  <si>
    <t>KH 2704 PY</t>
  </si>
  <si>
    <t>MH88F45CAAJ173619</t>
  </si>
  <si>
    <t>F496-ID-374891</t>
  </si>
  <si>
    <t>KH 2702 PY</t>
  </si>
  <si>
    <t>MH88F45CAAJ173166</t>
  </si>
  <si>
    <t>F496-ID-373448</t>
  </si>
  <si>
    <t>KH 2685 PY</t>
  </si>
  <si>
    <t>MH88F45CAAJ173784</t>
  </si>
  <si>
    <t>F496-ID-373437</t>
  </si>
  <si>
    <t>KH 2693 PY</t>
  </si>
  <si>
    <t>MH88F45CAAJ173424</t>
  </si>
  <si>
    <t>F496-ID-361071</t>
  </si>
  <si>
    <t>KH 2701 PY</t>
  </si>
  <si>
    <t>MH88F45CAAJ170336</t>
  </si>
  <si>
    <t>F496-ID-353947</t>
  </si>
  <si>
    <t>KH 2700 PY</t>
  </si>
  <si>
    <t>MH88F45CAAJ173175</t>
  </si>
  <si>
    <t>F496-ID-373434</t>
  </si>
  <si>
    <t>KH 2690 PY</t>
  </si>
  <si>
    <t>MH88F45CAAJ173163</t>
  </si>
  <si>
    <t>F496-ID-373450</t>
  </si>
  <si>
    <t>KH 2684 PY</t>
  </si>
  <si>
    <t>MH88F45CAAJ173812</t>
  </si>
  <si>
    <t>F496-ID-375459</t>
  </si>
  <si>
    <t>KH 2696 PY</t>
  </si>
  <si>
    <t>MH88F45CAAJ173546</t>
  </si>
  <si>
    <t>F496-ID-374863</t>
  </si>
  <si>
    <t>KH 2695 PY</t>
  </si>
  <si>
    <t>MH88F45CAAJ173169</t>
  </si>
  <si>
    <t>F496-ID-373439</t>
  </si>
  <si>
    <t>KH 2688 PY</t>
  </si>
  <si>
    <t>MH88F45CAAJ173157</t>
  </si>
  <si>
    <t>F496-ID-373482</t>
  </si>
  <si>
    <t>KH 2683 PY</t>
  </si>
  <si>
    <t>MH88F45CAAJ169719</t>
  </si>
  <si>
    <t>F496-ID-352165</t>
  </si>
  <si>
    <t>KH 2699 PY</t>
  </si>
  <si>
    <t>MH88F45CAAJ173809</t>
  </si>
  <si>
    <t>F496-ID-375462</t>
  </si>
  <si>
    <t>KH 2697 PY</t>
  </si>
  <si>
    <t>MH1JF3118AK176757</t>
  </si>
  <si>
    <t>JF31E0175919</t>
  </si>
  <si>
    <t>KH 2632 PY</t>
  </si>
  <si>
    <t>H-06859634 M</t>
  </si>
  <si>
    <t>SANTOSO /ADC BUPATI</t>
  </si>
  <si>
    <t>000082</t>
  </si>
  <si>
    <t>Honda SupraX125R / Honda SupraX125R</t>
  </si>
  <si>
    <t>MH1JB0111AK144739</t>
  </si>
  <si>
    <t>JB01E-1143282</t>
  </si>
  <si>
    <t>KH 4000 PY</t>
  </si>
  <si>
    <t>000083</t>
  </si>
  <si>
    <t>MH1JB0110AK144718</t>
  </si>
  <si>
    <t>JB01E-1143217</t>
  </si>
  <si>
    <t>KH 4001 PY</t>
  </si>
  <si>
    <t>000084</t>
  </si>
  <si>
    <t>MH1JB0111AK144726</t>
  </si>
  <si>
    <t>JB01E-1143303</t>
  </si>
  <si>
    <t>KH 4002 PY</t>
  </si>
  <si>
    <t>000085</t>
  </si>
  <si>
    <t>MH1JB0114AK126240</t>
  </si>
  <si>
    <t>KH 4003 PY</t>
  </si>
  <si>
    <t>000087</t>
  </si>
  <si>
    <t>Suzuki 125 RR / Suzuki 125 RR</t>
  </si>
  <si>
    <t>MH88F45DAAJ311579</t>
  </si>
  <si>
    <t>F496-ID-385937</t>
  </si>
  <si>
    <t>KH 2714 PY</t>
  </si>
  <si>
    <t>000089</t>
  </si>
  <si>
    <t>Honda Mega Pro / Honda Mega Pro</t>
  </si>
  <si>
    <t>MH1KC1117AK267942</t>
  </si>
  <si>
    <t>KC11E1269624</t>
  </si>
  <si>
    <t>KH 4038 PY</t>
  </si>
  <si>
    <t>000090</t>
  </si>
  <si>
    <t>MH34D70028J915436</t>
  </si>
  <si>
    <t>4D7-915463</t>
  </si>
  <si>
    <t>KH 2308 PY</t>
  </si>
  <si>
    <t>F4844189M</t>
  </si>
  <si>
    <t>Desa Tj. Hanau (Op. BPD)</t>
  </si>
  <si>
    <t>000091</t>
  </si>
  <si>
    <t>MH34D70028J889714</t>
  </si>
  <si>
    <t>4D7-889739</t>
  </si>
  <si>
    <t>KH 2278 PY</t>
  </si>
  <si>
    <t>F4844159M</t>
  </si>
  <si>
    <t>Desa Tj. Paring (Op. BPD)</t>
  </si>
  <si>
    <t>000092</t>
  </si>
  <si>
    <t>MH34D70028J839430</t>
  </si>
  <si>
    <t>4D7-839489</t>
  </si>
  <si>
    <t>KH 2292 PY</t>
  </si>
  <si>
    <t>F4844173M</t>
  </si>
  <si>
    <t>Desa Mekar Indah (Op. Kades)</t>
  </si>
  <si>
    <t>000093</t>
  </si>
  <si>
    <t>MH34D70028J904686</t>
  </si>
  <si>
    <t>4D7-904702</t>
  </si>
  <si>
    <t>KH 2318 PY</t>
  </si>
  <si>
    <t>F4844199M</t>
  </si>
  <si>
    <t>Desa Mekar Indah (Op. BPD)</t>
  </si>
  <si>
    <t>000094</t>
  </si>
  <si>
    <t>MH34D70028J820136</t>
  </si>
  <si>
    <t>4D7-820138</t>
  </si>
  <si>
    <t>KH 2287 PY</t>
  </si>
  <si>
    <t>F4844168M</t>
  </si>
  <si>
    <t>Desa Bangun harja (Op. Kades)</t>
  </si>
  <si>
    <t>000095</t>
  </si>
  <si>
    <t>MH34D70028J847295</t>
  </si>
  <si>
    <t>4D7-847013</t>
  </si>
  <si>
    <t>KH 2286 PY</t>
  </si>
  <si>
    <t>F4844167M</t>
  </si>
  <si>
    <t>Desa Bangun Harja (Op. BPD)</t>
  </si>
  <si>
    <t>000096</t>
  </si>
  <si>
    <t>MH34D70028J906256</t>
  </si>
  <si>
    <t>4D7-906285</t>
  </si>
  <si>
    <t>KH 2319 PY</t>
  </si>
  <si>
    <t>F4844200M</t>
  </si>
  <si>
    <t>Desa Halimaung Jaya (Op. Kades)</t>
  </si>
  <si>
    <t>000097</t>
  </si>
  <si>
    <t>MH34D70028J878182</t>
  </si>
  <si>
    <t>4D7-878197</t>
  </si>
  <si>
    <t>KH 2320 PY</t>
  </si>
  <si>
    <t>F4844201M</t>
  </si>
  <si>
    <t>Desa Halimaung Jaya (Op. BPD)</t>
  </si>
  <si>
    <t>000098</t>
  </si>
  <si>
    <t>MH34D70028J845449</t>
  </si>
  <si>
    <t>4D7-845479</t>
  </si>
  <si>
    <t>KH 2338 PY</t>
  </si>
  <si>
    <t>F4844219M</t>
  </si>
  <si>
    <t>Desa Sembuluh II (Op. BPD)</t>
  </si>
  <si>
    <t>000099</t>
  </si>
  <si>
    <t>MH34D70028J850252</t>
  </si>
  <si>
    <t>4D7-550267</t>
  </si>
  <si>
    <t>KH 2280 PY</t>
  </si>
  <si>
    <t>F4844161M</t>
  </si>
  <si>
    <t>Desa Pt. Panjang (Op. BPD)</t>
  </si>
  <si>
    <t>000100</t>
  </si>
  <si>
    <t>MH34D70028J82149</t>
  </si>
  <si>
    <t>2D7-820160</t>
  </si>
  <si>
    <t>KH 2281 PY</t>
  </si>
  <si>
    <t>F4844162M</t>
  </si>
  <si>
    <t>Desa Pt. Panjang (Op. Kades)</t>
  </si>
  <si>
    <t>000101</t>
  </si>
  <si>
    <t>MH34D70028J849277</t>
  </si>
  <si>
    <t>4D7-849299</t>
  </si>
  <si>
    <t>KH 2282 PY</t>
  </si>
  <si>
    <t>F4844163M</t>
  </si>
  <si>
    <t>Desa Sei Bakau (Op. Kades)</t>
  </si>
  <si>
    <t>000102</t>
  </si>
  <si>
    <t>MH34D70028J845546</t>
  </si>
  <si>
    <t>4D7-845570</t>
  </si>
  <si>
    <t>KH 2283 PY</t>
  </si>
  <si>
    <t>F4844164M</t>
  </si>
  <si>
    <t>Desa Sei Bakau (Op.BPD)</t>
  </si>
  <si>
    <t>000103</t>
  </si>
  <si>
    <t>MH34D70028J852666</t>
  </si>
  <si>
    <t>4D7-852692</t>
  </si>
  <si>
    <t>KH 2331 PY</t>
  </si>
  <si>
    <t>F4844212M</t>
  </si>
  <si>
    <t>Desa. Tj.Rangas (Op. Kades)</t>
  </si>
  <si>
    <t>000104</t>
  </si>
  <si>
    <t>MH34D70028J843156</t>
  </si>
  <si>
    <t>4D7-843207</t>
  </si>
  <si>
    <t>KH 2290 PY</t>
  </si>
  <si>
    <t>F4844171M</t>
  </si>
  <si>
    <t>Desa Tj. Rangas (Op.BPD)</t>
  </si>
  <si>
    <t>000105</t>
  </si>
  <si>
    <t>MH34D70028J894561</t>
  </si>
  <si>
    <t>4D7-894574</t>
  </si>
  <si>
    <t>KH 2310 PY</t>
  </si>
  <si>
    <t>F4844191M</t>
  </si>
  <si>
    <t>Desa Muara Dua (Op. Kades)</t>
  </si>
  <si>
    <t>000109</t>
  </si>
  <si>
    <t>MH1KC11108K146552</t>
  </si>
  <si>
    <t>KC11E-1148269</t>
  </si>
  <si>
    <t>KH 2397 PY</t>
  </si>
  <si>
    <t>F2146853M</t>
  </si>
  <si>
    <t>Desa Tb.Setoli (Op. Kades)</t>
  </si>
  <si>
    <t>000110</t>
  </si>
  <si>
    <t>MH1KC11108K146936</t>
  </si>
  <si>
    <t>KC11E-1149073</t>
  </si>
  <si>
    <t>KH 2398 PY</t>
  </si>
  <si>
    <t>F2146856M</t>
  </si>
  <si>
    <t>Desa Tb. Setoli (Op. Bpd)</t>
  </si>
  <si>
    <t>000111</t>
  </si>
  <si>
    <t>MH1KC11178K146922</t>
  </si>
  <si>
    <t>KC11E-1149160</t>
  </si>
  <si>
    <t>KH 2403 PY</t>
  </si>
  <si>
    <t>F2146747M</t>
  </si>
  <si>
    <t>Desa Tb. Langkai (Op. Kades)</t>
  </si>
  <si>
    <t>000112</t>
  </si>
  <si>
    <t>MH1KC11128K146553</t>
  </si>
  <si>
    <t>KC11E-1148719</t>
  </si>
  <si>
    <t>KH 2412 PY</t>
  </si>
  <si>
    <t>F2146756M</t>
  </si>
  <si>
    <t>Desa Sapundu Hantu (Op. BPD)</t>
  </si>
  <si>
    <t>000113</t>
  </si>
  <si>
    <t>MH1KC11108K142503</t>
  </si>
  <si>
    <t>KC11E-1144586</t>
  </si>
  <si>
    <t>KH 2414 PY</t>
  </si>
  <si>
    <t>F2146705M</t>
  </si>
  <si>
    <t>Desa Tb. Kubang (Op. BPD)</t>
  </si>
  <si>
    <t>000114</t>
  </si>
  <si>
    <t>MH1KC11138K146562</t>
  </si>
  <si>
    <t>KC11E-1148686</t>
  </si>
  <si>
    <t>KH 2421 PY</t>
  </si>
  <si>
    <t>F2146712M</t>
  </si>
  <si>
    <t>Desa Tb. Taberau (Op. Kades)</t>
  </si>
  <si>
    <t>000115</t>
  </si>
  <si>
    <t>MH1KC11128K146570</t>
  </si>
  <si>
    <t>KC11E-1148718</t>
  </si>
  <si>
    <t>KH 2422 PY</t>
  </si>
  <si>
    <t>F2146713M</t>
  </si>
  <si>
    <t>Desa Tb. Taberau (Op. BPD)</t>
  </si>
  <si>
    <t>000116</t>
  </si>
  <si>
    <t>MH1KC11108K148043</t>
  </si>
  <si>
    <t>KC11E-1150061</t>
  </si>
  <si>
    <t>KH 2423 PY</t>
  </si>
  <si>
    <t>F2146714M</t>
  </si>
  <si>
    <t>Desa Riam Batang (Op. Kades)</t>
  </si>
  <si>
    <t>000117</t>
  </si>
  <si>
    <t>MH1KC11108K146924</t>
  </si>
  <si>
    <t>KC11E-1149107</t>
  </si>
  <si>
    <t>KH 2424 PY</t>
  </si>
  <si>
    <t>F2146715M</t>
  </si>
  <si>
    <t>Desa Riam Batang (Op. BPD)</t>
  </si>
  <si>
    <t>000118</t>
  </si>
  <si>
    <t>MH1KC11158K146588</t>
  </si>
  <si>
    <t>KC11E-1148844</t>
  </si>
  <si>
    <t>KH 2429 PY</t>
  </si>
  <si>
    <t>F2146720M</t>
  </si>
  <si>
    <t>Desa Tb. Bahan (Op. Kades)</t>
  </si>
  <si>
    <t>000119</t>
  </si>
  <si>
    <t>MH1KC11158K146595</t>
  </si>
  <si>
    <t>KC11E-1148741</t>
  </si>
  <si>
    <t>KH 2430 PY</t>
  </si>
  <si>
    <t>Desa Tb. bahan (Op. BPD)</t>
  </si>
  <si>
    <t>000121</t>
  </si>
  <si>
    <t>YAMAHA SCORPIO 5BPZ / YAMAHA SCORPIO 5BPZ</t>
  </si>
  <si>
    <t>223 CC</t>
  </si>
  <si>
    <t>MH35BP0068K110752</t>
  </si>
  <si>
    <t>5BP-110827</t>
  </si>
  <si>
    <t>KH 2475 PY</t>
  </si>
  <si>
    <t>F 4844225 M</t>
  </si>
  <si>
    <t>Op. Rujab KDH (SUTOMO)</t>
  </si>
  <si>
    <t>000123</t>
  </si>
  <si>
    <t>HONDA NF12A1CM/T Supra X 125 / HONDA NF12A1CM/T Supra X 125</t>
  </si>
  <si>
    <t>MH1JBF11XBK018080</t>
  </si>
  <si>
    <t>JBF1E-1017706</t>
  </si>
  <si>
    <t>KH 4043 PY</t>
  </si>
  <si>
    <t>1034940319M</t>
  </si>
  <si>
    <t>Sepeda Motor/ Kabid HI dan JSTK</t>
  </si>
  <si>
    <t>HONDA / VARIO 125 CBS ISS</t>
  </si>
  <si>
    <t>MH1JMD110PK415237</t>
  </si>
  <si>
    <t>JMDIE-1415451</t>
  </si>
  <si>
    <t>KH 5269 PY</t>
  </si>
  <si>
    <t>U-01979409M</t>
  </si>
  <si>
    <t>Asisten I</t>
  </si>
  <si>
    <t>000125</t>
  </si>
  <si>
    <t>MH1JMD111PK415229</t>
  </si>
  <si>
    <t>JMD1E-1415445</t>
  </si>
  <si>
    <t>KH 5270 PY</t>
  </si>
  <si>
    <t>U-01979410M</t>
  </si>
  <si>
    <t>Kabag Protokol</t>
  </si>
  <si>
    <t>000126</t>
  </si>
  <si>
    <t>MH1JMD11XPK415228</t>
  </si>
  <si>
    <t>JMD1E-1415444</t>
  </si>
  <si>
    <t>KH 5271 PY</t>
  </si>
  <si>
    <t>U-01979411M</t>
  </si>
  <si>
    <t>Kabag hukum</t>
  </si>
  <si>
    <t>000127</t>
  </si>
  <si>
    <t>MH1JMD112PK415224</t>
  </si>
  <si>
    <t>JMD1E-1415440</t>
  </si>
  <si>
    <t>KH 5272 PY</t>
  </si>
  <si>
    <t>U-01979412M</t>
  </si>
  <si>
    <t>Kabag Kesra</t>
  </si>
  <si>
    <t>000128</t>
  </si>
  <si>
    <t>MH1JMD118PK415227</t>
  </si>
  <si>
    <t>JMDIE-1415443</t>
  </si>
  <si>
    <t>KH 5275 PY</t>
  </si>
  <si>
    <t>U-01979415M</t>
  </si>
  <si>
    <t>000129</t>
  </si>
  <si>
    <t>MH1JMD116PK415226</t>
  </si>
  <si>
    <t>JMD1E-1415442</t>
  </si>
  <si>
    <t>KH 5273 PY</t>
  </si>
  <si>
    <t>U-01979413</t>
  </si>
  <si>
    <t>Kabag BPBJ</t>
  </si>
  <si>
    <t>000130</t>
  </si>
  <si>
    <t>MH1JMD11XPK415231</t>
  </si>
  <si>
    <t>JMD1E-1415447</t>
  </si>
  <si>
    <t>KH 5274 PY</t>
  </si>
  <si>
    <t>U-01979414</t>
  </si>
  <si>
    <t>Pj Bupati</t>
  </si>
  <si>
    <t>000131</t>
  </si>
  <si>
    <t>MH1JMD118PK415180</t>
  </si>
  <si>
    <t>JMD1E-1415395</t>
  </si>
  <si>
    <t>KH 5268 PY</t>
  </si>
  <si>
    <t>U-01979408</t>
  </si>
  <si>
    <t>Kabag Pemerintahan</t>
  </si>
  <si>
    <t>000132</t>
  </si>
  <si>
    <t>124 cc</t>
  </si>
  <si>
    <t>MH1JMD115PK415184</t>
  </si>
  <si>
    <t>JMD1E-1415398</t>
  </si>
  <si>
    <t>KH 5276 PY</t>
  </si>
  <si>
    <t>U-01979416M</t>
  </si>
  <si>
    <t>Kabag Ortal</t>
  </si>
  <si>
    <t>000133</t>
  </si>
  <si>
    <t>MH1JM8214NK703040</t>
  </si>
  <si>
    <t>JM82E1701151</t>
  </si>
  <si>
    <t>KH 5197 PY</t>
  </si>
  <si>
    <t>T-02690770</t>
  </si>
  <si>
    <t>000134</t>
  </si>
  <si>
    <t>MH4LX230PNJP00508</t>
  </si>
  <si>
    <t>LX230AEP34796</t>
  </si>
  <si>
    <t>KH 5187 PY</t>
  </si>
  <si>
    <t>S-07229293 M</t>
  </si>
  <si>
    <t>000135 s/d 000148</t>
  </si>
  <si>
    <t>Honda Vario 125</t>
  </si>
  <si>
    <t>Belanja Modal Sepeda Motor</t>
  </si>
  <si>
    <t>000149</t>
  </si>
  <si>
    <t>MH1KC5218FK255151</t>
  </si>
  <si>
    <t>KC52E-1252728</t>
  </si>
  <si>
    <t>KH 4363 PY</t>
  </si>
  <si>
    <t>L  06930532 M</t>
  </si>
  <si>
    <t>ARIF KURNIAWAN</t>
  </si>
  <si>
    <t>000150</t>
  </si>
  <si>
    <t>MH1JF0213CK200303</t>
  </si>
  <si>
    <t>JF02E1201729</t>
  </si>
  <si>
    <t>KH 4081 PY</t>
  </si>
  <si>
    <t>I-10731505 M</t>
  </si>
  <si>
    <t>BPKAD /DIGUDANG</t>
  </si>
  <si>
    <t>MH1KD1113KK107281</t>
  </si>
  <si>
    <t>KD11E1106684</t>
  </si>
  <si>
    <t>KH 4893 PY</t>
  </si>
  <si>
    <t>MH1JM5110LK684855</t>
  </si>
  <si>
    <t>JM51E1684470</t>
  </si>
  <si>
    <t>KH 4974 PY</t>
  </si>
  <si>
    <t>SETDA</t>
  </si>
  <si>
    <t>TOYOTA KIJANG INNOVA V / TOYOTA KIJANG INNOVA V</t>
  </si>
  <si>
    <t>MHFXW430784061195</t>
  </si>
  <si>
    <t>ITR-7702105</t>
  </si>
  <si>
    <t>KH 1145 PU</t>
  </si>
  <si>
    <t>I-05942085M</t>
  </si>
  <si>
    <t>MOBIL TOYOTA KIJANG INNOVA V (Pemegang An. Sekretaris)</t>
  </si>
  <si>
    <t>KIJANG INNOVA / 2.4 G M/T DSL</t>
  </si>
  <si>
    <t>MHFJB8EM4R1140458</t>
  </si>
  <si>
    <t>2GD-5623121</t>
  </si>
  <si>
    <t>KH 1330 PU</t>
  </si>
  <si>
    <t>V04726174M</t>
  </si>
  <si>
    <t>Pengadaan Kendaraan Dinas Roda Empat (Inspektur)</t>
  </si>
  <si>
    <t>TOYOTA  / HILUX DOUBLE CABIN 2.4 G (4X4) DIESEL MANUA</t>
  </si>
  <si>
    <t>MR0KB8CD7R1225850</t>
  </si>
  <si>
    <t>2GD - D458285</t>
  </si>
  <si>
    <t>KH 8244 PW</t>
  </si>
  <si>
    <t>V04715315M</t>
  </si>
  <si>
    <t>Pengadaan Kendaraan Dinas Operasional Kendaraan Roda 4 (Inspektur)</t>
  </si>
  <si>
    <t>Honda  Supra Fit / Honda  Supra Fit</t>
  </si>
  <si>
    <t>NHIHB21114K216167</t>
  </si>
  <si>
    <t>MHIHB-1213298</t>
  </si>
  <si>
    <t>KH 2599 PY</t>
  </si>
  <si>
    <t>F9606047M</t>
  </si>
  <si>
    <t>Pemegang An. Hernawati</t>
  </si>
  <si>
    <t>YAMAHA JUPITER Z / YAMAHA JUPITER Z</t>
  </si>
  <si>
    <t>MH35TP0065K65150</t>
  </si>
  <si>
    <t>5TP-869914</t>
  </si>
  <si>
    <t>KH 2034 PY</t>
  </si>
  <si>
    <t>D6760051</t>
  </si>
  <si>
    <t>MH35TP0065K656288</t>
  </si>
  <si>
    <t>5TP-870010</t>
  </si>
  <si>
    <t>KH 2032 PY</t>
  </si>
  <si>
    <t>D 6760049</t>
  </si>
  <si>
    <t>MH1JBE115CK509362</t>
  </si>
  <si>
    <t>JBE1E1500295</t>
  </si>
  <si>
    <t>KH 4157 PY</t>
  </si>
  <si>
    <t>J-04697976 M</t>
  </si>
  <si>
    <t>FIRMANSYAH, A.Md.Ak</t>
  </si>
  <si>
    <t>MH1JBE21XCK194881</t>
  </si>
  <si>
    <t>JBE2E1192563</t>
  </si>
  <si>
    <t>KH 4073 PY</t>
  </si>
  <si>
    <t>I-10731497 M</t>
  </si>
  <si>
    <t>Usul Rubah Kondisi (Gudang)</t>
  </si>
  <si>
    <t>MH1JB216DK246203</t>
  </si>
  <si>
    <t>JBE2E1242820</t>
  </si>
  <si>
    <t>KH 4170 PY</t>
  </si>
  <si>
    <t>K-05623365 M</t>
  </si>
  <si>
    <t>MH1JFS112FK106334</t>
  </si>
  <si>
    <t>JFS1E1104454</t>
  </si>
  <si>
    <t>KH 4389 PY</t>
  </si>
  <si>
    <t>L 06931772 M</t>
  </si>
  <si>
    <t>ARIF PAHRUDIN</t>
  </si>
  <si>
    <t>MH1JBN119FK081204</t>
  </si>
  <si>
    <t>JBN1E1079353</t>
  </si>
  <si>
    <t>KH 4397 PY</t>
  </si>
  <si>
    <t>L 06937005 M</t>
  </si>
  <si>
    <t>ZAINENDRA ARI SETIA</t>
  </si>
  <si>
    <t>MH1KC5216FK25569</t>
  </si>
  <si>
    <t>KC52E-1253798</t>
  </si>
  <si>
    <t>KH 4359 PY</t>
  </si>
  <si>
    <t>L 06930528 M</t>
  </si>
  <si>
    <t>FIRLIE, S.E</t>
  </si>
  <si>
    <t>MH1KC521XFK255894</t>
  </si>
  <si>
    <t>KC52E1253613</t>
  </si>
  <si>
    <t>KH 4349 PY</t>
  </si>
  <si>
    <t>L 06930518 M</t>
  </si>
  <si>
    <t>MH1KC5217FK255092</t>
  </si>
  <si>
    <t>KC52E1252861</t>
  </si>
  <si>
    <t>KH 4356 PY</t>
  </si>
  <si>
    <t>L 06930525 M</t>
  </si>
  <si>
    <t>P2UPD (INSPEKTORAT)</t>
  </si>
  <si>
    <t>MH1JFS115HK402547</t>
  </si>
  <si>
    <t>JFS1E1394626</t>
  </si>
  <si>
    <t>KH 4651 PY</t>
  </si>
  <si>
    <t>M 12824309 M</t>
  </si>
  <si>
    <t>Hj. KHAIRUNNISA, SE</t>
  </si>
  <si>
    <t>MH1JFS11XHK398303</t>
  </si>
  <si>
    <t>JFS1E1390190</t>
  </si>
  <si>
    <t>KH 4657 PY</t>
  </si>
  <si>
    <t>M 12824315 M</t>
  </si>
  <si>
    <t>EKA MAYASARI, SE., MM</t>
  </si>
  <si>
    <t>MH1JFS112HK393032</t>
  </si>
  <si>
    <t>JFS1E1386858</t>
  </si>
  <si>
    <t>KH 4648 PY</t>
  </si>
  <si>
    <t>M 12824306 M</t>
  </si>
  <si>
    <t>VITA HERVIANA, SE</t>
  </si>
  <si>
    <t>MH1JFS115HK399097</t>
  </si>
  <si>
    <t>JFS1E1391875</t>
  </si>
  <si>
    <t>KH 4640 PY</t>
  </si>
  <si>
    <t>M 12824300 M</t>
  </si>
  <si>
    <t>ANDRI FEBRIANTO, S.Psi.,M.A.P</t>
  </si>
  <si>
    <t>MH1JFT11XHK086097</t>
  </si>
  <si>
    <t>JFT1E 1085699</t>
  </si>
  <si>
    <t>KH 4620 PY</t>
  </si>
  <si>
    <t>M 12805861 M</t>
  </si>
  <si>
    <t>SITI SHOLATIYAH, S.IP</t>
  </si>
  <si>
    <t>MH1JFT115HK087688</t>
  </si>
  <si>
    <t>JFT1E 1087212</t>
  </si>
  <si>
    <t>KH 4598 PY</t>
  </si>
  <si>
    <t>M 12805840 M</t>
  </si>
  <si>
    <t>SITI NURRAJ'AHWATI, ST</t>
  </si>
  <si>
    <t>MH1JFT111HK087638</t>
  </si>
  <si>
    <t>JFT1E 1087243</t>
  </si>
  <si>
    <t>KH 4597 PY</t>
  </si>
  <si>
    <t>M 12805839 M</t>
  </si>
  <si>
    <t>LINDAWATI</t>
  </si>
  <si>
    <t>HONDA/VARIO 150 / HONDA/VARIO 150</t>
  </si>
  <si>
    <t>150CC</t>
  </si>
  <si>
    <t>BENSIN</t>
  </si>
  <si>
    <t>MH1KF4121LK117796</t>
  </si>
  <si>
    <t>KF41E2121900HWA</t>
  </si>
  <si>
    <t>KH 4964 PY</t>
  </si>
  <si>
    <t>Q-08304251M</t>
  </si>
  <si>
    <t>Bendahara</t>
  </si>
  <si>
    <t>MH1JM8210NK689850</t>
  </si>
  <si>
    <t>JM82E1687961</t>
  </si>
  <si>
    <t>KH 5194 PY</t>
  </si>
  <si>
    <t>T-02686477M</t>
  </si>
  <si>
    <t>FAZRIYANSYAH, A.Md.Kom</t>
  </si>
  <si>
    <t>Kawasaki / KLX150G</t>
  </si>
  <si>
    <t>MH4LX150GNJP93926</t>
  </si>
  <si>
    <t>LX150CEWV9781</t>
  </si>
  <si>
    <t>KH 5174 PY</t>
  </si>
  <si>
    <t>S-07202488M</t>
  </si>
  <si>
    <t>Motor Trail Operasional Inspektur</t>
  </si>
  <si>
    <t>YAMAHA / NMAX NEO S BTE A/T</t>
  </si>
  <si>
    <t>155</t>
  </si>
  <si>
    <t>MH3SG9310RK041493</t>
  </si>
  <si>
    <t>G3V5E-0124381</t>
  </si>
  <si>
    <t>KH 5398 PY</t>
  </si>
  <si>
    <t>V04741913M</t>
  </si>
  <si>
    <t>RIO EMSLIE AGUSTINO, ST</t>
  </si>
  <si>
    <t>MH3SG9310RJ024637</t>
  </si>
  <si>
    <t>G3V5E-0078561</t>
  </si>
  <si>
    <t>KH 5408 PY</t>
  </si>
  <si>
    <t>V04741922M</t>
  </si>
  <si>
    <t>HARIS FADILAH, ST</t>
  </si>
  <si>
    <t>MH3SG9310RJ010937</t>
  </si>
  <si>
    <t>G3V5E-0030717</t>
  </si>
  <si>
    <t>KH 5413 PY</t>
  </si>
  <si>
    <t>V04741978M</t>
  </si>
  <si>
    <t>EDI ERPANDI, SE</t>
  </si>
  <si>
    <t>MH3SG9310RJ026078</t>
  </si>
  <si>
    <t>G3V5E-0082462</t>
  </si>
  <si>
    <t>KH 5412 PY</t>
  </si>
  <si>
    <t>V04741977M</t>
  </si>
  <si>
    <t>RUSTININGSIH, SP</t>
  </si>
  <si>
    <t>MH3SG9310RJ045719</t>
  </si>
  <si>
    <t>G3V5E-0134567</t>
  </si>
  <si>
    <t>KH 5403 PY</t>
  </si>
  <si>
    <t>V04741917M</t>
  </si>
  <si>
    <t>ABDUL HAMID, A.Md.Kom</t>
  </si>
  <si>
    <t>MH3SG9310RJ023831</t>
  </si>
  <si>
    <t>G3V5E-0076285</t>
  </si>
  <si>
    <t>KH 5401 PY</t>
  </si>
  <si>
    <t>V04741915M</t>
  </si>
  <si>
    <t>RAHMAT FAUZAN, S.AP</t>
  </si>
  <si>
    <t>MH3SG9310RJ040551</t>
  </si>
  <si>
    <t>G3V5E-0121997</t>
  </si>
  <si>
    <t>KH 5399 PY</t>
  </si>
  <si>
    <t>V04741914M</t>
  </si>
  <si>
    <t>ROMANSYAH, A.Md</t>
  </si>
  <si>
    <t>MH3SG9310RK039445</t>
  </si>
  <si>
    <t>G3V5E-0118815</t>
  </si>
  <si>
    <t>KH 5405 PY</t>
  </si>
  <si>
    <t>V04741919M</t>
  </si>
  <si>
    <t>ABUL HASAN ASY'ARI, S.A.P.,M.AP</t>
  </si>
  <si>
    <t>MH3SG9310RJ015186</t>
  </si>
  <si>
    <t>G3V5E-0044056</t>
  </si>
  <si>
    <t>KH 5414 PY</t>
  </si>
  <si>
    <t>V04741979M</t>
  </si>
  <si>
    <t>JAUHARI ARIF, SE</t>
  </si>
  <si>
    <t>MH3SG9310RJ024617</t>
  </si>
  <si>
    <t>G3V5E-0078541</t>
  </si>
  <si>
    <t>KH 5407 PY</t>
  </si>
  <si>
    <t>V04741921M</t>
  </si>
  <si>
    <t>ABDUL HAMID, S.I.P</t>
  </si>
  <si>
    <t>MH3SG9310RJ007677</t>
  </si>
  <si>
    <t>G3V5E-0022157</t>
  </si>
  <si>
    <t>KH 5406 PY</t>
  </si>
  <si>
    <t>V04741920M</t>
  </si>
  <si>
    <t>TAMZIL BUDIANA, S.IP</t>
  </si>
  <si>
    <t>MH3SG9310RJ026066</t>
  </si>
  <si>
    <t>G3V5E-0082450</t>
  </si>
  <si>
    <t>KH 5404 PY</t>
  </si>
  <si>
    <t>V04741918M</t>
  </si>
  <si>
    <t>ULIE HADIANTO , S.I.P</t>
  </si>
  <si>
    <t>YAMAHA / GRAND FILANO LUX BJM A/T</t>
  </si>
  <si>
    <t>MH3SEK610RJ168795</t>
  </si>
  <si>
    <t>E34KE-0168799</t>
  </si>
  <si>
    <t>KH 5411 P</t>
  </si>
  <si>
    <t>V-04741976M</t>
  </si>
  <si>
    <t>DARMADI, S.E., CRA., CRP</t>
  </si>
  <si>
    <t>YAMAHA / BJM A/T</t>
  </si>
  <si>
    <t>MH3SEK610RJ213530</t>
  </si>
  <si>
    <t>E34KE-0213533</t>
  </si>
  <si>
    <t>KH 5409 PY</t>
  </si>
  <si>
    <t>V04741974</t>
  </si>
  <si>
    <t>JEMI HERMAWAN, A.Md.Kom</t>
  </si>
  <si>
    <t>MH3SEK610RJ229767</t>
  </si>
  <si>
    <t>E34KE-0229770</t>
  </si>
  <si>
    <t>KH 5410 PY</t>
  </si>
  <si>
    <t>VO4741975M</t>
  </si>
  <si>
    <t>NURUL KOMARIAH,S.AP</t>
  </si>
  <si>
    <t>MH3SEK610RJ230656</t>
  </si>
  <si>
    <t>E34KE-0230660</t>
  </si>
  <si>
    <t>KH 5402 PY</t>
  </si>
  <si>
    <t>V04741916M</t>
  </si>
  <si>
    <t>JULIANSYAH, SE</t>
  </si>
  <si>
    <t>Honda Beat Sporty CBS-VIN2019 / Honda Beat Sporty CBS-VIN2019</t>
  </si>
  <si>
    <t>MH1JM8118MK714784</t>
  </si>
  <si>
    <t>JM81E1716677</t>
  </si>
  <si>
    <t>KH 5105 PY</t>
  </si>
  <si>
    <t>R02954996M</t>
  </si>
  <si>
    <t>Kendaraan Roda Dua</t>
  </si>
  <si>
    <t>MHIJM8110MK714794</t>
  </si>
  <si>
    <t>JM81E1716700</t>
  </si>
  <si>
    <t>KH 5106 PY</t>
  </si>
  <si>
    <t>R02954997M</t>
  </si>
  <si>
    <t>MH1JM8115MK714791</t>
  </si>
  <si>
    <t>JM81E1716702</t>
  </si>
  <si>
    <t>KH 5107 PY</t>
  </si>
  <si>
    <t>R02954998M</t>
  </si>
  <si>
    <t>MH1JM8111MK714674</t>
  </si>
  <si>
    <t>JM81E1716472</t>
  </si>
  <si>
    <t>KH 5108 PY</t>
  </si>
  <si>
    <t>R02954999M</t>
  </si>
  <si>
    <t>HINO WU342R-HKMTJD3/130HL / HINO WU342R-HKMTJD3/130HL</t>
  </si>
  <si>
    <t>MJECC1JG43A50-03666</t>
  </si>
  <si>
    <t>WO4DTRJ-12808</t>
  </si>
  <si>
    <t>KH 9508 PW</t>
  </si>
  <si>
    <t>H11004915M</t>
  </si>
  <si>
    <t>Operasional Angkutan Pedesaan Kec. Seruyan Tengah</t>
  </si>
  <si>
    <t>MRODB8D9J0176296</t>
  </si>
  <si>
    <t>2GD4462472</t>
  </si>
  <si>
    <t>KH 8182 PW</t>
  </si>
  <si>
    <t>N-07851139</t>
  </si>
  <si>
    <t>Mutasi (Salah Catat KH 8176 PW)</t>
  </si>
  <si>
    <t>MR0KB8CD8F1219763</t>
  </si>
  <si>
    <t>26DD286642</t>
  </si>
  <si>
    <t>KH 8226 PW</t>
  </si>
  <si>
    <t>U01952354M</t>
  </si>
  <si>
    <t>Belanja Kendaraan Dinas Operasional Roda 4 (KH 8226 PW)</t>
  </si>
  <si>
    <t>MH1KD1111JK042073</t>
  </si>
  <si>
    <t>KD11E1041560</t>
  </si>
  <si>
    <t>KH 4792 PY</t>
  </si>
  <si>
    <t>O02643662M</t>
  </si>
  <si>
    <t>MH1KC5215FK255088</t>
  </si>
  <si>
    <t>KC52E1252775</t>
  </si>
  <si>
    <t>KH 4362 PY</t>
  </si>
  <si>
    <t>L 06930531 M</t>
  </si>
  <si>
    <t>PENYIMPAN BARANG (KEC. SERUYAN tengah)</t>
  </si>
  <si>
    <t>MH1KC5210EK204077</t>
  </si>
  <si>
    <t>KC52E1202286</t>
  </si>
  <si>
    <t>KH 4306 PY</t>
  </si>
  <si>
    <t>L 04354128 M</t>
  </si>
  <si>
    <t>LURAH RANTAU PULUT</t>
  </si>
  <si>
    <t>MH1KC5215EK199152</t>
  </si>
  <si>
    <t>KC52E1197684</t>
  </si>
  <si>
    <t>KH 4305 PY</t>
  </si>
  <si>
    <t>L 04354127 M</t>
  </si>
  <si>
    <t>LURAH RANTAU PULUT II</t>
  </si>
  <si>
    <t>MH1JBE115CK409360</t>
  </si>
  <si>
    <t>JBE1E1401300</t>
  </si>
  <si>
    <t>KH 4069 PY</t>
  </si>
  <si>
    <t>I-10731493 M</t>
  </si>
  <si>
    <t xml:space="preserve"> Kec. Seruyan Tengah</t>
  </si>
  <si>
    <t>HONDA/A1F02N36M1 A/T / HONDA/A1F02N36M1 A/T</t>
  </si>
  <si>
    <t>MH1JM4115KK537570</t>
  </si>
  <si>
    <t>JM41E1535017</t>
  </si>
  <si>
    <t>KH 4872 PY</t>
  </si>
  <si>
    <t>Q00400433M</t>
  </si>
  <si>
    <t>Honda CRF 150-VIN 2019 / Honda CRF 150-VIN 2019</t>
  </si>
  <si>
    <t>MH1KD111XKK106452</t>
  </si>
  <si>
    <t>KD11E1105762</t>
  </si>
  <si>
    <t>KH 4869 PY</t>
  </si>
  <si>
    <t>Q00400430M</t>
  </si>
  <si>
    <t>MH1KD1110KK106430</t>
  </si>
  <si>
    <t>KD11E1105736</t>
  </si>
  <si>
    <t>KH 4866 PY</t>
  </si>
  <si>
    <t>Q00400427M</t>
  </si>
  <si>
    <t>MH1KD111XKK106306</t>
  </si>
  <si>
    <t>KD11E1105616</t>
  </si>
  <si>
    <t>KH 4865 PY</t>
  </si>
  <si>
    <t>Q00400426M</t>
  </si>
  <si>
    <t>Suzuki Shogun  / Suzuki Shogun</t>
  </si>
  <si>
    <t>MH8FD125X61788294</t>
  </si>
  <si>
    <t>F403-1D-788806</t>
  </si>
  <si>
    <t>KH 2153 PY</t>
  </si>
  <si>
    <t>E-2834899M</t>
  </si>
  <si>
    <t>MR0KB8CD9P1147116</t>
  </si>
  <si>
    <t>2GDD282953</t>
  </si>
  <si>
    <t>KH 8224 PW</t>
  </si>
  <si>
    <t>U01952352M</t>
  </si>
  <si>
    <t>BA PENGGUNAAN BMD_Kendaraan Dinas Operasional Lapangan CAMAT_ EROLSYAH, SH</t>
  </si>
  <si>
    <t>Kebakaran</t>
  </si>
  <si>
    <t>HONDA GL15B1DF M/T 150 R - 2017 / HONDA GL15B1DF M/T 150 R - 2017</t>
  </si>
  <si>
    <t>MH1KC5215HK358501</t>
  </si>
  <si>
    <t>KC52E1355076</t>
  </si>
  <si>
    <t>KH 4628 PY</t>
  </si>
  <si>
    <t>M 12805869 M</t>
  </si>
  <si>
    <t>BA PENGGUNAAN BMD_Kendaraan Dinas Operasional KASI PEM_ GAGAH WIBOWO, A.Md</t>
  </si>
  <si>
    <t>MH1JFV116FK059973</t>
  </si>
  <si>
    <t>JFV1E1059813</t>
  </si>
  <si>
    <t>KH 4429 PY</t>
  </si>
  <si>
    <t>L-06967180 M</t>
  </si>
  <si>
    <t>BA PENGGUNAAN BMD_Kendaraan Dinas Operasional CAMAT_ EROLSYAH, SH</t>
  </si>
  <si>
    <t>MH1KC5215FK249288</t>
  </si>
  <si>
    <t>KC52E1247491</t>
  </si>
  <si>
    <t>KH 4347 PY</t>
  </si>
  <si>
    <t>L 06930516 M</t>
  </si>
  <si>
    <t>BA PENGGUNAAN BMD_Kendaraan Dinas Operasional SEKRETARIS CAMAT_ SUBHAN, SKM</t>
  </si>
  <si>
    <t>MH1JFT113HK086281</t>
  </si>
  <si>
    <t>JFT1E1085852</t>
  </si>
  <si>
    <t>KH 4621 PY</t>
  </si>
  <si>
    <t>M 12805862 M</t>
  </si>
  <si>
    <t>BA PENGGUNAAN BMD_Kendaraan Dinas Operasional KASI PMD_ NINU APRICAHYATI, S.AP</t>
  </si>
  <si>
    <t>Honda Revo  / Honda Revo</t>
  </si>
  <si>
    <t>NHIJBC31AK009246</t>
  </si>
  <si>
    <t>JBC3E1009443</t>
  </si>
  <si>
    <t>KH 4005 PY</t>
  </si>
  <si>
    <t>TOYOTA HILUX / HILUX</t>
  </si>
  <si>
    <t>MR0KB8CD2R1221592</t>
  </si>
  <si>
    <t>2GDD384393</t>
  </si>
  <si>
    <t>KH 8236 PW</t>
  </si>
  <si>
    <t>U06700572 M</t>
  </si>
  <si>
    <t>Kendaraan Dinas Operasional Lapangan (Camat)</t>
  </si>
  <si>
    <t>Honda Star  / Honda Star</t>
  </si>
  <si>
    <t>85 CC</t>
  </si>
  <si>
    <t>MH1GF000SSAU29490</t>
  </si>
  <si>
    <t>GFE-1029510</t>
  </si>
  <si>
    <t>KH 2023 FY</t>
  </si>
  <si>
    <t>D 5934763 M</t>
  </si>
  <si>
    <t>Suzuki TRS  / Suzuki TRS</t>
  </si>
  <si>
    <t>118 cc</t>
  </si>
  <si>
    <t>TRS65511</t>
  </si>
  <si>
    <t>F101ID123124</t>
  </si>
  <si>
    <t>MH1JBE11XCK425005</t>
  </si>
  <si>
    <t>JBE1E1412822</t>
  </si>
  <si>
    <t>KH 4065 PY</t>
  </si>
  <si>
    <t>I-10729975 M</t>
  </si>
  <si>
    <t xml:space="preserve"> Kec. Hanau</t>
  </si>
  <si>
    <t>MH1KC2110CK064559</t>
  </si>
  <si>
    <t>KC21E1064432</t>
  </si>
  <si>
    <t>KH 4087 PY</t>
  </si>
  <si>
    <t>I-10731511 M</t>
  </si>
  <si>
    <t>MH1JFT118HK087152</t>
  </si>
  <si>
    <t>JFT1E1086543</t>
  </si>
  <si>
    <t>KH 4614 PY</t>
  </si>
  <si>
    <t>M 12805855 M</t>
  </si>
  <si>
    <t>KEC. HANAU</t>
  </si>
  <si>
    <t>MH1KC5217HK357818</t>
  </si>
  <si>
    <t>KC52E1354503</t>
  </si>
  <si>
    <t>KH 4629 PY</t>
  </si>
  <si>
    <t>M 12805870 M</t>
  </si>
  <si>
    <t>MH1KC021XJK036302</t>
  </si>
  <si>
    <t>KC02E1036207</t>
  </si>
  <si>
    <t>KH 4757 PY</t>
  </si>
  <si>
    <t>O02643628M</t>
  </si>
  <si>
    <t>TRISHEDA NS BS LD Kendaraan Roda Tiga / TRISHEDA NS BS LD Kendaraan Roda Tiga</t>
  </si>
  <si>
    <t>MGDT15MKTDJ006730</t>
  </si>
  <si>
    <t>162FMJD1710146</t>
  </si>
  <si>
    <t>KH 4269 PY</t>
  </si>
  <si>
    <t>L-00583615</t>
  </si>
  <si>
    <t>Kendaraan angkut sampah roda 3 sebanyak 6 unit</t>
  </si>
  <si>
    <t>MGDT15MKTDJ006770</t>
  </si>
  <si>
    <t>162FMJD1710189</t>
  </si>
  <si>
    <t>KH.4266 PY</t>
  </si>
  <si>
    <t>L-00583618</t>
  </si>
  <si>
    <t>MNBBSBE409W829362</t>
  </si>
  <si>
    <t>WLAT1126217</t>
  </si>
  <si>
    <t>KH 8049 PW</t>
  </si>
  <si>
    <t>G 3012888 M</t>
  </si>
  <si>
    <t>kecamatan seruyan hilir</t>
  </si>
  <si>
    <t>MR0KB8CD5R1221442</t>
  </si>
  <si>
    <t>2GDD384419</t>
  </si>
  <si>
    <t>KH 8238 PW</t>
  </si>
  <si>
    <t>U06710562M</t>
  </si>
  <si>
    <t>MH1JFS115FK106330</t>
  </si>
  <si>
    <t>JFS1E1104475</t>
  </si>
  <si>
    <t>KH 4392 PY</t>
  </si>
  <si>
    <t>L 06931775 M</t>
  </si>
  <si>
    <t>KECAMATAN</t>
  </si>
  <si>
    <t>Aerox / Aerox</t>
  </si>
  <si>
    <t>MH3564610JJ064495</t>
  </si>
  <si>
    <t>63ESIE-0133709</t>
  </si>
  <si>
    <t>KH 4901 PY</t>
  </si>
  <si>
    <t>Q04061619M</t>
  </si>
  <si>
    <t>Operasional PBB KP I</t>
  </si>
  <si>
    <t>Scoopy ESP / Scoopy ESP</t>
  </si>
  <si>
    <t>MH1JM3130KK067315</t>
  </si>
  <si>
    <t>JM31E3062532</t>
  </si>
  <si>
    <t>KH 4868 PY</t>
  </si>
  <si>
    <t>Q00400429M</t>
  </si>
  <si>
    <t>Operasional PBB KP II (Scoopy)</t>
  </si>
  <si>
    <t>MH1KC5217EK192459</t>
  </si>
  <si>
    <t>KC52E1190797</t>
  </si>
  <si>
    <t>KH 4284 PY</t>
  </si>
  <si>
    <t>L 04353748 M</t>
  </si>
  <si>
    <t>MHIJM3131KK111886</t>
  </si>
  <si>
    <t>JM31E3107244</t>
  </si>
  <si>
    <t>KH 4871 PY</t>
  </si>
  <si>
    <t>Q00400432M</t>
  </si>
  <si>
    <t>Operasional PBB KP II( Scoopy)</t>
  </si>
  <si>
    <t>Kawasaki Type D Traker / Kawasaki Type D Traker</t>
  </si>
  <si>
    <t>MH4LX150HLIP69379</t>
  </si>
  <si>
    <t>LX150CEWL2786</t>
  </si>
  <si>
    <t>KH 4968 PY</t>
  </si>
  <si>
    <t>Q08292758M</t>
  </si>
  <si>
    <t>Sepeda motor KP I</t>
  </si>
  <si>
    <t>MH1JFS110FK0820767</t>
  </si>
  <si>
    <t>JFS1E10788996</t>
  </si>
  <si>
    <t>KH 4376 PY</t>
  </si>
  <si>
    <t>L 06931759 M</t>
  </si>
  <si>
    <t>HONDA CB 150 R / HONDA CB 150 R</t>
  </si>
  <si>
    <t>MH1KCA210KK074466</t>
  </si>
  <si>
    <t>KCA2E1070113</t>
  </si>
  <si>
    <t>KH 4867 PY</t>
  </si>
  <si>
    <t>Q00400428M</t>
  </si>
  <si>
    <t>Operasional PBB KP II</t>
  </si>
  <si>
    <t>Kawasaki Type G Trail / Kawasaki Type G Trail</t>
  </si>
  <si>
    <t>MH4LXI50GLJP86438</t>
  </si>
  <si>
    <t>LX150CEWM5298</t>
  </si>
  <si>
    <t>KH 4967 PY</t>
  </si>
  <si>
    <t>Q08292756M</t>
  </si>
  <si>
    <t>sepeda motor KP I</t>
  </si>
  <si>
    <t>MH1KC5213DK032447</t>
  </si>
  <si>
    <t>KC52E1032679</t>
  </si>
  <si>
    <t>KH 4175 PY</t>
  </si>
  <si>
    <t>K-05623360 M</t>
  </si>
  <si>
    <t>MH3S64649KJO64544</t>
  </si>
  <si>
    <t>63J8E-0183758</t>
  </si>
  <si>
    <t>KH 4902 PY</t>
  </si>
  <si>
    <t>Q04061620M</t>
  </si>
  <si>
    <t>Kawasaki tipe G KLX 150 / Kawasaki tipe G KLX 150</t>
  </si>
  <si>
    <t>MH4LX150GLJP86427</t>
  </si>
  <si>
    <t>LX150CEWM5264</t>
  </si>
  <si>
    <t>KH 4966 PY</t>
  </si>
  <si>
    <t>Q08202757M</t>
  </si>
  <si>
    <t>sepeda motor KP II</t>
  </si>
  <si>
    <t>MH1JBE215CK194531</t>
  </si>
  <si>
    <t>JBE2E1191374</t>
  </si>
  <si>
    <t>KH 4054 PY</t>
  </si>
  <si>
    <t>I-10729964 M</t>
  </si>
  <si>
    <t>MH4LX150GLJP86424</t>
  </si>
  <si>
    <t>LX150CEWM5248</t>
  </si>
  <si>
    <t>KH 4969 PY</t>
  </si>
  <si>
    <t>Q08292759M</t>
  </si>
  <si>
    <t>MH1JBE211CK193005</t>
  </si>
  <si>
    <t>JBE2E1190753</t>
  </si>
  <si>
    <t>KH 4058 PY</t>
  </si>
  <si>
    <t>I-10729968 M</t>
  </si>
  <si>
    <t>SUZUKI FL 125 RCD SHOGUN RR - / SUZUKI FL 125 RCD SHOGUN RR -</t>
  </si>
  <si>
    <t>MH8BF45DAA1311005</t>
  </si>
  <si>
    <t>F496ID386139</t>
  </si>
  <si>
    <t>KH 2718 PY</t>
  </si>
  <si>
    <t>H 11011849 M</t>
  </si>
  <si>
    <t>KP,1</t>
  </si>
  <si>
    <t>MH1KC0218JK036329</t>
  </si>
  <si>
    <t>KC02E1036636</t>
  </si>
  <si>
    <t>KH 4745 PY</t>
  </si>
  <si>
    <t>O02643607M</t>
  </si>
  <si>
    <t>MH1KC0210JK034963</t>
  </si>
  <si>
    <t>KCO2E1035145</t>
  </si>
  <si>
    <t>KH 4759 PY</t>
  </si>
  <si>
    <t>O02643630M</t>
  </si>
  <si>
    <t>Mutasi (KP.2 )</t>
  </si>
  <si>
    <t>MH1JBN11XFK081132</t>
  </si>
  <si>
    <t>JBN1E1079316</t>
  </si>
  <si>
    <t>KH 4396 PY</t>
  </si>
  <si>
    <t>L 06937004 M</t>
  </si>
  <si>
    <t>MH1JBN118FK080870</t>
  </si>
  <si>
    <t>JBN1E1079063</t>
  </si>
  <si>
    <t>KH 4403 PY</t>
  </si>
  <si>
    <t>L 06937011 M</t>
  </si>
  <si>
    <t>MH1KC5210FK255709</t>
  </si>
  <si>
    <t>KC52E-1253669</t>
  </si>
  <si>
    <t>KH 4354 PY</t>
  </si>
  <si>
    <t>L 06930523 M</t>
  </si>
  <si>
    <t>MH1KC521BFK249740</t>
  </si>
  <si>
    <t>KC52E-1247536</t>
  </si>
  <si>
    <t>KH 4346 PY</t>
  </si>
  <si>
    <t>L 06930517 M</t>
  </si>
  <si>
    <t>MH1KD1117KK107297</t>
  </si>
  <si>
    <t>KD11E1106504</t>
  </si>
  <si>
    <t>KH 4877 PY</t>
  </si>
  <si>
    <t>Q00400478M</t>
  </si>
  <si>
    <t>SUZUKI APV ARENA GL MT / SUZUKI APV ARENA GL MT</t>
  </si>
  <si>
    <t>1493 CC</t>
  </si>
  <si>
    <t>MHYGDN42VD3380613</t>
  </si>
  <si>
    <t>615A1D293649</t>
  </si>
  <si>
    <t>KH 1091 PE</t>
  </si>
  <si>
    <t>K-03039796</t>
  </si>
  <si>
    <t>PENETAPAN NILAI DAN PENCATATAN ASET PERALATAN MESIN BERUPA MOBIL AMBULANCE (KELURAHAN KUALA PEMBUANG I)</t>
  </si>
  <si>
    <t>MJEC1JG43A50-03667</t>
  </si>
  <si>
    <t>W04DTRJ-12809</t>
  </si>
  <si>
    <t>KH 9510 PW</t>
  </si>
  <si>
    <t>H-11004917 M</t>
  </si>
  <si>
    <t>Operasional Angkutan Pedesaan Kec. Seruyan Hulu</t>
  </si>
  <si>
    <t>HILUX DOUBLE CABIN 2.4 E (4x4) DSL M/T / GUN25DCEM/T30</t>
  </si>
  <si>
    <t>MR0DB8CD8N0127094</t>
  </si>
  <si>
    <t>2GD 1313048</t>
  </si>
  <si>
    <t>KH 8216 PW</t>
  </si>
  <si>
    <t>T-02688169 M</t>
  </si>
  <si>
    <t>MH1KC211XCK064262</t>
  </si>
  <si>
    <t>KC21E1064061</t>
  </si>
  <si>
    <t>KH 4088 PY</t>
  </si>
  <si>
    <t>I-10731512 M</t>
  </si>
  <si>
    <t xml:space="preserve"> Kec. Seruyan Hulu</t>
  </si>
  <si>
    <t>SUZUKI TITAN  / SUZUKI TITAN</t>
  </si>
  <si>
    <t>115 CC</t>
  </si>
  <si>
    <t>MH8BE4DUAAJ142711</t>
  </si>
  <si>
    <t>E470-ID-147670</t>
  </si>
  <si>
    <t>KH 2721 PY</t>
  </si>
  <si>
    <t>70136438449</t>
  </si>
  <si>
    <t>MH1KC5215FK255124</t>
  </si>
  <si>
    <t>KC52E-1252845</t>
  </si>
  <si>
    <t>KH 4357 PY</t>
  </si>
  <si>
    <t>L  06930526 M</t>
  </si>
  <si>
    <t>CAMAT SULING TAMBUN</t>
  </si>
  <si>
    <t>MH1KC5216EK199368</t>
  </si>
  <si>
    <t>KC52E119741</t>
  </si>
  <si>
    <t>KH 4295 PY</t>
  </si>
  <si>
    <t>L 04354117 M</t>
  </si>
  <si>
    <t>MH3PF4D1DUAAGI42711</t>
  </si>
  <si>
    <t>E470/ID/159/671</t>
  </si>
  <si>
    <t>KH 2720 PY</t>
  </si>
  <si>
    <t>MH1KC521XFK255717</t>
  </si>
  <si>
    <t>KC52E1253615</t>
  </si>
  <si>
    <t>KH 4364 PY</t>
  </si>
  <si>
    <t>L 06930533 M</t>
  </si>
  <si>
    <t>PENYIMPAN BARANG (SERUYAN HULU)</t>
  </si>
  <si>
    <t>MH1KD1113JK039854</t>
  </si>
  <si>
    <t>KD11E1039296</t>
  </si>
  <si>
    <t>KH 4770 PY</t>
  </si>
  <si>
    <t>O02643641M</t>
  </si>
  <si>
    <t>Honda Nf 100  / Honda Nf 100</t>
  </si>
  <si>
    <t>MHIKEVA153K</t>
  </si>
  <si>
    <t>KEVAE-1469439</t>
  </si>
  <si>
    <t>KH 3045 PM</t>
  </si>
  <si>
    <t>C 9305121 M</t>
  </si>
  <si>
    <t>MRODS8CD7H0262930</t>
  </si>
  <si>
    <t>2KDU973375</t>
  </si>
  <si>
    <t>KH 8155 PW</t>
  </si>
  <si>
    <t>M 10655031 M</t>
  </si>
  <si>
    <t>KEC. BATU AMPAR</t>
  </si>
  <si>
    <t>MR0KB8CD8F1219682</t>
  </si>
  <si>
    <t>2GDD282631</t>
  </si>
  <si>
    <t>KH 8227 PW</t>
  </si>
  <si>
    <t>U-01952355 M</t>
  </si>
  <si>
    <t>Belanja Kendaraan Dinas Operasional Roda 4 (KH 8227 PW)</t>
  </si>
  <si>
    <t>MH1KD1116JK023812</t>
  </si>
  <si>
    <t>KD11E1023416</t>
  </si>
  <si>
    <t>KH 4772 PY</t>
  </si>
  <si>
    <t>O02643643M</t>
  </si>
  <si>
    <t>MH1KC0216JK032635</t>
  </si>
  <si>
    <t>KC02E1033100</t>
  </si>
  <si>
    <t>KH 4768 PY</t>
  </si>
  <si>
    <t>O02643639M</t>
  </si>
  <si>
    <t>MH1JBE110CK413445</t>
  </si>
  <si>
    <t>JBE1E1400868</t>
  </si>
  <si>
    <t>KH 4066 PY</t>
  </si>
  <si>
    <t>I-10729976 M</t>
  </si>
  <si>
    <t xml:space="preserve"> Kec. Batu Ampar</t>
  </si>
  <si>
    <t>MH1KC2116CK064548</t>
  </si>
  <si>
    <t>KC21E1064428</t>
  </si>
  <si>
    <t>KH 4090 PY</t>
  </si>
  <si>
    <t>I-10731514 M</t>
  </si>
  <si>
    <t>MH1KC5521FK280797</t>
  </si>
  <si>
    <t>KC52E-1278555</t>
  </si>
  <si>
    <t>KH 4438 PY</t>
  </si>
  <si>
    <t>L-06967190 M</t>
  </si>
  <si>
    <t>SEKRETARIS CAMAT (BATAM)</t>
  </si>
  <si>
    <t>MH1JFT119HK086270</t>
  </si>
  <si>
    <t>JFT1E 1085841</t>
  </si>
  <si>
    <t>KH 4617 PY</t>
  </si>
  <si>
    <t>M 12805858 M</t>
  </si>
  <si>
    <t>MH1JBE110CK390295</t>
  </si>
  <si>
    <t>JBE1E1385652</t>
  </si>
  <si>
    <t>KH 4062 PY</t>
  </si>
  <si>
    <t>I-10729972 M</t>
  </si>
  <si>
    <t>Kasi yansos(ERWIN SUPARDI)</t>
  </si>
  <si>
    <t>MH1KFA118RK254927</t>
  </si>
  <si>
    <t>KFA1E-1253473</t>
  </si>
  <si>
    <t>KH 5325 PY</t>
  </si>
  <si>
    <t>V-00171625 M</t>
  </si>
  <si>
    <t>M. ABDI RADHIYANIE, S.STP (Camat Seruyan Raya Kabupaten Seruyan)</t>
  </si>
  <si>
    <t>Honda Beat Sporty CBS ISS vin 2019 / Honda Beat Sporty CBS ISS vin 2019</t>
  </si>
  <si>
    <t>MH1JM1126KK385967</t>
  </si>
  <si>
    <t>JM11E2368160</t>
  </si>
  <si>
    <t>KH 4892 PY</t>
  </si>
  <si>
    <t>Q00400491M</t>
  </si>
  <si>
    <t>CAMAT (M.ABDI RADHIYANIE,S.STP)</t>
  </si>
  <si>
    <t>MH1JM1127KK386030</t>
  </si>
  <si>
    <t>JM11E2368235</t>
  </si>
  <si>
    <t>KH 4880 PY</t>
  </si>
  <si>
    <t>Q00400481M</t>
  </si>
  <si>
    <t>SEKCAM (ERLAWATI,S.Pi.,MM)</t>
  </si>
  <si>
    <t>MR0KB8CD1R1221275</t>
  </si>
  <si>
    <t>2GDD382729</t>
  </si>
  <si>
    <t>KH 8237 PW</t>
  </si>
  <si>
    <t>U06700573 M</t>
  </si>
  <si>
    <t>MH1KC521XEK200490</t>
  </si>
  <si>
    <t>KC52E1198471</t>
  </si>
  <si>
    <t>KH 4300 PY</t>
  </si>
  <si>
    <t>L 04354122 M</t>
  </si>
  <si>
    <t>ANANG DIRJO,SP /CAMAT D. SELULUK</t>
  </si>
  <si>
    <t>MH1JBE116CK409383</t>
  </si>
  <si>
    <t>JBE1E1400632</t>
  </si>
  <si>
    <t>KH 4077 PY</t>
  </si>
  <si>
    <t>I-10731501 M</t>
  </si>
  <si>
    <t xml:space="preserve"> Kec. Danau Seluluk</t>
  </si>
  <si>
    <t>MH1JBN117FK080665</t>
  </si>
  <si>
    <t>JBN1E1078785</t>
  </si>
  <si>
    <t>KH 4398 PY</t>
  </si>
  <si>
    <t>L 06937006 M</t>
  </si>
  <si>
    <t>CAMAT  SELULUK /ANANG DIRJO</t>
  </si>
  <si>
    <t>MH1KC2118CK064549</t>
  </si>
  <si>
    <t>KC21E1064374</t>
  </si>
  <si>
    <t>KH 4083 PY</t>
  </si>
  <si>
    <t>I-10731507 M</t>
  </si>
  <si>
    <t>MR0KB8CD8R1221676</t>
  </si>
  <si>
    <t>2GDD382937</t>
  </si>
  <si>
    <t>KH 8239 PW</t>
  </si>
  <si>
    <t>U06710563M</t>
  </si>
  <si>
    <t>MH1KC5211EK199231</t>
  </si>
  <si>
    <t>KC52E1197480</t>
  </si>
  <si>
    <t>KH 4283 PY</t>
  </si>
  <si>
    <t>L 04353747 M</t>
  </si>
  <si>
    <t>MH1JBE310DK299879</t>
  </si>
  <si>
    <t>JBE3E1294628</t>
  </si>
  <si>
    <t>KH 4209 PY</t>
  </si>
  <si>
    <t>K 08796086 M</t>
  </si>
  <si>
    <t>Kecamatan Seruyan Hilir Timur</t>
  </si>
  <si>
    <t>MH1JBE112CK418601</t>
  </si>
  <si>
    <t>JBE2E1411179</t>
  </si>
  <si>
    <t>KH 4064 PY</t>
  </si>
  <si>
    <t>I 10729974 M</t>
  </si>
  <si>
    <t xml:space="preserve"> Kec. Seruyan Hilir Timur</t>
  </si>
  <si>
    <t>MJECC1JG43A50-03668</t>
  </si>
  <si>
    <t>WO4DTRJ-12810</t>
  </si>
  <si>
    <t>KH 9509 PW</t>
  </si>
  <si>
    <t>H-11004916 M</t>
  </si>
  <si>
    <t>Operasional Angkutan Pedesaan untuk Kec. Suling Tambun</t>
  </si>
  <si>
    <t>MNBBSBE409W831193</t>
  </si>
  <si>
    <t>WLAT1129396</t>
  </si>
  <si>
    <t>KH 8048 PW</t>
  </si>
  <si>
    <t>G 3012881 M</t>
  </si>
  <si>
    <t>MR0DB8CD5N0126985</t>
  </si>
  <si>
    <t>2GD 1311968</t>
  </si>
  <si>
    <t>KH 8219 PW</t>
  </si>
  <si>
    <t>T-02688171 M</t>
  </si>
  <si>
    <t>MH8FD125XX4J127962</t>
  </si>
  <si>
    <t>F403-ID-126886</t>
  </si>
  <si>
    <t>KH 2090 PY</t>
  </si>
  <si>
    <t>D 9837367 M</t>
  </si>
  <si>
    <t>Sahakel/Puskesmas Tumbang Langkai</t>
  </si>
  <si>
    <t>MH1KC0213JK034942</t>
  </si>
  <si>
    <t>KC02E1034787</t>
  </si>
  <si>
    <t>KH 4767 PY</t>
  </si>
  <si>
    <t>O02643638M</t>
  </si>
  <si>
    <t>MH1KC5214HK353869</t>
  </si>
  <si>
    <t>KC52E1350344</t>
  </si>
  <si>
    <t>KH 4627 PY</t>
  </si>
  <si>
    <t>M 12805868 M</t>
  </si>
  <si>
    <t>KEC. SULING TAMBUN</t>
  </si>
  <si>
    <t>MH1JBE11XCK390370</t>
  </si>
  <si>
    <t>JBE1E1385768</t>
  </si>
  <si>
    <t>KH 4063 PY</t>
  </si>
  <si>
    <t>I-10729973 M</t>
  </si>
  <si>
    <t xml:space="preserve"> Kec. Suling Tambun</t>
  </si>
  <si>
    <t>MH1KC2112CK059170</t>
  </si>
  <si>
    <t>KC21E1059058</t>
  </si>
  <si>
    <t>KH 4084 PY</t>
  </si>
  <si>
    <t>I-10731508 M</t>
  </si>
  <si>
    <t>MH1KD1113JK038350</t>
  </si>
  <si>
    <t>KD11E1037758</t>
  </si>
  <si>
    <t>KH 4773 PY</t>
  </si>
  <si>
    <t>O02643644M</t>
  </si>
  <si>
    <t>Hyno / Hyno</t>
  </si>
  <si>
    <t>MJEC1J6X1K5036664</t>
  </si>
  <si>
    <t>W04DTPJ82148</t>
  </si>
  <si>
    <t>KH 7002 PU</t>
  </si>
  <si>
    <t>P-02943152</t>
  </si>
  <si>
    <t>Mobil Monilog</t>
  </si>
  <si>
    <t>Toyota</t>
  </si>
  <si>
    <t>Mobil Jabatan Eselon II</t>
  </si>
  <si>
    <t>ISUZU NMR 71T HD 6.1 / ISUZU NMR 71T HD 6.1</t>
  </si>
  <si>
    <t>04570</t>
  </si>
  <si>
    <t>CAMPUR</t>
  </si>
  <si>
    <t>MHCNMR71HGJ076015</t>
  </si>
  <si>
    <t>B076015</t>
  </si>
  <si>
    <t>B 9163 TQU</t>
  </si>
  <si>
    <t>TRUCK SERBAGUNA</t>
  </si>
  <si>
    <t>TOYOTA HILUX SC 2.0 L M/T / TOYOTA HILUX SC 2.0 L M/T</t>
  </si>
  <si>
    <t>MROEW8BB2F0200728</t>
  </si>
  <si>
    <t>1TR8835505</t>
  </si>
  <si>
    <t>KH 8131 PW</t>
  </si>
  <si>
    <t>L-06968286 M</t>
  </si>
  <si>
    <t>ISUZU MOBIL BARANG RESCUE / ISUZU MOBIL BARANG RESCUE</t>
  </si>
  <si>
    <t>MPATFS86JFT016142</t>
  </si>
  <si>
    <t>NC4284</t>
  </si>
  <si>
    <t>B 9203 TSC</t>
  </si>
  <si>
    <t>MOBIL BARANG DOUBLE KABIN ( HIBAH BNPB )</t>
  </si>
  <si>
    <t>MH4LX150GMJP88931</t>
  </si>
  <si>
    <t>LX150CEWP7921</t>
  </si>
  <si>
    <t>KH 5073 PY</t>
  </si>
  <si>
    <t>R-02937440</t>
  </si>
  <si>
    <t>MH4LX150GMJP89449</t>
  </si>
  <si>
    <t>LX150CEWR1786</t>
  </si>
  <si>
    <t>KH 5033 PY</t>
  </si>
  <si>
    <t>R-02937401</t>
  </si>
  <si>
    <t>MH4LX150GMJP89231</t>
  </si>
  <si>
    <t>LX150CEWR0651</t>
  </si>
  <si>
    <t>KH 5020 PY</t>
  </si>
  <si>
    <t>R-02937388</t>
  </si>
  <si>
    <t>MH4LX150GMJP89108</t>
  </si>
  <si>
    <t>LX150CEWR0019</t>
  </si>
  <si>
    <t>KH 5066 PY</t>
  </si>
  <si>
    <t>R-02937433</t>
  </si>
  <si>
    <t>MH4LX150GMJP89430</t>
  </si>
  <si>
    <t>LX150CEWR1439</t>
  </si>
  <si>
    <t>KH 5047 PY</t>
  </si>
  <si>
    <t>R-02937415</t>
  </si>
  <si>
    <t>MH4LX150GMJP88929</t>
  </si>
  <si>
    <t>LX150CEWP7923</t>
  </si>
  <si>
    <t>KH 5075 PY</t>
  </si>
  <si>
    <t>R-02937442</t>
  </si>
  <si>
    <t>MH4LX150GMJP89558</t>
  </si>
  <si>
    <t>LX150CEWR2658</t>
  </si>
  <si>
    <t>KH 5098 PY</t>
  </si>
  <si>
    <t>R-02937465</t>
  </si>
  <si>
    <t>MH4LX150GMJP89561</t>
  </si>
  <si>
    <t>LX150CEWR2655</t>
  </si>
  <si>
    <t>KH 5101 PY</t>
  </si>
  <si>
    <t>R-02937468</t>
  </si>
  <si>
    <t>MH4LX150GMJP89129</t>
  </si>
  <si>
    <t>LX150CEWP9788</t>
  </si>
  <si>
    <t>KH 5015 PY</t>
  </si>
  <si>
    <t>R-02937383</t>
  </si>
  <si>
    <t>MH4LX150GMJP89096</t>
  </si>
  <si>
    <t>LX150CEWP9638</t>
  </si>
  <si>
    <t>KH 5071 PY</t>
  </si>
  <si>
    <t>R-02937438</t>
  </si>
  <si>
    <t>MH4LX150GMJP89082</t>
  </si>
  <si>
    <t>LX150CEWP8587</t>
  </si>
  <si>
    <t>KH 5070 PY</t>
  </si>
  <si>
    <t>R-02937437</t>
  </si>
  <si>
    <t>MH4LX150GMJP89664</t>
  </si>
  <si>
    <t>LX150CEWR2477</t>
  </si>
  <si>
    <t>KH 5064 PY</t>
  </si>
  <si>
    <t>R-02937431</t>
  </si>
  <si>
    <t>MH4LX150GMJP89217</t>
  </si>
  <si>
    <t>LX150CEWR0215</t>
  </si>
  <si>
    <t>KH 5018 PY</t>
  </si>
  <si>
    <t>R-02937386</t>
  </si>
  <si>
    <t>MH4LX150GMJP89130</t>
  </si>
  <si>
    <t>LX150CEWP9791</t>
  </si>
  <si>
    <t>KH 5016 PY</t>
  </si>
  <si>
    <t>R-02937384</t>
  </si>
  <si>
    <t>MH4LX150GMJP89447</t>
  </si>
  <si>
    <t>LX150CEWR1774</t>
  </si>
  <si>
    <t>KH 5035 PY</t>
  </si>
  <si>
    <t>R-02937403</t>
  </si>
  <si>
    <t>MH1KD1116LK147128</t>
  </si>
  <si>
    <t>KD11E1146673</t>
  </si>
  <si>
    <t>KH 4932 PY</t>
  </si>
  <si>
    <t>Q-08281409</t>
  </si>
  <si>
    <t>MH1KD111XLK147200</t>
  </si>
  <si>
    <t>KD11E1146697</t>
  </si>
  <si>
    <t>KH 4934 PY</t>
  </si>
  <si>
    <t>Q-08281411</t>
  </si>
  <si>
    <t>MH1KD1110LK147514</t>
  </si>
  <si>
    <t>KD11E1146828</t>
  </si>
  <si>
    <t>KH 4935 PY</t>
  </si>
  <si>
    <t>Q-08281412</t>
  </si>
  <si>
    <t>MH1KD1113LK147166</t>
  </si>
  <si>
    <t>KD11E1146411</t>
  </si>
  <si>
    <t>KH 4940 PY</t>
  </si>
  <si>
    <t>Q-082881417</t>
  </si>
  <si>
    <t>MH1KD1115LK147587</t>
  </si>
  <si>
    <t>KD11E1146892</t>
  </si>
  <si>
    <t>KH 4938 PY</t>
  </si>
  <si>
    <t>Q-08281415</t>
  </si>
  <si>
    <t>MH1KD1110LK147478</t>
  </si>
  <si>
    <t>KD11E1146792</t>
  </si>
  <si>
    <t>KH 4936 PY</t>
  </si>
  <si>
    <t>Q-08281413</t>
  </si>
  <si>
    <t>MH1KD1111LK147473</t>
  </si>
  <si>
    <t>KD11E1146787</t>
  </si>
  <si>
    <t>KH 4917 PY</t>
  </si>
  <si>
    <t>Q-08278563</t>
  </si>
  <si>
    <t>MH1KD1119LK147155</t>
  </si>
  <si>
    <t>KD11E1146704</t>
  </si>
  <si>
    <t>KH 4928 PY</t>
  </si>
  <si>
    <t>Q-08280981</t>
  </si>
  <si>
    <t>MH1KD1114LK147659</t>
  </si>
  <si>
    <t>KD11E1146963</t>
  </si>
  <si>
    <t>KH 4946 PY</t>
  </si>
  <si>
    <t>Q-08281422</t>
  </si>
  <si>
    <t>MH1KD1116LK147632</t>
  </si>
  <si>
    <t>KD11E1146931</t>
  </si>
  <si>
    <t>KH 4945 PY</t>
  </si>
  <si>
    <t>Q-08281421</t>
  </si>
  <si>
    <t>MH1KD111XLK147679</t>
  </si>
  <si>
    <t>KD11E1146987</t>
  </si>
  <si>
    <t>KH 4942 PY</t>
  </si>
  <si>
    <t>Q-08281419</t>
  </si>
  <si>
    <t>MH1KD1112LK147174</t>
  </si>
  <si>
    <t>KD11E1146700</t>
  </si>
  <si>
    <t>KH 4941 PY</t>
  </si>
  <si>
    <t>Q-08281418</t>
  </si>
  <si>
    <t>MH1KD1112LK147157</t>
  </si>
  <si>
    <t>KD11E1146705</t>
  </si>
  <si>
    <t>KH 4915 PY</t>
  </si>
  <si>
    <t>Q-08278561</t>
  </si>
  <si>
    <t>MH1KD1113LK147684</t>
  </si>
  <si>
    <t>KD11E1146992</t>
  </si>
  <si>
    <t>KH 4914 PY</t>
  </si>
  <si>
    <t>Q-08278560</t>
  </si>
  <si>
    <t>MH1KD1116LK147579</t>
  </si>
  <si>
    <t>KD11E1146860</t>
  </si>
  <si>
    <t>KH 4937 PY</t>
  </si>
  <si>
    <t>Q-08281414</t>
  </si>
  <si>
    <t>MH1KD111XLK147665</t>
  </si>
  <si>
    <t>KD11E1146972</t>
  </si>
  <si>
    <t>KH 4939 PY</t>
  </si>
  <si>
    <t>Q-08281416</t>
  </si>
  <si>
    <t>MH1KD1113LK147667</t>
  </si>
  <si>
    <t>KD11E1146974</t>
  </si>
  <si>
    <t>KH 4943 PY</t>
  </si>
  <si>
    <t>Q-08281420</t>
  </si>
  <si>
    <t>MH1KD1118LK146255</t>
  </si>
  <si>
    <t>KD11E1145513</t>
  </si>
  <si>
    <t>KH 4919 PY</t>
  </si>
  <si>
    <t>Q-08278565</t>
  </si>
  <si>
    <t>MH4LX1506MJP89429</t>
  </si>
  <si>
    <t>KH 5048 PY</t>
  </si>
  <si>
    <t>R-02937416</t>
  </si>
  <si>
    <t>MH4LX1506MJP89125</t>
  </si>
  <si>
    <t>LX150CEWP9794</t>
  </si>
  <si>
    <t>KH 5011 PY</t>
  </si>
  <si>
    <t>R-02937379</t>
  </si>
  <si>
    <t>LX150CEWP9640</t>
  </si>
  <si>
    <t>KH 5069 PY</t>
  </si>
  <si>
    <t>R-02937436</t>
  </si>
  <si>
    <t>LX150CEWR2463</t>
  </si>
  <si>
    <t>KH 5097 PY</t>
  </si>
  <si>
    <t>R-02937464</t>
  </si>
  <si>
    <t>LX150CEWR1781</t>
  </si>
  <si>
    <t>KH 5037 PY</t>
  </si>
  <si>
    <t>R-02937405</t>
  </si>
  <si>
    <t>LX150CEWR2654</t>
  </si>
  <si>
    <t>KH 5100 PY</t>
  </si>
  <si>
    <t>R-02937467</t>
  </si>
  <si>
    <t>LX150CEWR2891</t>
  </si>
  <si>
    <t>KH 5002 PY</t>
  </si>
  <si>
    <t>R-02937371</t>
  </si>
  <si>
    <t>LX150CEWR2892</t>
  </si>
  <si>
    <t>KH 5003 PY</t>
  </si>
  <si>
    <t>R-02937372</t>
  </si>
  <si>
    <t>LX150CEWR0011</t>
  </si>
  <si>
    <t>KH 5067 PY</t>
  </si>
  <si>
    <t>R-02937434</t>
  </si>
  <si>
    <t>LX150CEWR0900</t>
  </si>
  <si>
    <t>KH 5058 PY</t>
  </si>
  <si>
    <t>R-02937425</t>
  </si>
  <si>
    <t>LX150CEWP9641</t>
  </si>
  <si>
    <t>KH 5068 PY</t>
  </si>
  <si>
    <t>R-02937435</t>
  </si>
  <si>
    <t>LX150CEWP8296</t>
  </si>
  <si>
    <t>KH 5072 PY</t>
  </si>
  <si>
    <t>R-02937439</t>
  </si>
  <si>
    <t>LX150CEWR0006</t>
  </si>
  <si>
    <t>KH 5074 PY</t>
  </si>
  <si>
    <t>R-02937441</t>
  </si>
  <si>
    <t>MH4LX1506MJP89424</t>
  </si>
  <si>
    <t>LX150CEWR1445</t>
  </si>
  <si>
    <t>KH 5053 PY</t>
  </si>
  <si>
    <t>R-02937420</t>
  </si>
  <si>
    <t>LX150CEWR1429</t>
  </si>
  <si>
    <t>KH 5040 PY</t>
  </si>
  <si>
    <t>R-02937408</t>
  </si>
  <si>
    <t>LX150CEWP9784</t>
  </si>
  <si>
    <t>KH 5065 PY</t>
  </si>
  <si>
    <t>R-02937432</t>
  </si>
  <si>
    <t>LX150CEWR1434</t>
  </si>
  <si>
    <t>KH 5049 PY</t>
  </si>
  <si>
    <t>R-02937417</t>
  </si>
  <si>
    <t>LX150CEWR1772</t>
  </si>
  <si>
    <t>KH 5027 PY</t>
  </si>
  <si>
    <t>R-02937395</t>
  </si>
  <si>
    <t>LX150CEWR1430</t>
  </si>
  <si>
    <t>KH 5044 PY</t>
  </si>
  <si>
    <t>R-02937412</t>
  </si>
  <si>
    <t>LX150CEWR2893</t>
  </si>
  <si>
    <t>KH 4998 PY</t>
  </si>
  <si>
    <t>R-02937369</t>
  </si>
  <si>
    <t>LX150CEWR2246</t>
  </si>
  <si>
    <t>KH 5004 PY</t>
  </si>
  <si>
    <t>R-02937373</t>
  </si>
  <si>
    <t>LX150CEWP9796</t>
  </si>
  <si>
    <t>KH 5086 PY</t>
  </si>
  <si>
    <t>R-02937453</t>
  </si>
  <si>
    <t>LX150CEWR1771</t>
  </si>
  <si>
    <t>KH 5031 PY</t>
  </si>
  <si>
    <t>R-02937399</t>
  </si>
  <si>
    <t>LX150CEWP9793</t>
  </si>
  <si>
    <t>KH 5009 PY</t>
  </si>
  <si>
    <t>R-02937377</t>
  </si>
  <si>
    <t>LX150CEWR2657</t>
  </si>
  <si>
    <t>KH 5007 PY</t>
  </si>
  <si>
    <t>R-02937375</t>
  </si>
  <si>
    <t>LX150CEWP9787</t>
  </si>
  <si>
    <t>KH5017 PY</t>
  </si>
  <si>
    <t>R-02937385</t>
  </si>
  <si>
    <t>LX150CEWP9780</t>
  </si>
  <si>
    <t>KH 5010 PY</t>
  </si>
  <si>
    <t>R-02937378</t>
  </si>
  <si>
    <t>LX150CEWP9790</t>
  </si>
  <si>
    <t>KH 5008 PY</t>
  </si>
  <si>
    <t>R-02937376</t>
  </si>
  <si>
    <t>LX150CEWR1432</t>
  </si>
  <si>
    <t>KH 5043 PY</t>
  </si>
  <si>
    <t>R-02937411</t>
  </si>
  <si>
    <t>LX150CEWR0253</t>
  </si>
  <si>
    <t>KH 5021 PY</t>
  </si>
  <si>
    <t>R-02937389</t>
  </si>
  <si>
    <t>LX150CEWR1482</t>
  </si>
  <si>
    <t>KH 5030 PY</t>
  </si>
  <si>
    <t>R-02937398</t>
  </si>
  <si>
    <t>LX150CEWR3367</t>
  </si>
  <si>
    <t>KH 5060 PY</t>
  </si>
  <si>
    <t>R-02937427</t>
  </si>
  <si>
    <t>LX150CEWP5164</t>
  </si>
  <si>
    <t>KH 5078 PY</t>
  </si>
  <si>
    <t>R-02937445</t>
  </si>
  <si>
    <t>LX150CEWR2461</t>
  </si>
  <si>
    <t>KH 5006 PY</t>
  </si>
  <si>
    <t>R-02937374</t>
  </si>
  <si>
    <t>LX150CEWR2652</t>
  </si>
  <si>
    <t>KH 5059 PY</t>
  </si>
  <si>
    <t>R-02937426</t>
  </si>
  <si>
    <t>LX150CEWR1427</t>
  </si>
  <si>
    <t>KH 5039 PY</t>
  </si>
  <si>
    <t>R-02937407</t>
  </si>
  <si>
    <t>LX150CEWR2650</t>
  </si>
  <si>
    <t>KH 5087 PY</t>
  </si>
  <si>
    <t>R-02937454</t>
  </si>
  <si>
    <t>LX150CEWR1468</t>
  </si>
  <si>
    <t>KH 5028 PY</t>
  </si>
  <si>
    <t>R-02937396</t>
  </si>
  <si>
    <t>LX150CEWP7937</t>
  </si>
  <si>
    <t>KH 5080 PY</t>
  </si>
  <si>
    <t>R-02937447</t>
  </si>
  <si>
    <t>LX150CEWR2474</t>
  </si>
  <si>
    <t>KH 5063 PY</t>
  </si>
  <si>
    <t>R-02937430</t>
  </si>
  <si>
    <t>MH4LX1506MJP89219</t>
  </si>
  <si>
    <t>LX150CEWR0210</t>
  </si>
  <si>
    <t>KH 5019 PY</t>
  </si>
  <si>
    <t>R-02937387</t>
  </si>
  <si>
    <t>000081</t>
  </si>
  <si>
    <t>LX150CEWR2465</t>
  </si>
  <si>
    <t>KH 5095 PY</t>
  </si>
  <si>
    <t>R-02937462</t>
  </si>
  <si>
    <t>LX150CEWR1437</t>
  </si>
  <si>
    <t>KH 5046 PY</t>
  </si>
  <si>
    <t>R-02937414</t>
  </si>
  <si>
    <t>LX150CEWR1443</t>
  </si>
  <si>
    <t>KH 5052 PY</t>
  </si>
  <si>
    <t>R-02937419</t>
  </si>
  <si>
    <t>LX150CEWR2471</t>
  </si>
  <si>
    <t>KH 5093 PY</t>
  </si>
  <si>
    <t>R-02937460</t>
  </si>
  <si>
    <t>LX150CEWR1435</t>
  </si>
  <si>
    <t>KH 5045 PY</t>
  </si>
  <si>
    <t>R-02937413</t>
  </si>
  <si>
    <t>000086</t>
  </si>
  <si>
    <t>LX150CEWR0901</t>
  </si>
  <si>
    <t>KH 5057 PY</t>
  </si>
  <si>
    <t>R-02937424</t>
  </si>
  <si>
    <t>LX150CEWR0674</t>
  </si>
  <si>
    <t>KH 5022 PY</t>
  </si>
  <si>
    <t>R-02937390</t>
  </si>
  <si>
    <t>000088</t>
  </si>
  <si>
    <t>LX150CEWR3088</t>
  </si>
  <si>
    <t>KH 5062 PY</t>
  </si>
  <si>
    <t>R-02937429</t>
  </si>
  <si>
    <t>LX150CEWP9799</t>
  </si>
  <si>
    <t>KH 5012 PY</t>
  </si>
  <si>
    <t>R-02937380</t>
  </si>
  <si>
    <t>LX150CEWR1783</t>
  </si>
  <si>
    <t>KH 5032 PY</t>
  </si>
  <si>
    <t>R-02937400</t>
  </si>
  <si>
    <t>LX150CEWR1469</t>
  </si>
  <si>
    <t>KH 5029 PY</t>
  </si>
  <si>
    <t>R-02937397</t>
  </si>
  <si>
    <t>LX150CEWR1779</t>
  </si>
  <si>
    <t>KH 5036 PY</t>
  </si>
  <si>
    <t>R-02937404</t>
  </si>
  <si>
    <t>LX150CEWP9792</t>
  </si>
  <si>
    <t>KH 5013 PY</t>
  </si>
  <si>
    <t>R-02937381</t>
  </si>
  <si>
    <t>KD11E1082011</t>
  </si>
  <si>
    <t>KH 4835 PY</t>
  </si>
  <si>
    <t>P-06104314</t>
  </si>
  <si>
    <t>Motor Trail</t>
  </si>
  <si>
    <t>KD11E1081982</t>
  </si>
  <si>
    <t>KH 4843 PY</t>
  </si>
  <si>
    <t>P-06104322</t>
  </si>
  <si>
    <t>KD11E1082226</t>
  </si>
  <si>
    <t>KH 4830 PY</t>
  </si>
  <si>
    <t>P-06104309</t>
  </si>
  <si>
    <t>KD11E1082027</t>
  </si>
  <si>
    <t>KH 4836 PY</t>
  </si>
  <si>
    <t>P-06104315</t>
  </si>
  <si>
    <t>LX150CEWR1780</t>
  </si>
  <si>
    <t>KH 5038 PY</t>
  </si>
  <si>
    <t>R-02937406</t>
  </si>
  <si>
    <t>LX150CEWR1104</t>
  </si>
  <si>
    <t>KH 5055 PY</t>
  </si>
  <si>
    <t>R-02937422</t>
  </si>
  <si>
    <t>LX150CEWR2470</t>
  </si>
  <si>
    <t>KH 5091 PY</t>
  </si>
  <si>
    <t>R-02937458</t>
  </si>
  <si>
    <t>LX150CEWP8316</t>
  </si>
  <si>
    <t>KH 5076 PY</t>
  </si>
  <si>
    <t>R-02937443</t>
  </si>
  <si>
    <t>LX150CEWP6126</t>
  </si>
  <si>
    <t>KH 5081 PY</t>
  </si>
  <si>
    <t>R-02937448</t>
  </si>
  <si>
    <t>MH1JF3117AK176796</t>
  </si>
  <si>
    <t>JF71E0175993</t>
  </si>
  <si>
    <t>KH 2648 PY</t>
  </si>
  <si>
    <t>H-06859657 M</t>
  </si>
  <si>
    <t>penanggulangan bencana</t>
  </si>
  <si>
    <t>000106</t>
  </si>
  <si>
    <t>MH8BF45DA8J-209141</t>
  </si>
  <si>
    <t>F496-ID-258042</t>
  </si>
  <si>
    <t>KH 2513 PY</t>
  </si>
  <si>
    <t>F 4847951 M</t>
  </si>
  <si>
    <t>Shogun Hitam Biru</t>
  </si>
  <si>
    <t>000107</t>
  </si>
  <si>
    <t>KD11E1083666</t>
  </si>
  <si>
    <t>KH 4849 PY</t>
  </si>
  <si>
    <t>P-06104327</t>
  </si>
  <si>
    <t>000108</t>
  </si>
  <si>
    <t>KD11E1082004</t>
  </si>
  <si>
    <t>KH 4850 PY</t>
  </si>
  <si>
    <t>P-06104328</t>
  </si>
  <si>
    <t>KD11E1082006</t>
  </si>
  <si>
    <t>KH 4840 PY</t>
  </si>
  <si>
    <t>P-06104319</t>
  </si>
  <si>
    <t>KD11E1081988</t>
  </si>
  <si>
    <t>KH 4842 PY</t>
  </si>
  <si>
    <t>P-06104321</t>
  </si>
  <si>
    <t>KD11E1083658</t>
  </si>
  <si>
    <t>KH 4846 PY</t>
  </si>
  <si>
    <t>P-06104324</t>
  </si>
  <si>
    <t>KD11E1082213</t>
  </si>
  <si>
    <t>KH 4831 PY</t>
  </si>
  <si>
    <t>P-06104310</t>
  </si>
  <si>
    <t>KD11E1082010</t>
  </si>
  <si>
    <t>KH 4841 PY</t>
  </si>
  <si>
    <t>P-06104320</t>
  </si>
  <si>
    <t>KD11E1082002</t>
  </si>
  <si>
    <t>KH 4839 PY</t>
  </si>
  <si>
    <t>P-06104318</t>
  </si>
  <si>
    <t>MH1KD1118KK082930</t>
  </si>
  <si>
    <t>KD11E1082216</t>
  </si>
  <si>
    <t>KH 4847 PY</t>
  </si>
  <si>
    <t>P-06104325</t>
  </si>
  <si>
    <t>KD11E1083585</t>
  </si>
  <si>
    <t>KH 4848 PY</t>
  </si>
  <si>
    <t>P-06104326</t>
  </si>
  <si>
    <t>KD11E1082219</t>
  </si>
  <si>
    <t>KH 4845 PY</t>
  </si>
  <si>
    <t>P-06104323</t>
  </si>
  <si>
    <t>KD11E1081995</t>
  </si>
  <si>
    <t>KH 4838 PY</t>
  </si>
  <si>
    <t>P-06104317</t>
  </si>
  <si>
    <t>KD11E1082024</t>
  </si>
  <si>
    <t>KH 4833 PY</t>
  </si>
  <si>
    <t>P-06104312</t>
  </si>
  <si>
    <t>000120</t>
  </si>
  <si>
    <t>KD11E1083672</t>
  </si>
  <si>
    <t>KH 4837 PY</t>
  </si>
  <si>
    <t>P-06104316</t>
  </si>
  <si>
    <t>KD11E1146417</t>
  </si>
  <si>
    <t>KH 4933 PY</t>
  </si>
  <si>
    <t>Q-08281410</t>
  </si>
  <si>
    <t>000122</t>
  </si>
  <si>
    <t>KD11E1082018</t>
  </si>
  <si>
    <t>KH 4834 PY</t>
  </si>
  <si>
    <t>P-06104313</t>
  </si>
  <si>
    <t>KD11E1082161</t>
  </si>
  <si>
    <t>KH 4832 PY</t>
  </si>
  <si>
    <t>P-06104311</t>
  </si>
  <si>
    <t>KAWASAKI KLX 150 S / KAWASAKI KLX 150 S</t>
  </si>
  <si>
    <t>MH4LX150CFJP27964</t>
  </si>
  <si>
    <t>LX150CEPM5037</t>
  </si>
  <si>
    <t>KH 2123 PY</t>
  </si>
  <si>
    <t>MOTOR TRAIL ( HIBAH BNPB ) ex B 6781 TQC</t>
  </si>
  <si>
    <t>LX150CEWR0924</t>
  </si>
  <si>
    <t>KH 5024 PY</t>
  </si>
  <si>
    <t>R-02937392</t>
  </si>
  <si>
    <t>LX150CEWR1785</t>
  </si>
  <si>
    <t>KH 5034 PY</t>
  </si>
  <si>
    <t>R-02937402</t>
  </si>
  <si>
    <t>LX150CEWR2648</t>
  </si>
  <si>
    <t>KH 5088 PY</t>
  </si>
  <si>
    <t>R-02937455</t>
  </si>
  <si>
    <t>LX150CEWR2643</t>
  </si>
  <si>
    <t>KH 5089 PY</t>
  </si>
  <si>
    <t>R-02937456</t>
  </si>
  <si>
    <t>LX150CEWR1773</t>
  </si>
  <si>
    <t>KH 5026 PY</t>
  </si>
  <si>
    <t>R-02937394</t>
  </si>
  <si>
    <t>LX150CEWR1442</t>
  </si>
  <si>
    <t>KH 5051 PY</t>
  </si>
  <si>
    <t>R-02937418</t>
  </si>
  <si>
    <t>LX150CEWP8315</t>
  </si>
  <si>
    <t>KH 5077 PY</t>
  </si>
  <si>
    <t>R-02937444</t>
  </si>
  <si>
    <t>LX150CEWP5166</t>
  </si>
  <si>
    <t>KH 5079 PY</t>
  </si>
  <si>
    <t>R-02937446</t>
  </si>
  <si>
    <t>LX150CEWP7511</t>
  </si>
  <si>
    <t>KH 5082 PY</t>
  </si>
  <si>
    <t>R-02937449</t>
  </si>
  <si>
    <t>000135</t>
  </si>
  <si>
    <t>LX150CEWP9782</t>
  </si>
  <si>
    <t>KH 5085 PY</t>
  </si>
  <si>
    <t>R-02937452</t>
  </si>
  <si>
    <t>000136</t>
  </si>
  <si>
    <t>LX150CEWR1467</t>
  </si>
  <si>
    <t>KH 5025 PY</t>
  </si>
  <si>
    <t>R-02937393</t>
  </si>
  <si>
    <t>000137</t>
  </si>
  <si>
    <t>LX150CEWR3084</t>
  </si>
  <si>
    <t>KH 5061 PY</t>
  </si>
  <si>
    <t>R-02937428</t>
  </si>
  <si>
    <t>000138</t>
  </si>
  <si>
    <t>LX150CEWR0202</t>
  </si>
  <si>
    <t>KH 5023 PY</t>
  </si>
  <si>
    <t>R-02937391</t>
  </si>
  <si>
    <t>000139</t>
  </si>
  <si>
    <t>LX150CEWR2642</t>
  </si>
  <si>
    <t>KH 5090 PY</t>
  </si>
  <si>
    <t>R-02937457</t>
  </si>
  <si>
    <t>000140</t>
  </si>
  <si>
    <t>LX150CEWR0906</t>
  </si>
  <si>
    <t>KH 5056 PY</t>
  </si>
  <si>
    <t>R-02937423</t>
  </si>
  <si>
    <t>000141</t>
  </si>
  <si>
    <t>LX150CEWR2894</t>
  </si>
  <si>
    <t>KH 5001 PY</t>
  </si>
  <si>
    <t>R-02937370</t>
  </si>
  <si>
    <t>000142</t>
  </si>
  <si>
    <t>LX150CEWR1446</t>
  </si>
  <si>
    <t>KH 5054 PY</t>
  </si>
  <si>
    <t>R-02937421</t>
  </si>
  <si>
    <t>000143</t>
  </si>
  <si>
    <t>LX150CEWR2641</t>
  </si>
  <si>
    <t>KH 5092 PY</t>
  </si>
  <si>
    <t>R-02937459</t>
  </si>
  <si>
    <t>000144</t>
  </si>
  <si>
    <t>LX150CEWR1428</t>
  </si>
  <si>
    <t>KH 5042 PY</t>
  </si>
  <si>
    <t>R-02937410</t>
  </si>
  <si>
    <t>000145</t>
  </si>
  <si>
    <t>LX150CEWR1431</t>
  </si>
  <si>
    <t>KH 5041 PY</t>
  </si>
  <si>
    <t>R-02937409</t>
  </si>
  <si>
    <t>000146</t>
  </si>
  <si>
    <t>MH4LX150GNJP92861</t>
  </si>
  <si>
    <t>LX150CEWV1328</t>
  </si>
  <si>
    <t>KH 5132 PY</t>
  </si>
  <si>
    <t>Motor Trail Operasional Karhutla</t>
  </si>
  <si>
    <t>000147</t>
  </si>
  <si>
    <t>KH 5133 PY</t>
  </si>
  <si>
    <t>000148</t>
  </si>
  <si>
    <t>KH 5134 PY</t>
  </si>
  <si>
    <t>KH 5135 PY</t>
  </si>
  <si>
    <t>KH 5136 PY</t>
  </si>
  <si>
    <t>000151</t>
  </si>
  <si>
    <t>KH 5137 PY</t>
  </si>
  <si>
    <t>000152</t>
  </si>
  <si>
    <t>KH 5138 PY</t>
  </si>
  <si>
    <t>000153</t>
  </si>
  <si>
    <t>KH 5139 PY</t>
  </si>
  <si>
    <t>000154</t>
  </si>
  <si>
    <t>KH 5140 PY</t>
  </si>
  <si>
    <t>000155</t>
  </si>
  <si>
    <t>KH 5141 PY</t>
  </si>
  <si>
    <t>000156</t>
  </si>
  <si>
    <t>KH 5142 PY</t>
  </si>
  <si>
    <t>000157</t>
  </si>
  <si>
    <t>KH 5143 PY</t>
  </si>
  <si>
    <t>000158</t>
  </si>
  <si>
    <t>KH 5144 PY</t>
  </si>
  <si>
    <t>000159</t>
  </si>
  <si>
    <t>KH 5145 PY</t>
  </si>
  <si>
    <t>000160</t>
  </si>
  <si>
    <t>KH 5146 PY</t>
  </si>
  <si>
    <t>000161</t>
  </si>
  <si>
    <t>KH 5147 PY</t>
  </si>
  <si>
    <t>000162</t>
  </si>
  <si>
    <t>KH 5148 PY</t>
  </si>
  <si>
    <t>000163</t>
  </si>
  <si>
    <t>KH 5149 PY</t>
  </si>
  <si>
    <t>000164</t>
  </si>
  <si>
    <t>KH 5150 PY</t>
  </si>
  <si>
    <t>000165</t>
  </si>
  <si>
    <t>KH 5151 PY</t>
  </si>
  <si>
    <t>000166</t>
  </si>
  <si>
    <t>KH 5152 PY</t>
  </si>
  <si>
    <t>000167</t>
  </si>
  <si>
    <t>KH 5153 PY</t>
  </si>
  <si>
    <t>000168</t>
  </si>
  <si>
    <t>KH 5154 PY</t>
  </si>
  <si>
    <t>000169</t>
  </si>
  <si>
    <t>KH 5156 PY</t>
  </si>
  <si>
    <t>000170</t>
  </si>
  <si>
    <t>KH 5157 PY</t>
  </si>
  <si>
    <t>000171</t>
  </si>
  <si>
    <t>KH 5158 PY</t>
  </si>
  <si>
    <t>000172</t>
  </si>
  <si>
    <t>KH 5159 PY</t>
  </si>
  <si>
    <t>000173</t>
  </si>
  <si>
    <t>KH 5160 PY</t>
  </si>
  <si>
    <t>000174</t>
  </si>
  <si>
    <t>KH 5161 PY</t>
  </si>
  <si>
    <t>000175</t>
  </si>
  <si>
    <t>KH 5162 PY</t>
  </si>
  <si>
    <t>000176</t>
  </si>
  <si>
    <t>KH 5163 PY</t>
  </si>
  <si>
    <t>000177</t>
  </si>
  <si>
    <t>KH 5164 PY</t>
  </si>
  <si>
    <t>000178</t>
  </si>
  <si>
    <t>KH 5165 PY</t>
  </si>
  <si>
    <t>000179</t>
  </si>
  <si>
    <t>KH 5166 PY</t>
  </si>
  <si>
    <t>000180</t>
  </si>
  <si>
    <t>KH 5167 PY</t>
  </si>
  <si>
    <t>000181</t>
  </si>
  <si>
    <t>KH 5168 PY</t>
  </si>
  <si>
    <t>000182</t>
  </si>
  <si>
    <t>KH 5169 PY</t>
  </si>
  <si>
    <t>000183</t>
  </si>
  <si>
    <t>KH 5170 PY</t>
  </si>
  <si>
    <t>000184</t>
  </si>
  <si>
    <t>KH 5171 PY</t>
  </si>
  <si>
    <t>000185</t>
  </si>
  <si>
    <t>KH 5172 PY</t>
  </si>
  <si>
    <t>000186</t>
  </si>
  <si>
    <t>KH 5173 PY</t>
  </si>
  <si>
    <t>000188</t>
  </si>
  <si>
    <t>KH 5175 PY</t>
  </si>
  <si>
    <t>000189</t>
  </si>
  <si>
    <t>KH 5176 PY</t>
  </si>
  <si>
    <t>000190</t>
  </si>
  <si>
    <t>KH 5177 PY</t>
  </si>
  <si>
    <t>000191</t>
  </si>
  <si>
    <t>KH 5178 PY</t>
  </si>
  <si>
    <t>000192</t>
  </si>
  <si>
    <t>KH 5179 PY</t>
  </si>
  <si>
    <t>000193</t>
  </si>
  <si>
    <t>KH 5180 PY</t>
  </si>
  <si>
    <t>000194</t>
  </si>
  <si>
    <t>KH 5181 PY</t>
  </si>
  <si>
    <t>000195</t>
  </si>
  <si>
    <t>KH 5182 PY</t>
  </si>
  <si>
    <t>000196 s/d 000200</t>
  </si>
  <si>
    <t>honda / metic</t>
  </si>
  <si>
    <t>Motor Honda ADV 160 CBS</t>
  </si>
  <si>
    <t>W04DTRR68862</t>
  </si>
  <si>
    <t>KH 9040 PW</t>
  </si>
  <si>
    <t>P-02943157</t>
  </si>
  <si>
    <t>Mobil Water Suplly</t>
  </si>
  <si>
    <t>4000 L</t>
  </si>
  <si>
    <t>MJEC1J643K5178919</t>
  </si>
  <si>
    <t>W04DTRR68855</t>
  </si>
  <si>
    <t>KH 9042 PW</t>
  </si>
  <si>
    <t>P-02943159</t>
  </si>
  <si>
    <t>W04DTRR68852</t>
  </si>
  <si>
    <t>KH 9039 PW</t>
  </si>
  <si>
    <t>P-02943147</t>
  </si>
  <si>
    <t>MJEC1J643K5178904</t>
  </si>
  <si>
    <t>W04DTRR68853</t>
  </si>
  <si>
    <t>KH 9041 PW</t>
  </si>
  <si>
    <t>P-02943158</t>
  </si>
  <si>
    <t>4D56UAX1774</t>
  </si>
  <si>
    <t>KH 9044 PW</t>
  </si>
  <si>
    <t>P-02943188</t>
  </si>
  <si>
    <t>Mobil Slip On</t>
  </si>
  <si>
    <t>4D56UAX2493</t>
  </si>
  <si>
    <t>KH 9043 PW</t>
  </si>
  <si>
    <t>P-02943187</t>
  </si>
  <si>
    <t>4D56UAX9210</t>
  </si>
  <si>
    <t>KH 9046 PW</t>
  </si>
  <si>
    <t>P-02943190</t>
  </si>
  <si>
    <t>MMBJNKL30KH058196</t>
  </si>
  <si>
    <t>4D56UBA0629</t>
  </si>
  <si>
    <t>KH 9066 PW</t>
  </si>
  <si>
    <t>Q-08265310</t>
  </si>
  <si>
    <t>2,5 LSC</t>
  </si>
  <si>
    <t>4D56UBA0367</t>
  </si>
  <si>
    <t>KH 8190 PW</t>
  </si>
  <si>
    <t>Q-08265308</t>
  </si>
  <si>
    <t>Belanja Modal Pengadaan Mobil Peralatan Triton</t>
  </si>
  <si>
    <t>DARLEY PUM HM 250 / DARLEY PUM HM 250</t>
  </si>
  <si>
    <t>W04DTRR78749</t>
  </si>
  <si>
    <t>KH 9069 PW</t>
  </si>
  <si>
    <t>Q-08265313</t>
  </si>
  <si>
    <t>Pengadaan Mobil Pemadam Kebakaran Karhutla</t>
  </si>
  <si>
    <t>W04DTRR78748</t>
  </si>
  <si>
    <t>KH 9068 PW</t>
  </si>
  <si>
    <t>Q-08265312</t>
  </si>
  <si>
    <t>W04DTRR78747</t>
  </si>
  <si>
    <t>KH 9067 PW</t>
  </si>
  <si>
    <t>Q-08265311</t>
  </si>
  <si>
    <t>W04DTRR78755</t>
  </si>
  <si>
    <t>KH 9070 PW</t>
  </si>
  <si>
    <t>Q-08265314</t>
  </si>
  <si>
    <t>HINO DUTRO 130 HD / HINO DUTRO 130 HD</t>
  </si>
  <si>
    <t>W04DTRR85945</t>
  </si>
  <si>
    <t>KH 8212 PW</t>
  </si>
  <si>
    <t>S-00388617</t>
  </si>
  <si>
    <t>Mobil Water Suply</t>
  </si>
  <si>
    <t>W04DTRR86070</t>
  </si>
  <si>
    <t>KH 8213 PW</t>
  </si>
  <si>
    <t>S-00388618</t>
  </si>
  <si>
    <t>W04DTRR85950</t>
  </si>
  <si>
    <t>KH 8211 PW</t>
  </si>
  <si>
    <t>S-00388616</t>
  </si>
  <si>
    <t>W04DTRR86023</t>
  </si>
  <si>
    <t>KH 8210 PW</t>
  </si>
  <si>
    <t>S-00388615</t>
  </si>
  <si>
    <t>W04DTRR86061</t>
  </si>
  <si>
    <t>KH 8209 PW</t>
  </si>
  <si>
    <t>S-00388614</t>
  </si>
  <si>
    <t>W04DTRR86071</t>
  </si>
  <si>
    <t>KH 8208 PW</t>
  </si>
  <si>
    <t>S-00388613</t>
  </si>
  <si>
    <t>W04DTRR86073</t>
  </si>
  <si>
    <t>KH 8207 PW</t>
  </si>
  <si>
    <t>S-00388612</t>
  </si>
  <si>
    <t>Dhaihatsu  / Grand Max</t>
  </si>
  <si>
    <t>1495 cc</t>
  </si>
  <si>
    <t>MHKP3FA1JNK002705</t>
  </si>
  <si>
    <t>ZNR G884136</t>
  </si>
  <si>
    <t>Mobil Pickup Fire Karhutla</t>
  </si>
  <si>
    <t>MHKP3FA1JNK002706</t>
  </si>
  <si>
    <t>ZNR G884072</t>
  </si>
  <si>
    <t>MHKP3FA1JNK005842</t>
  </si>
  <si>
    <t>ZNR G902906</t>
  </si>
  <si>
    <t>000026 s/d 000027</t>
  </si>
  <si>
    <t>Daihatsu</t>
  </si>
  <si>
    <t>Hino DutroHD / 4x2 MT</t>
  </si>
  <si>
    <t>MJECCB2FXR5022075</t>
  </si>
  <si>
    <t>N04CWYJ32046</t>
  </si>
  <si>
    <t>KH 9008 PW</t>
  </si>
  <si>
    <t>V-00023044</t>
  </si>
  <si>
    <t>Mobil Water Supply 5000 L</t>
  </si>
  <si>
    <t>000029 s/d 000031</t>
  </si>
  <si>
    <t>Hino DutroHD</t>
  </si>
  <si>
    <t>02.02.01.06.063</t>
  </si>
  <si>
    <t>Monilog (Mobil Logistik/ Personil)</t>
  </si>
  <si>
    <t>Mitsubishi</t>
  </si>
  <si>
    <t>Mobil peralatan dan personil</t>
  </si>
  <si>
    <t>02.02.01.06.086</t>
  </si>
  <si>
    <t>Mobil Patroli</t>
  </si>
  <si>
    <t>Double Cabin</t>
  </si>
  <si>
    <t>4N15UHN7779</t>
  </si>
  <si>
    <t>KH 8201 PW</t>
  </si>
  <si>
    <t>S-00388578</t>
  </si>
  <si>
    <t>Mobil Patroli Karhutla</t>
  </si>
  <si>
    <t>4N15UHN7387</t>
  </si>
  <si>
    <t>KH 8202 PW</t>
  </si>
  <si>
    <t>S-00388579</t>
  </si>
  <si>
    <t>4N15UHL7019</t>
  </si>
  <si>
    <t>KH 8199 PW</t>
  </si>
  <si>
    <t>S-00388577</t>
  </si>
  <si>
    <t>4N15UHN7631</t>
  </si>
  <si>
    <t>KH 8198 PW</t>
  </si>
  <si>
    <t>S-00388576</t>
  </si>
  <si>
    <t>4N15UHN7639</t>
  </si>
  <si>
    <t>KH 8196 PW</t>
  </si>
  <si>
    <t>S-00388574</t>
  </si>
  <si>
    <t>4N15UHL6910</t>
  </si>
  <si>
    <t>KH 8197 PW</t>
  </si>
  <si>
    <t>S-00388575</t>
  </si>
  <si>
    <t>4N15UHL7058</t>
  </si>
  <si>
    <t>KH 8195 PW</t>
  </si>
  <si>
    <t>S-00388573</t>
  </si>
  <si>
    <t>4N15UHL7079</t>
  </si>
  <si>
    <t>KH 8194 PW</t>
  </si>
  <si>
    <t>S-00388572</t>
  </si>
  <si>
    <t>4N15UHL7295</t>
  </si>
  <si>
    <t>KH 8192 PW</t>
  </si>
  <si>
    <t>S-00388570</t>
  </si>
  <si>
    <t>4N15UHL7060</t>
  </si>
  <si>
    <t>KH 8193 PW</t>
  </si>
  <si>
    <t>S-00388571</t>
  </si>
  <si>
    <t>4N15UHN7894</t>
  </si>
  <si>
    <t>KH 8204 PW</t>
  </si>
  <si>
    <t>-S-00388581</t>
  </si>
  <si>
    <t>MMBJJKL10MH040529</t>
  </si>
  <si>
    <t>4N15UHN7653</t>
  </si>
  <si>
    <t>KH 8205 PW</t>
  </si>
  <si>
    <t>S-00388582</t>
  </si>
  <si>
    <t>4N15UHN7484</t>
  </si>
  <si>
    <t>KH 8203 PW</t>
  </si>
  <si>
    <t>S-00388580</t>
  </si>
  <si>
    <t>Mitsubishi Exceed MT Double Cabin / Jeep Comando</t>
  </si>
  <si>
    <t>MMBJJKKL10NH089033</t>
  </si>
  <si>
    <t>4N15 UJP3571</t>
  </si>
  <si>
    <t>Mobil Komando Karhutla</t>
  </si>
  <si>
    <t>MHFXW41G7D0055698</t>
  </si>
  <si>
    <t>1TR 7494095</t>
  </si>
  <si>
    <t>KH 1171 PU</t>
  </si>
  <si>
    <t>K-02558277 M</t>
  </si>
  <si>
    <t>DINAS PEMADAM KEBAKARAN DAN PENYELAMATAN</t>
  </si>
  <si>
    <t>KIJANG INNOVA / 2.0 G MT</t>
  </si>
  <si>
    <t>MHFJW8EM6R2414919</t>
  </si>
  <si>
    <t>1TR B264225</t>
  </si>
  <si>
    <t>KH 1338 PU</t>
  </si>
  <si>
    <t>V-04726912</t>
  </si>
  <si>
    <t>124.7 CC</t>
  </si>
  <si>
    <t>MH1JFV112GK254373</t>
  </si>
  <si>
    <t>JFV1E-1253874</t>
  </si>
  <si>
    <t>KH 4442 PY</t>
  </si>
  <si>
    <t>L-06967194 M</t>
  </si>
  <si>
    <t>SUJAD /SATPOLL PP</t>
  </si>
  <si>
    <t>MH1JF3115AK176764</t>
  </si>
  <si>
    <t>JF31E0175955</t>
  </si>
  <si>
    <t>KH 2642 PY</t>
  </si>
  <si>
    <t>H-06859663 M</t>
  </si>
  <si>
    <t xml:space="preserve"> SATPOL PP</t>
  </si>
  <si>
    <t>Honda / BeAT SPORTY CBS</t>
  </si>
  <si>
    <t>MH1JM8123PK824140</t>
  </si>
  <si>
    <t>JM81E2822782</t>
  </si>
  <si>
    <t>KH 5253 PY</t>
  </si>
  <si>
    <t>U-01973500</t>
  </si>
  <si>
    <t>MH1JM8120PK808168</t>
  </si>
  <si>
    <t>JM81E2808442</t>
  </si>
  <si>
    <t>KH 5256 PY</t>
  </si>
  <si>
    <t>U-01973503</t>
  </si>
  <si>
    <t>MH1JM8129PK824207</t>
  </si>
  <si>
    <t>JM81E2822750</t>
  </si>
  <si>
    <t>KH 5255 PY</t>
  </si>
  <si>
    <t>U-01973502</t>
  </si>
  <si>
    <t>MH1JM8125PK795546</t>
  </si>
  <si>
    <t>JM81E2795520</t>
  </si>
  <si>
    <t>KH 5254 PY</t>
  </si>
  <si>
    <t>U-01973501</t>
  </si>
  <si>
    <t>MITSUBISHI COLT DIESEL FE74HD / MITSUBISHI COLT DIESEL FE74HD</t>
  </si>
  <si>
    <t>49126173256</t>
  </si>
  <si>
    <t>MHMFE74P57K009616</t>
  </si>
  <si>
    <t>4D34T-C33280</t>
  </si>
  <si>
    <t>KH 9501 PW</t>
  </si>
  <si>
    <t>E 6400709 M</t>
  </si>
  <si>
    <t>UPTD Damkar D. Sembuluh</t>
  </si>
  <si>
    <t>MITSUBISHI FE 74 HD M/T / MITSUBISHI FE 74 HD M/T</t>
  </si>
  <si>
    <t>40126173250</t>
  </si>
  <si>
    <t>MHMFE7457K004071</t>
  </si>
  <si>
    <t>4D34T C98364</t>
  </si>
  <si>
    <t>KH 9505 PW</t>
  </si>
  <si>
    <t>UPTD DAMKAR KEC. HANAU</t>
  </si>
  <si>
    <t>MITSUBSHI FESHD AYAXX JA 3000 LITER COLT DIESEL FE / MITSUBSHI FESHD AYAXX JA 3000 LITER COLT DIESEL</t>
  </si>
  <si>
    <t>MHMFE75P6FK035186</t>
  </si>
  <si>
    <t>4D34TL32269</t>
  </si>
  <si>
    <t>KH 9017 PW</t>
  </si>
  <si>
    <t>L-06967927 M</t>
  </si>
  <si>
    <t>MHMFE75P6FK035181</t>
  </si>
  <si>
    <t>4D34TL32253</t>
  </si>
  <si>
    <t>KH 9018 PW</t>
  </si>
  <si>
    <t>L- 06967926 M</t>
  </si>
  <si>
    <t>AYAXX  JA 4000 / AYAXX  JA 4000</t>
  </si>
  <si>
    <t>MJEC1JG43G5140088</t>
  </si>
  <si>
    <t>W04DTRR33649</t>
  </si>
  <si>
    <t>KH 8150 PW</t>
  </si>
  <si>
    <t>L 09742981 M</t>
  </si>
  <si>
    <t>KEC. SERUYAN RAYA</t>
  </si>
  <si>
    <t>AYAXX JA 6000 / AYAXX JA 6000</t>
  </si>
  <si>
    <t>7684 CC</t>
  </si>
  <si>
    <t>MJEFG8JJ1GJB11323</t>
  </si>
  <si>
    <t>J08EUGJ52125</t>
  </si>
  <si>
    <t>KH 8149 PW</t>
  </si>
  <si>
    <t>L 09742980 M</t>
  </si>
  <si>
    <t xml:space="preserve">Pengguna/Pemakai </t>
  </si>
  <si>
    <t>saya</t>
  </si>
  <si>
    <t>aku</t>
  </si>
  <si>
    <t>J U M L A H   T O T A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</si>
</sst>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"/>
    <numFmt numFmtId="165" formatCode="_(* #,##0.00_);_(* \(#,##0.00\);_(* &quot;-&quot;_);_(@_)"/>
    <numFmt numFmtId="166" formatCode="_-[$Rp-421]* #,##0.00_-;\-[$Rp-421]* #,##0.00_-;_-[$Rp-421]* &quot;-&quot;??_-;_-@"/>
    <numFmt numFmtId="167" formatCode="_(* #,##0.00_);_(* \(#,##0.00\);_(* &quot;-&quot;??_);_(@_)"/>
  </numFmts>
  <fonts count="30" x14ac:knownFonts="1">
    <font>
      <sz val="11"/>
      <color theme="1"/>
      <name val="Calibri"/>
      <scheme val="minor"/>
    </font>
    <font>
      <b/>
      <sz val="12"/>
      <color theme="1"/>
      <name val="Calibri"/>
    </font>
    <font>
      <sz val="1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theme="1"/>
      <name val="Calibri"/>
    </font>
    <font>
      <b/>
      <sz val="16"/>
      <color theme="1"/>
      <name val="Calibri"/>
    </font>
    <font>
      <b/>
      <sz val="11"/>
      <color theme="1"/>
      <name val="Calibri"/>
    </font>
    <font>
      <i/>
      <sz val="11"/>
      <color theme="1"/>
      <name val="Calibri"/>
    </font>
    <font>
      <sz val="11"/>
      <color rgb="FF000000"/>
      <name val="Arial"/>
    </font>
    <font>
      <sz val="11"/>
      <color rgb="FF000000"/>
      <name val="Calibri"/>
    </font>
    <font>
      <sz val="10"/>
      <color theme="1"/>
      <name val="Times New Roman"/>
    </font>
    <font>
      <sz val="11"/>
      <color theme="1"/>
      <name val="Calibri"/>
      <scheme val="minor"/>
    </font>
    <font>
      <sz val="11"/>
      <color theme="1"/>
      <name val="Times New Roman"/>
    </font>
    <font>
      <sz val="11"/>
      <color theme="1"/>
      <name val="Times New Roman"/>
    </font>
    <font>
      <sz val="12"/>
      <color rgb="FF000000"/>
      <name val="Calibri"/>
    </font>
    <font>
      <sz val="11"/>
      <color rgb="FF000000"/>
      <name val="ARIAL"/>
    </font>
    <font>
      <sz val="11"/>
      <color rgb="FF000000"/>
      <name val="Arial"/>
    </font>
    <font>
      <u/>
      <sz val="12"/>
      <color theme="1"/>
      <name val="Calibri"/>
    </font>
    <font>
      <sz val="11"/>
      <color rgb="FF000000"/>
      <name val="Calibri"/>
      <scheme val="minor"/>
    </font>
    <font>
      <sz val="11"/>
      <color rgb="FF000000"/>
      <name val="Cambria"/>
    </font>
    <font>
      <sz val="11"/>
      <color rgb="FF000000"/>
      <name val="Calibri"/>
    </font>
    <font>
      <b/>
      <sz val="11"/>
      <color rgb="FF000000"/>
      <name val="Calibri"/>
    </font>
    <font>
      <u/>
      <sz val="12"/>
      <color rgb="FF1155CC"/>
      <name val="Calibri"/>
    </font>
    <font>
      <b/>
      <sz val="11"/>
      <color theme="1"/>
      <name val="Calibri"/>
      <family val="2"/>
      <scheme val="minor"/>
    </font>
    <font>
      <b/>
      <sz val="12"/>
      <color theme="0"/>
      <name val="Calibri"/>
    </font>
    <font>
      <sz val="11"/>
      <color theme="0"/>
      <name val="Arial"/>
    </font>
    <font>
      <sz val="12"/>
      <color theme="0"/>
      <name val="Calibri"/>
    </font>
    <font>
      <sz val="11"/>
      <color theme="0"/>
      <name val="Calibri"/>
    </font>
    <font>
      <sz val="11"/>
      <color theme="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4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4">
    <xf numFmtId="0" fontId="0" fillId="0" borderId="0" xfId="0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top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4" fillId="0" borderId="0" xfId="0" applyFont="1" applyAlignment="1">
      <alignment horizontal="left"/>
    </xf>
    <xf numFmtId="0" fontId="4" fillId="0" borderId="9" xfId="0" applyFont="1" applyBorder="1" applyAlignment="1">
      <alignment horizontal="center" vertical="top"/>
    </xf>
    <xf numFmtId="0" fontId="4" fillId="0" borderId="9" xfId="0" applyFont="1" applyBorder="1" applyAlignment="1">
      <alignment vertical="top" wrapText="1"/>
    </xf>
    <xf numFmtId="0" fontId="4" fillId="0" borderId="9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164" fontId="4" fillId="0" borderId="9" xfId="0" applyNumberFormat="1" applyFont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 wrapText="1"/>
    </xf>
    <xf numFmtId="164" fontId="1" fillId="0" borderId="10" xfId="0" applyNumberFormat="1" applyFont="1" applyBorder="1" applyAlignment="1">
      <alignment horizontal="left" vertical="top"/>
    </xf>
    <xf numFmtId="165" fontId="1" fillId="0" borderId="10" xfId="0" applyNumberFormat="1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/>
    </xf>
    <xf numFmtId="164" fontId="4" fillId="0" borderId="9" xfId="0" applyNumberFormat="1" applyFont="1" applyBorder="1"/>
    <xf numFmtId="165" fontId="4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center"/>
    </xf>
    <xf numFmtId="164" fontId="4" fillId="0" borderId="0" xfId="0" applyNumberFormat="1" applyFont="1"/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top"/>
    </xf>
    <xf numFmtId="0" fontId="4" fillId="0" borderId="16" xfId="0" applyFont="1" applyBorder="1" applyAlignment="1">
      <alignment vertical="top" wrapText="1"/>
    </xf>
    <xf numFmtId="0" fontId="1" fillId="3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16" xfId="0" applyNumberFormat="1" applyFont="1" applyBorder="1" applyAlignment="1">
      <alignment vertical="top" wrapText="1"/>
    </xf>
    <xf numFmtId="0" fontId="1" fillId="0" borderId="17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1" fillId="3" borderId="18" xfId="0" applyFont="1" applyFill="1" applyBorder="1" applyAlignment="1">
      <alignment horizontal="center" vertical="top"/>
    </xf>
    <xf numFmtId="164" fontId="1" fillId="0" borderId="18" xfId="0" applyNumberFormat="1" applyFont="1" applyBorder="1" applyAlignment="1">
      <alignment horizontal="center" vertical="top"/>
    </xf>
    <xf numFmtId="0" fontId="1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0" fillId="0" borderId="20" xfId="0" applyFont="1" applyBorder="1" applyAlignment="1">
      <alignment horizontal="center" vertical="top" wrapText="1"/>
    </xf>
    <xf numFmtId="0" fontId="10" fillId="0" borderId="21" xfId="0" applyFont="1" applyBorder="1" applyAlignment="1">
      <alignment horizontal="left" vertical="top" wrapText="1"/>
    </xf>
    <xf numFmtId="3" fontId="10" fillId="0" borderId="21" xfId="0" applyNumberFormat="1" applyFont="1" applyBorder="1" applyAlignment="1">
      <alignment horizontal="center" vertical="top" wrapText="1"/>
    </xf>
    <xf numFmtId="1" fontId="10" fillId="0" borderId="21" xfId="0" applyNumberFormat="1" applyFont="1" applyBorder="1" applyAlignment="1">
      <alignment horizontal="left" vertical="top" wrapText="1"/>
    </xf>
    <xf numFmtId="0" fontId="10" fillId="0" borderId="21" xfId="0" applyFont="1" applyBorder="1" applyAlignment="1">
      <alignment horizontal="center" vertical="top" wrapText="1"/>
    </xf>
    <xf numFmtId="0" fontId="10" fillId="3" borderId="21" xfId="0" applyFont="1" applyFill="1" applyBorder="1" applyAlignment="1">
      <alignment horizontal="left" vertical="top" wrapText="1"/>
    </xf>
    <xf numFmtId="166" fontId="10" fillId="0" borderId="21" xfId="0" applyNumberFormat="1" applyFont="1" applyBorder="1" applyAlignment="1">
      <alignment horizontal="left" vertical="top" wrapText="1"/>
    </xf>
    <xf numFmtId="165" fontId="10" fillId="0" borderId="21" xfId="0" applyNumberFormat="1" applyFont="1" applyBorder="1" applyAlignment="1">
      <alignment horizontal="left" vertical="top" wrapText="1"/>
    </xf>
    <xf numFmtId="0" fontId="4" fillId="0" borderId="2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0" fillId="0" borderId="22" xfId="0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 wrapText="1"/>
    </xf>
    <xf numFmtId="3" fontId="10" fillId="0" borderId="23" xfId="0" applyNumberFormat="1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/>
    </xf>
    <xf numFmtId="164" fontId="4" fillId="0" borderId="16" xfId="0" applyNumberFormat="1" applyFont="1" applyBorder="1"/>
    <xf numFmtId="1" fontId="10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horizontal="center" vertical="top" wrapText="1"/>
    </xf>
    <xf numFmtId="0" fontId="10" fillId="3" borderId="23" xfId="0" applyFont="1" applyFill="1" applyBorder="1" applyAlignment="1">
      <alignment horizontal="left" vertical="top" wrapText="1"/>
    </xf>
    <xf numFmtId="166" fontId="10" fillId="0" borderId="23" xfId="0" applyNumberFormat="1" applyFont="1" applyBorder="1" applyAlignment="1">
      <alignment horizontal="left" vertical="top" wrapText="1"/>
    </xf>
    <xf numFmtId="165" fontId="10" fillId="0" borderId="23" xfId="0" applyNumberFormat="1" applyFont="1" applyBorder="1" applyAlignment="1">
      <alignment horizontal="left" vertical="top" wrapText="1"/>
    </xf>
    <xf numFmtId="0" fontId="4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top" wrapText="1"/>
    </xf>
    <xf numFmtId="0" fontId="3" fillId="0" borderId="23" xfId="0" applyFont="1" applyBorder="1" applyAlignment="1">
      <alignment horizontal="center" vertical="top" wrapText="1"/>
    </xf>
    <xf numFmtId="0" fontId="3" fillId="3" borderId="23" xfId="0" applyFont="1" applyFill="1" applyBorder="1" applyAlignment="1">
      <alignment horizontal="left" vertical="top" wrapText="1"/>
    </xf>
    <xf numFmtId="166" fontId="3" fillId="0" borderId="23" xfId="0" applyNumberFormat="1" applyFont="1" applyBorder="1" applyAlignment="1">
      <alignment horizontal="left" vertical="top" wrapText="1"/>
    </xf>
    <xf numFmtId="0" fontId="3" fillId="4" borderId="23" xfId="0" applyFont="1" applyFill="1" applyBorder="1" applyAlignment="1">
      <alignment horizontal="left" vertical="top" wrapText="1"/>
    </xf>
    <xf numFmtId="0" fontId="3" fillId="4" borderId="23" xfId="0" applyFont="1" applyFill="1" applyBorder="1" applyAlignment="1">
      <alignment horizontal="center" vertical="top" wrapText="1"/>
    </xf>
    <xf numFmtId="0" fontId="10" fillId="4" borderId="23" xfId="0" applyFont="1" applyFill="1" applyBorder="1" applyAlignment="1">
      <alignment horizontal="center" vertical="top" wrapText="1"/>
    </xf>
    <xf numFmtId="166" fontId="3" fillId="4" borderId="23" xfId="0" applyNumberFormat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horizontal="left" vertical="center" wrapText="1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165" fontId="7" fillId="0" borderId="0" xfId="0" applyNumberFormat="1" applyFont="1" applyAlignment="1">
      <alignment horizontal="left"/>
    </xf>
    <xf numFmtId="167" fontId="4" fillId="0" borderId="0" xfId="0" applyNumberFormat="1" applyFont="1"/>
    <xf numFmtId="0" fontId="4" fillId="0" borderId="24" xfId="0" applyFont="1" applyBorder="1" applyAlignment="1">
      <alignment horizontal="center" vertical="top"/>
    </xf>
    <xf numFmtId="0" fontId="4" fillId="0" borderId="24" xfId="0" applyFont="1" applyBorder="1" applyAlignment="1">
      <alignment vertical="top" wrapText="1"/>
    </xf>
    <xf numFmtId="0" fontId="4" fillId="0" borderId="24" xfId="0" applyFont="1" applyBorder="1" applyAlignment="1">
      <alignment horizontal="center" vertical="top" wrapText="1"/>
    </xf>
    <xf numFmtId="164" fontId="4" fillId="0" borderId="24" xfId="0" applyNumberFormat="1" applyFont="1" applyBorder="1" applyAlignment="1">
      <alignment vertical="top" wrapText="1"/>
    </xf>
    <xf numFmtId="164" fontId="4" fillId="0" borderId="24" xfId="0" applyNumberFormat="1" applyFont="1" applyBorder="1"/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vertical="center" wrapText="1"/>
    </xf>
    <xf numFmtId="164" fontId="4" fillId="0" borderId="7" xfId="0" applyNumberFormat="1" applyFont="1" applyBorder="1" applyAlignment="1">
      <alignment vertical="center"/>
    </xf>
    <xf numFmtId="164" fontId="4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left" vertical="center"/>
    </xf>
    <xf numFmtId="3" fontId="12" fillId="0" borderId="0" xfId="0" applyNumberFormat="1" applyFont="1" applyAlignment="1">
      <alignment horizontal="left"/>
    </xf>
    <xf numFmtId="0" fontId="12" fillId="0" borderId="0" xfId="0" applyFont="1"/>
    <xf numFmtId="0" fontId="12" fillId="3" borderId="0" xfId="0" applyFont="1" applyFill="1" applyAlignment="1">
      <alignment horizontal="center"/>
    </xf>
    <xf numFmtId="0" fontId="12" fillId="3" borderId="0" xfId="0" applyFont="1" applyFill="1"/>
    <xf numFmtId="0" fontId="11" fillId="0" borderId="1" xfId="0" applyFont="1" applyBorder="1" applyAlignment="1">
      <alignment horizontal="left" vertical="top" wrapText="1"/>
    </xf>
    <xf numFmtId="0" fontId="11" fillId="3" borderId="1" xfId="0" applyFont="1" applyFill="1" applyBorder="1" applyAlignment="1">
      <alignment horizontal="center" vertical="top" wrapText="1"/>
    </xf>
    <xf numFmtId="0" fontId="11" fillId="3" borderId="1" xfId="0" applyFont="1" applyFill="1" applyBorder="1" applyAlignment="1">
      <alignment horizontal="center" vertical="top"/>
    </xf>
    <xf numFmtId="0" fontId="3" fillId="0" borderId="25" xfId="0" applyFont="1" applyBorder="1" applyAlignment="1">
      <alignment horizontal="left" vertical="top" wrapText="1"/>
    </xf>
    <xf numFmtId="0" fontId="3" fillId="0" borderId="26" xfId="0" applyFont="1" applyBorder="1" applyAlignment="1">
      <alignment horizontal="left" vertical="top" wrapText="1"/>
    </xf>
    <xf numFmtId="0" fontId="3" fillId="0" borderId="27" xfId="0" applyFont="1" applyBorder="1" applyAlignment="1">
      <alignment horizontal="left" vertical="top" wrapText="1"/>
    </xf>
    <xf numFmtId="0" fontId="3" fillId="3" borderId="27" xfId="0" applyFont="1" applyFill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/>
    </xf>
    <xf numFmtId="0" fontId="13" fillId="0" borderId="7" xfId="0" applyFont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3" fontId="4" fillId="0" borderId="7" xfId="0" applyNumberFormat="1" applyFont="1" applyBorder="1" applyAlignment="1">
      <alignment horizontal="left"/>
    </xf>
    <xf numFmtId="0" fontId="14" fillId="0" borderId="7" xfId="0" applyFont="1" applyBorder="1" applyAlignment="1">
      <alignment horizontal="center" wrapText="1"/>
    </xf>
    <xf numFmtId="0" fontId="14" fillId="0" borderId="7" xfId="0" applyFont="1" applyBorder="1" applyAlignment="1">
      <alignment horizontal="center"/>
    </xf>
    <xf numFmtId="0" fontId="3" fillId="3" borderId="23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/>
    </xf>
    <xf numFmtId="0" fontId="4" fillId="0" borderId="23" xfId="0" applyFont="1" applyBorder="1" applyAlignment="1">
      <alignment vertical="center" wrapText="1"/>
    </xf>
    <xf numFmtId="0" fontId="3" fillId="3" borderId="0" xfId="0" applyFont="1" applyFill="1" applyAlignment="1">
      <alignment vertical="top"/>
    </xf>
    <xf numFmtId="0" fontId="15" fillId="0" borderId="7" xfId="0" applyFont="1" applyBorder="1" applyAlignment="1">
      <alignment horizontal="center" vertical="top"/>
    </xf>
    <xf numFmtId="0" fontId="3" fillId="0" borderId="23" xfId="0" quotePrefix="1" applyFont="1" applyBorder="1" applyAlignment="1">
      <alignment horizontal="left" vertical="top" wrapText="1"/>
    </xf>
    <xf numFmtId="0" fontId="15" fillId="0" borderId="23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 wrapText="1"/>
    </xf>
    <xf numFmtId="0" fontId="15" fillId="0" borderId="26" xfId="0" applyFont="1" applyBorder="1" applyAlignment="1">
      <alignment horizontal="center" vertical="top"/>
    </xf>
    <xf numFmtId="0" fontId="15" fillId="3" borderId="26" xfId="0" applyFont="1" applyFill="1" applyBorder="1" applyAlignment="1">
      <alignment horizontal="left" vertical="top"/>
    </xf>
    <xf numFmtId="0" fontId="15" fillId="5" borderId="26" xfId="0" applyFont="1" applyFill="1" applyBorder="1" applyAlignment="1">
      <alignment horizontal="left" vertical="top"/>
    </xf>
    <xf numFmtId="0" fontId="15" fillId="0" borderId="27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 wrapText="1"/>
    </xf>
    <xf numFmtId="0" fontId="15" fillId="0" borderId="28" xfId="0" applyFont="1" applyBorder="1" applyAlignment="1">
      <alignment horizontal="center" vertical="top"/>
    </xf>
    <xf numFmtId="0" fontId="15" fillId="3" borderId="28" xfId="0" applyFont="1" applyFill="1" applyBorder="1" applyAlignment="1">
      <alignment horizontal="left" vertical="top"/>
    </xf>
    <xf numFmtId="0" fontId="15" fillId="5" borderId="28" xfId="0" applyFont="1" applyFill="1" applyBorder="1" applyAlignment="1">
      <alignment horizontal="left" vertical="top"/>
    </xf>
    <xf numFmtId="0" fontId="15" fillId="3" borderId="28" xfId="0" quotePrefix="1" applyFont="1" applyFill="1" applyBorder="1" applyAlignment="1">
      <alignment horizontal="left" vertical="top"/>
    </xf>
    <xf numFmtId="0" fontId="15" fillId="0" borderId="29" xfId="0" applyFont="1" applyBorder="1" applyAlignment="1">
      <alignment horizontal="left" vertical="top"/>
    </xf>
    <xf numFmtId="0" fontId="15" fillId="0" borderId="30" xfId="0" applyFont="1" applyBorder="1" applyAlignment="1">
      <alignment horizontal="left" vertical="top"/>
    </xf>
    <xf numFmtId="0" fontId="15" fillId="0" borderId="30" xfId="0" applyFont="1" applyBorder="1" applyAlignment="1">
      <alignment horizontal="center" vertical="top"/>
    </xf>
    <xf numFmtId="0" fontId="15" fillId="0" borderId="30" xfId="0" applyFont="1" applyBorder="1" applyAlignment="1">
      <alignment horizontal="left" vertical="top" wrapText="1"/>
    </xf>
    <xf numFmtId="0" fontId="16" fillId="0" borderId="7" xfId="0" applyFont="1" applyBorder="1" applyAlignment="1">
      <alignment vertical="top"/>
    </xf>
    <xf numFmtId="0" fontId="3" fillId="0" borderId="7" xfId="0" applyFont="1" applyBorder="1" applyAlignment="1">
      <alignment horizontal="center" vertical="top" wrapText="1"/>
    </xf>
    <xf numFmtId="0" fontId="17" fillId="5" borderId="7" xfId="0" applyFont="1" applyFill="1" applyBorder="1" applyAlignment="1">
      <alignment vertical="top" wrapText="1"/>
    </xf>
    <xf numFmtId="0" fontId="16" fillId="5" borderId="7" xfId="0" applyFont="1" applyFill="1" applyBorder="1" applyAlignment="1">
      <alignment horizontal="center" vertical="top"/>
    </xf>
    <xf numFmtId="0" fontId="16" fillId="5" borderId="7" xfId="0" applyFont="1" applyFill="1" applyBorder="1" applyAlignment="1">
      <alignment vertical="top"/>
    </xf>
    <xf numFmtId="0" fontId="16" fillId="5" borderId="31" xfId="0" applyFont="1" applyFill="1" applyBorder="1" applyAlignment="1">
      <alignment horizontal="center" vertical="top"/>
    </xf>
    <xf numFmtId="0" fontId="16" fillId="5" borderId="0" xfId="0" applyFont="1" applyFill="1" applyAlignment="1">
      <alignment vertical="top"/>
    </xf>
    <xf numFmtId="0" fontId="15" fillId="5" borderId="23" xfId="0" applyFont="1" applyFill="1" applyBorder="1" applyAlignment="1">
      <alignment horizontal="left" vertical="top"/>
    </xf>
    <xf numFmtId="0" fontId="17" fillId="0" borderId="7" xfId="0" applyFont="1" applyBorder="1" applyAlignment="1">
      <alignment vertical="top" wrapText="1"/>
    </xf>
    <xf numFmtId="0" fontId="16" fillId="0" borderId="7" xfId="0" applyFont="1" applyBorder="1" applyAlignment="1">
      <alignment horizontal="center" vertical="top"/>
    </xf>
    <xf numFmtId="0" fontId="16" fillId="5" borderId="3" xfId="0" applyFont="1" applyFill="1" applyBorder="1" applyAlignment="1">
      <alignment horizontal="center" vertical="top"/>
    </xf>
    <xf numFmtId="0" fontId="15" fillId="0" borderId="23" xfId="0" applyFont="1" applyBorder="1" applyAlignment="1">
      <alignment horizontal="center" vertical="top"/>
    </xf>
    <xf numFmtId="0" fontId="3" fillId="5" borderId="23" xfId="0" applyFont="1" applyFill="1" applyBorder="1" applyAlignment="1">
      <alignment horizontal="left" vertical="top" wrapText="1"/>
    </xf>
    <xf numFmtId="0" fontId="16" fillId="0" borderId="0" xfId="0" applyFont="1" applyAlignment="1">
      <alignment vertical="top"/>
    </xf>
    <xf numFmtId="0" fontId="16" fillId="3" borderId="0" xfId="0" applyFont="1" applyFill="1" applyAlignment="1">
      <alignment vertical="top"/>
    </xf>
    <xf numFmtId="0" fontId="16" fillId="5" borderId="7" xfId="0" applyFont="1" applyFill="1" applyBorder="1" applyAlignment="1">
      <alignment vertical="top" wrapText="1"/>
    </xf>
    <xf numFmtId="0" fontId="3" fillId="3" borderId="23" xfId="0" quotePrefix="1" applyFont="1" applyFill="1" applyBorder="1" applyAlignment="1">
      <alignment horizontal="left" vertical="top" wrapText="1"/>
    </xf>
    <xf numFmtId="0" fontId="3" fillId="0" borderId="27" xfId="0" applyFont="1" applyBorder="1" applyAlignment="1">
      <alignment horizontal="center" vertical="top" wrapText="1"/>
    </xf>
    <xf numFmtId="0" fontId="18" fillId="0" borderId="23" xfId="0" applyFont="1" applyBorder="1" applyAlignment="1">
      <alignment horizontal="left" vertical="top" wrapText="1"/>
    </xf>
    <xf numFmtId="0" fontId="3" fillId="4" borderId="23" xfId="0" quotePrefix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12" fillId="4" borderId="0" xfId="0" applyFont="1" applyFill="1"/>
    <xf numFmtId="0" fontId="10" fillId="3" borderId="23" xfId="0" applyFont="1" applyFill="1" applyBorder="1" applyAlignment="1">
      <alignment horizontal="center" vertical="top" wrapText="1"/>
    </xf>
    <xf numFmtId="166" fontId="3" fillId="3" borderId="23" xfId="0" applyNumberFormat="1" applyFont="1" applyFill="1" applyBorder="1" applyAlignment="1">
      <alignment horizontal="left" vertical="top" wrapText="1"/>
    </xf>
    <xf numFmtId="0" fontId="4" fillId="3" borderId="23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15" fillId="0" borderId="16" xfId="0" applyFont="1" applyBorder="1" applyAlignment="1">
      <alignment horizontal="left" vertical="top"/>
    </xf>
    <xf numFmtId="0" fontId="15" fillId="0" borderId="32" xfId="0" applyFont="1" applyBorder="1" applyAlignment="1">
      <alignment horizontal="left" vertical="top"/>
    </xf>
    <xf numFmtId="0" fontId="3" fillId="6" borderId="23" xfId="0" applyFont="1" applyFill="1" applyBorder="1" applyAlignment="1">
      <alignment horizontal="left" vertical="top" wrapText="1"/>
    </xf>
    <xf numFmtId="0" fontId="3" fillId="6" borderId="23" xfId="0" applyFont="1" applyFill="1" applyBorder="1" applyAlignment="1">
      <alignment horizontal="center" vertical="top" wrapText="1"/>
    </xf>
    <xf numFmtId="0" fontId="10" fillId="6" borderId="23" xfId="0" applyFont="1" applyFill="1" applyBorder="1" applyAlignment="1">
      <alignment horizontal="center" vertical="top" wrapText="1"/>
    </xf>
    <xf numFmtId="166" fontId="3" fillId="6" borderId="23" xfId="0" applyNumberFormat="1" applyFont="1" applyFill="1" applyBorder="1" applyAlignment="1">
      <alignment horizontal="left" vertical="top" wrapText="1"/>
    </xf>
    <xf numFmtId="0" fontId="4" fillId="6" borderId="23" xfId="0" applyFont="1" applyFill="1" applyBorder="1" applyAlignment="1">
      <alignment vertical="center" wrapText="1"/>
    </xf>
    <xf numFmtId="0" fontId="4" fillId="6" borderId="0" xfId="0" applyFont="1" applyFill="1" applyAlignment="1">
      <alignment horizontal="center" vertical="center"/>
    </xf>
    <xf numFmtId="0" fontId="12" fillId="6" borderId="0" xfId="0" applyFont="1" applyFill="1"/>
    <xf numFmtId="0" fontId="15" fillId="0" borderId="23" xfId="0" applyFont="1" applyBorder="1" applyAlignment="1">
      <alignment horizontal="left" vertical="top" wrapText="1"/>
    </xf>
    <xf numFmtId="0" fontId="15" fillId="0" borderId="23" xfId="0" applyFont="1" applyBorder="1" applyAlignment="1">
      <alignment horizontal="center" vertical="top" wrapText="1"/>
    </xf>
    <xf numFmtId="0" fontId="15" fillId="3" borderId="23" xfId="0" applyFont="1" applyFill="1" applyBorder="1" applyAlignment="1">
      <alignment horizontal="left" vertical="top" wrapText="1"/>
    </xf>
    <xf numFmtId="166" fontId="15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9" fillId="0" borderId="0" xfId="0" applyFont="1"/>
    <xf numFmtId="0" fontId="16" fillId="3" borderId="7" xfId="0" applyFont="1" applyFill="1" applyBorder="1" applyAlignment="1">
      <alignment vertical="top"/>
    </xf>
    <xf numFmtId="0" fontId="3" fillId="0" borderId="23" xfId="0" quotePrefix="1" applyFont="1" applyBorder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1" fillId="3" borderId="7" xfId="0" applyFont="1" applyFill="1" applyBorder="1" applyAlignment="1">
      <alignment horizontal="center" vertical="top"/>
    </xf>
    <xf numFmtId="0" fontId="21" fillId="0" borderId="0" xfId="0" applyFont="1" applyAlignment="1">
      <alignment horizontal="center"/>
    </xf>
    <xf numFmtId="0" fontId="3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left" vertical="center"/>
    </xf>
    <xf numFmtId="0" fontId="10" fillId="5" borderId="33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left" vertical="center" wrapText="1"/>
    </xf>
    <xf numFmtId="0" fontId="10" fillId="0" borderId="23" xfId="0" applyFont="1" applyBorder="1" applyAlignment="1">
      <alignment horizontal="center" vertical="center" wrapText="1"/>
    </xf>
    <xf numFmtId="166" fontId="3" fillId="0" borderId="23" xfId="0" applyNumberFormat="1" applyFont="1" applyBorder="1" applyAlignment="1">
      <alignment horizontal="left" vertical="center" wrapText="1"/>
    </xf>
    <xf numFmtId="0" fontId="10" fillId="5" borderId="16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center"/>
    </xf>
    <xf numFmtId="0" fontId="10" fillId="5" borderId="32" xfId="0" applyFont="1" applyFill="1" applyBorder="1" applyAlignment="1">
      <alignment horizontal="left" vertical="center"/>
    </xf>
    <xf numFmtId="0" fontId="10" fillId="5" borderId="34" xfId="0" applyFont="1" applyFill="1" applyBorder="1" applyAlignment="1">
      <alignment horizontal="left" vertical="center"/>
    </xf>
    <xf numFmtId="0" fontId="22" fillId="5" borderId="32" xfId="0" applyFont="1" applyFill="1" applyBorder="1" applyAlignment="1">
      <alignment horizontal="left" vertical="center" wrapText="1"/>
    </xf>
    <xf numFmtId="0" fontId="10" fillId="5" borderId="32" xfId="0" applyFont="1" applyFill="1" applyBorder="1" applyAlignment="1">
      <alignment horizontal="left" vertical="center" wrapText="1"/>
    </xf>
    <xf numFmtId="0" fontId="4" fillId="0" borderId="23" xfId="0" applyFont="1" applyBorder="1" applyAlignment="1">
      <alignment vertical="top" wrapText="1"/>
    </xf>
    <xf numFmtId="0" fontId="9" fillId="3" borderId="7" xfId="0" applyFont="1" applyFill="1" applyBorder="1" applyAlignment="1">
      <alignment horizontal="center" vertical="top"/>
    </xf>
    <xf numFmtId="0" fontId="3" fillId="0" borderId="35" xfId="0" applyFont="1" applyBorder="1" applyAlignment="1">
      <alignment horizontal="left" vertical="top" wrapText="1"/>
    </xf>
    <xf numFmtId="0" fontId="3" fillId="0" borderId="35" xfId="0" applyFont="1" applyBorder="1" applyAlignment="1">
      <alignment horizontal="center" vertical="top" wrapText="1"/>
    </xf>
    <xf numFmtId="0" fontId="3" fillId="3" borderId="35" xfId="0" applyFont="1" applyFill="1" applyBorder="1" applyAlignment="1">
      <alignment horizontal="left" vertical="top" wrapText="1"/>
    </xf>
    <xf numFmtId="0" fontId="10" fillId="0" borderId="35" xfId="0" applyFont="1" applyBorder="1" applyAlignment="1">
      <alignment horizontal="center" vertical="top" wrapText="1"/>
    </xf>
    <xf numFmtId="166" fontId="3" fillId="0" borderId="35" xfId="0" applyNumberFormat="1" applyFont="1" applyBorder="1" applyAlignment="1">
      <alignment horizontal="left" vertical="top" wrapText="1"/>
    </xf>
    <xf numFmtId="0" fontId="4" fillId="0" borderId="35" xfId="0" applyFont="1" applyBorder="1" applyAlignment="1">
      <alignment horizontal="left" vertical="center" wrapText="1"/>
    </xf>
    <xf numFmtId="0" fontId="1" fillId="0" borderId="36" xfId="0" applyFont="1" applyBorder="1" applyAlignment="1">
      <alignment horizontal="center" vertical="top"/>
    </xf>
    <xf numFmtId="0" fontId="21" fillId="3" borderId="29" xfId="0" applyFont="1" applyFill="1" applyBorder="1" applyAlignment="1">
      <alignment horizontal="center" vertical="top"/>
    </xf>
    <xf numFmtId="0" fontId="10" fillId="5" borderId="29" xfId="0" applyFont="1" applyFill="1" applyBorder="1" applyAlignment="1">
      <alignment horizontal="left" vertical="center" wrapText="1"/>
    </xf>
    <xf numFmtId="0" fontId="22" fillId="5" borderId="29" xfId="0" applyFont="1" applyFill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38" xfId="0" applyBorder="1"/>
    <xf numFmtId="166" fontId="24" fillId="0" borderId="38" xfId="0" applyNumberFormat="1" applyFont="1" applyBorder="1"/>
    <xf numFmtId="0" fontId="25" fillId="7" borderId="0" xfId="0" applyFont="1" applyFill="1" applyAlignment="1">
      <alignment horizontal="left" vertical="top"/>
    </xf>
    <xf numFmtId="0" fontId="25" fillId="7" borderId="0" xfId="0" applyFont="1" applyFill="1" applyAlignment="1">
      <alignment horizontal="left" vertical="top" wrapText="1"/>
    </xf>
    <xf numFmtId="0" fontId="26" fillId="7" borderId="0" xfId="0" applyFont="1" applyFill="1" applyAlignment="1">
      <alignment horizontal="left" vertical="top"/>
    </xf>
    <xf numFmtId="0" fontId="25" fillId="7" borderId="0" xfId="0" applyFont="1" applyFill="1" applyAlignment="1">
      <alignment horizontal="center" vertical="top"/>
    </xf>
    <xf numFmtId="0" fontId="25" fillId="8" borderId="0" xfId="0" applyFont="1" applyFill="1" applyAlignment="1">
      <alignment horizontal="left" vertical="top"/>
    </xf>
    <xf numFmtId="164" fontId="25" fillId="7" borderId="0" xfId="0" applyNumberFormat="1" applyFont="1" applyFill="1" applyAlignment="1">
      <alignment horizontal="left" vertical="top"/>
    </xf>
    <xf numFmtId="0" fontId="25" fillId="7" borderId="0" xfId="0" applyFont="1" applyFill="1" applyAlignment="1">
      <alignment horizontal="left" vertical="center"/>
    </xf>
    <xf numFmtId="0" fontId="27" fillId="7" borderId="0" xfId="0" applyFont="1" applyFill="1" applyAlignment="1">
      <alignment horizontal="center" vertical="center" wrapText="1"/>
    </xf>
    <xf numFmtId="0" fontId="28" fillId="7" borderId="0" xfId="0" applyFont="1" applyFill="1" applyAlignment="1">
      <alignment horizontal="center"/>
    </xf>
    <xf numFmtId="0" fontId="29" fillId="7" borderId="0" xfId="0" applyFont="1" applyFill="1"/>
    <xf numFmtId="0" fontId="0" fillId="0" borderId="0" xfId="0"/>
    <xf numFmtId="0" fontId="2" fillId="0" borderId="14" xfId="0" applyFont="1" applyBorder="1"/>
    <xf numFmtId="0" fontId="2" fillId="0" borderId="13" xfId="0" applyFont="1" applyBorder="1"/>
    <xf numFmtId="0" fontId="24" fillId="0" borderId="40" xfId="0" applyFont="1" applyBorder="1" applyAlignment="1">
      <alignment horizontal="center"/>
    </xf>
    <xf numFmtId="0" fontId="24" fillId="0" borderId="41" xfId="0" applyFont="1" applyBorder="1" applyAlignment="1">
      <alignment horizontal="center"/>
    </xf>
    <xf numFmtId="0" fontId="24" fillId="0" borderId="42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0" fontId="1" fillId="0" borderId="11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2" fillId="0" borderId="15" xfId="0" applyFont="1" applyBorder="1"/>
    <xf numFmtId="0" fontId="1" fillId="0" borderId="0" xfId="0" applyFont="1" applyAlignment="1">
      <alignment horizontal="left" vertical="top"/>
    </xf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1" fillId="0" borderId="12" xfId="0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6" xfId="0" applyFont="1" applyBorder="1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171450</xdr:rowOff>
    </xdr:from>
    <xdr:ext cx="876300" cy="742950"/>
    <xdr:pic>
      <xdr:nvPicPr>
        <xdr:cNvPr id="2" name="image1.jpg" descr="Description: Seruya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s.t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21"/>
  <sheetViews>
    <sheetView tabSelected="1" zoomScale="53" zoomScaleNormal="53" workbookViewId="0">
      <selection activeCell="E10" sqref="E10"/>
    </sheetView>
  </sheetViews>
  <sheetFormatPr defaultColWidth="14.453125" defaultRowHeight="15" customHeight="1" x14ac:dyDescent="0.35"/>
  <cols>
    <col min="1" max="1" width="8.54296875" customWidth="1"/>
    <col min="2" max="2" width="16.453125" customWidth="1"/>
    <col min="3" max="3" width="32" customWidth="1"/>
    <col min="4" max="4" width="18.54296875" customWidth="1"/>
    <col min="5" max="5" width="27.54296875" customWidth="1"/>
    <col min="6" max="6" width="18.26953125" customWidth="1"/>
    <col min="7" max="7" width="19.453125" customWidth="1"/>
    <col min="8" max="8" width="15" customWidth="1"/>
    <col min="9" max="9" width="10.36328125" customWidth="1"/>
    <col min="10" max="10" width="23.54296875" customWidth="1"/>
    <col min="11" max="11" width="16.453125" customWidth="1"/>
    <col min="12" max="12" width="13" customWidth="1"/>
    <col min="13" max="13" width="15.54296875" customWidth="1"/>
    <col min="14" max="14" width="18.26953125" customWidth="1"/>
    <col min="15" max="15" width="7" hidden="1" customWidth="1"/>
    <col min="16" max="16" width="22" customWidth="1"/>
    <col min="17" max="17" width="39.54296875" customWidth="1"/>
    <col min="18" max="18" width="22.36328125" customWidth="1"/>
    <col min="19" max="19" width="21.1796875" customWidth="1"/>
    <col min="20" max="20" width="8.26953125" customWidth="1"/>
    <col min="21" max="21" width="9.453125" customWidth="1"/>
    <col min="22" max="23" width="8.54296875" customWidth="1"/>
  </cols>
  <sheetData>
    <row r="1" spans="1:23" ht="14.25" customHeight="1" x14ac:dyDescent="0.35">
      <c r="A1" s="242"/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"/>
      <c r="U1" s="3"/>
    </row>
    <row r="2" spans="1:23" ht="14.25" customHeight="1" x14ac:dyDescent="0.35">
      <c r="A2" s="243" t="s">
        <v>7</v>
      </c>
      <c r="B2" s="230"/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"/>
      <c r="U2" s="3"/>
    </row>
    <row r="3" spans="1:23" ht="14.25" customHeight="1" x14ac:dyDescent="0.35">
      <c r="A3" s="244" t="s">
        <v>10</v>
      </c>
      <c r="B3" s="230"/>
      <c r="C3" s="230"/>
      <c r="D3" s="230"/>
      <c r="E3" s="230"/>
      <c r="F3" s="230"/>
      <c r="G3" s="230"/>
      <c r="H3" s="230"/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"/>
      <c r="U3" s="3"/>
    </row>
    <row r="4" spans="1:23" ht="14.25" customHeight="1" x14ac:dyDescent="0.35">
      <c r="A4" s="244" t="s">
        <v>11</v>
      </c>
      <c r="B4" s="230"/>
      <c r="C4" s="230"/>
      <c r="D4" s="230"/>
      <c r="E4" s="230"/>
      <c r="F4" s="230"/>
      <c r="G4" s="230"/>
      <c r="H4" s="230"/>
      <c r="I4" s="230"/>
      <c r="J4" s="230"/>
      <c r="K4" s="230"/>
      <c r="L4" s="230"/>
      <c r="M4" s="230"/>
      <c r="N4" s="230"/>
      <c r="O4" s="230"/>
      <c r="P4" s="230"/>
      <c r="Q4" s="230"/>
      <c r="R4" s="230"/>
      <c r="S4" s="230"/>
      <c r="T4" s="2"/>
      <c r="U4" s="3"/>
    </row>
    <row r="5" spans="1:23" ht="14.25" customHeight="1" x14ac:dyDescent="0.35">
      <c r="A5" s="5"/>
      <c r="B5" s="1"/>
      <c r="C5" s="1"/>
      <c r="D5" s="5"/>
      <c r="E5" s="8"/>
      <c r="F5" s="1"/>
      <c r="G5" s="8"/>
      <c r="H5" s="5"/>
      <c r="I5" s="8"/>
      <c r="J5" s="1"/>
      <c r="K5" s="9"/>
      <c r="L5" s="9"/>
      <c r="M5" s="9"/>
      <c r="N5" s="1"/>
      <c r="O5" s="1"/>
      <c r="P5" s="10"/>
      <c r="Q5" s="8"/>
      <c r="R5" s="8"/>
      <c r="S5" s="13"/>
      <c r="T5" s="2"/>
      <c r="U5" s="3"/>
    </row>
    <row r="6" spans="1:23" ht="14.25" customHeight="1" x14ac:dyDescent="0.35">
      <c r="A6" s="5"/>
      <c r="B6" s="1"/>
      <c r="C6" s="1"/>
      <c r="D6" s="5"/>
      <c r="E6" s="8"/>
      <c r="F6" s="1"/>
      <c r="G6" s="8"/>
      <c r="H6" s="5"/>
      <c r="I6" s="8"/>
      <c r="J6" s="1"/>
      <c r="K6" s="9"/>
      <c r="L6" s="9"/>
      <c r="M6" s="9"/>
      <c r="N6" s="1"/>
      <c r="O6" s="1"/>
      <c r="P6" s="10"/>
      <c r="Q6" s="8"/>
      <c r="R6" s="8"/>
      <c r="S6" s="13"/>
      <c r="T6" s="2"/>
      <c r="U6" s="3"/>
    </row>
    <row r="7" spans="1:23" ht="14.25" customHeight="1" x14ac:dyDescent="0.35">
      <c r="A7" s="1" t="s">
        <v>14</v>
      </c>
      <c r="B7" s="8"/>
      <c r="C7" s="1" t="s">
        <v>15</v>
      </c>
      <c r="D7" s="5"/>
      <c r="E7" s="8"/>
      <c r="F7" s="1"/>
      <c r="G7" s="8"/>
      <c r="H7" s="5"/>
      <c r="I7" s="8"/>
      <c r="J7" s="1"/>
      <c r="K7" s="9"/>
      <c r="L7" s="9"/>
      <c r="M7" s="9"/>
      <c r="N7" s="1"/>
      <c r="O7" s="1"/>
      <c r="P7" s="10"/>
      <c r="Q7" s="8"/>
      <c r="R7" s="8"/>
      <c r="S7" s="13"/>
      <c r="T7" s="2"/>
      <c r="U7" s="3"/>
    </row>
    <row r="8" spans="1:23" ht="14.25" customHeight="1" x14ac:dyDescent="0.35">
      <c r="A8" s="1" t="s">
        <v>17</v>
      </c>
      <c r="B8" s="8"/>
      <c r="C8" s="1" t="s">
        <v>18</v>
      </c>
      <c r="D8" s="5"/>
      <c r="E8" s="8"/>
      <c r="F8" s="1"/>
      <c r="G8" s="8"/>
      <c r="H8" s="5"/>
      <c r="I8" s="8"/>
      <c r="J8" s="1"/>
      <c r="K8" s="9"/>
      <c r="L8" s="9"/>
      <c r="M8" s="9"/>
      <c r="N8" s="1"/>
      <c r="O8" s="1"/>
      <c r="P8" s="10"/>
      <c r="Q8" s="8"/>
      <c r="R8" s="8"/>
      <c r="S8" s="13"/>
      <c r="T8" s="2"/>
      <c r="U8" s="3"/>
    </row>
    <row r="9" spans="1:23" ht="14.25" customHeight="1" x14ac:dyDescent="0.35">
      <c r="A9" s="1" t="s">
        <v>19</v>
      </c>
      <c r="B9" s="8"/>
      <c r="C9" s="20" t="s">
        <v>20</v>
      </c>
      <c r="D9" s="5"/>
      <c r="E9" s="8"/>
      <c r="F9" s="1"/>
      <c r="G9" s="8"/>
      <c r="H9" s="5"/>
      <c r="I9" s="8"/>
      <c r="J9" s="1"/>
      <c r="K9" s="9"/>
      <c r="L9" s="9"/>
      <c r="M9" s="9"/>
      <c r="N9" s="1"/>
      <c r="O9" s="1"/>
      <c r="P9" s="10"/>
      <c r="Q9" s="8"/>
      <c r="R9" s="8"/>
      <c r="S9" s="13"/>
      <c r="T9" s="2"/>
      <c r="U9" s="3"/>
    </row>
    <row r="10" spans="1:23" ht="14.25" customHeight="1" x14ac:dyDescent="0.35">
      <c r="A10" s="1" t="s">
        <v>21</v>
      </c>
      <c r="B10" s="8"/>
      <c r="C10" s="20" t="s">
        <v>20</v>
      </c>
      <c r="D10" s="5"/>
      <c r="E10" s="8"/>
      <c r="F10" s="1"/>
      <c r="G10" s="8"/>
      <c r="H10" s="5"/>
      <c r="I10" s="8"/>
      <c r="J10" s="1"/>
      <c r="K10" s="9"/>
      <c r="L10" s="9"/>
      <c r="M10" s="9"/>
      <c r="N10" s="1"/>
      <c r="O10" s="1"/>
      <c r="P10" s="10"/>
      <c r="Q10" s="8"/>
      <c r="R10" s="8"/>
      <c r="S10" s="13"/>
      <c r="T10" s="2"/>
      <c r="U10" s="3"/>
    </row>
    <row r="11" spans="1:23" ht="14.25" customHeight="1" x14ac:dyDescent="0.35">
      <c r="A11" s="1" t="s">
        <v>22</v>
      </c>
      <c r="B11" s="8"/>
      <c r="C11" s="20" t="s">
        <v>20</v>
      </c>
      <c r="D11" s="5"/>
      <c r="E11" s="8"/>
      <c r="F11" s="1"/>
      <c r="G11" s="8"/>
      <c r="H11" s="5"/>
      <c r="I11" s="8"/>
      <c r="J11" s="1"/>
      <c r="K11" s="9"/>
      <c r="L11" s="9"/>
      <c r="M11" s="9"/>
      <c r="N11" s="1"/>
      <c r="O11" s="1"/>
      <c r="P11" s="10"/>
      <c r="Q11" s="8"/>
      <c r="R11" s="8"/>
      <c r="S11" s="13"/>
      <c r="T11" s="2"/>
      <c r="U11" s="3"/>
    </row>
    <row r="12" spans="1:23" s="229" customFormat="1" ht="14.25" customHeight="1" x14ac:dyDescent="0.35">
      <c r="A12" s="220" t="s">
        <v>23</v>
      </c>
      <c r="B12" s="221"/>
      <c r="C12" s="222" t="s">
        <v>24</v>
      </c>
      <c r="D12" s="223"/>
      <c r="E12" s="221"/>
      <c r="F12" s="220"/>
      <c r="G12" s="221"/>
      <c r="H12" s="223"/>
      <c r="I12" s="221"/>
      <c r="J12" s="220"/>
      <c r="K12" s="224"/>
      <c r="L12" s="224"/>
      <c r="M12" s="224"/>
      <c r="N12" s="220"/>
      <c r="O12" s="220"/>
      <c r="P12" s="225"/>
      <c r="Q12" s="221"/>
      <c r="R12" s="221"/>
      <c r="S12" s="226"/>
      <c r="T12" s="227"/>
      <c r="U12" s="228"/>
    </row>
    <row r="13" spans="1:23" ht="10.5" customHeight="1" thickBot="1" x14ac:dyDescent="0.4">
      <c r="A13" s="22"/>
      <c r="B13" s="23"/>
      <c r="C13" s="23"/>
      <c r="D13" s="22"/>
      <c r="E13" s="24"/>
      <c r="F13" s="23"/>
      <c r="G13" s="24"/>
      <c r="H13" s="5"/>
      <c r="I13" s="8"/>
      <c r="J13" s="1"/>
      <c r="K13" s="9"/>
      <c r="L13" s="9"/>
      <c r="M13" s="9"/>
      <c r="N13" s="23"/>
      <c r="O13" s="23"/>
      <c r="P13" s="25"/>
      <c r="Q13" s="26"/>
      <c r="R13" s="26"/>
      <c r="S13" s="27"/>
      <c r="T13" s="2"/>
      <c r="U13" s="3"/>
    </row>
    <row r="14" spans="1:23" ht="14.25" customHeight="1" thickBot="1" x14ac:dyDescent="0.4">
      <c r="A14" s="28" t="s">
        <v>25</v>
      </c>
      <c r="B14" s="28" t="s">
        <v>26</v>
      </c>
      <c r="C14" s="28" t="s">
        <v>27</v>
      </c>
      <c r="D14" s="28" t="s">
        <v>28</v>
      </c>
      <c r="E14" s="28" t="s">
        <v>29</v>
      </c>
      <c r="F14" s="28" t="s">
        <v>30</v>
      </c>
      <c r="G14" s="28" t="s">
        <v>31</v>
      </c>
      <c r="H14" s="28" t="s">
        <v>32</v>
      </c>
      <c r="I14" s="245"/>
      <c r="J14" s="232"/>
      <c r="K14" s="232"/>
      <c r="L14" s="232"/>
      <c r="M14" s="231"/>
      <c r="N14" s="239" t="s">
        <v>33</v>
      </c>
      <c r="O14" s="28"/>
      <c r="P14" s="246" t="s">
        <v>34</v>
      </c>
      <c r="Q14" s="239" t="s">
        <v>35</v>
      </c>
      <c r="R14" s="239" t="s">
        <v>7878</v>
      </c>
      <c r="S14" s="239" t="s">
        <v>36</v>
      </c>
      <c r="T14" s="31"/>
      <c r="U14" s="3"/>
      <c r="V14" s="3"/>
      <c r="W14" s="3"/>
    </row>
    <row r="15" spans="1:23" ht="14.25" customHeight="1" thickBot="1" x14ac:dyDescent="0.4">
      <c r="A15" s="33" t="s">
        <v>37</v>
      </c>
      <c r="B15" s="33" t="s">
        <v>38</v>
      </c>
      <c r="C15" s="33" t="s">
        <v>39</v>
      </c>
      <c r="D15" s="33" t="s">
        <v>40</v>
      </c>
      <c r="E15" s="33" t="s">
        <v>42</v>
      </c>
      <c r="F15" s="33" t="s">
        <v>43</v>
      </c>
      <c r="G15" s="33"/>
      <c r="H15" s="33" t="s">
        <v>44</v>
      </c>
      <c r="I15" s="33" t="s">
        <v>45</v>
      </c>
      <c r="J15" s="33" t="s">
        <v>46</v>
      </c>
      <c r="K15" s="36" t="s">
        <v>47</v>
      </c>
      <c r="L15" s="36" t="s">
        <v>48</v>
      </c>
      <c r="M15" s="36" t="s">
        <v>49</v>
      </c>
      <c r="N15" s="241"/>
      <c r="O15" s="38"/>
      <c r="P15" s="241"/>
      <c r="Q15" s="241"/>
      <c r="R15" s="240"/>
      <c r="S15" s="241"/>
      <c r="T15" s="39"/>
      <c r="U15" s="3"/>
      <c r="V15" s="3"/>
    </row>
    <row r="16" spans="1:23" ht="14.25" customHeight="1" thickBot="1" x14ac:dyDescent="0.4">
      <c r="A16" s="41"/>
      <c r="B16" s="42"/>
      <c r="C16" s="42"/>
      <c r="D16" s="42"/>
      <c r="E16" s="42"/>
      <c r="F16" s="42"/>
      <c r="G16" s="42"/>
      <c r="H16" s="42"/>
      <c r="I16" s="42"/>
      <c r="J16" s="42"/>
      <c r="K16" s="43"/>
      <c r="L16" s="43"/>
      <c r="M16" s="43"/>
      <c r="N16" s="42"/>
      <c r="O16" s="42"/>
      <c r="P16" s="44"/>
      <c r="Q16" s="42"/>
      <c r="R16" s="211"/>
      <c r="S16" s="45"/>
      <c r="T16" s="31"/>
      <c r="U16" s="3"/>
      <c r="W16" s="46"/>
    </row>
    <row r="17" spans="1:23" ht="14.25" customHeight="1" x14ac:dyDescent="0.35">
      <c r="A17" s="47">
        <v>1</v>
      </c>
      <c r="B17" s="59" t="s">
        <v>58</v>
      </c>
      <c r="C17" s="48" t="s">
        <v>50</v>
      </c>
      <c r="D17" s="49" t="s">
        <v>51</v>
      </c>
      <c r="E17" s="48" t="s">
        <v>52</v>
      </c>
      <c r="F17" s="48" t="s">
        <v>53</v>
      </c>
      <c r="G17" s="50" t="s">
        <v>54</v>
      </c>
      <c r="H17" s="51">
        <v>2002</v>
      </c>
      <c r="I17" s="48" t="s">
        <v>63</v>
      </c>
      <c r="J17" s="48" t="s">
        <v>63</v>
      </c>
      <c r="K17" s="48" t="s">
        <v>63</v>
      </c>
      <c r="L17" s="52" t="s">
        <v>56</v>
      </c>
      <c r="M17" s="52" t="s">
        <v>63</v>
      </c>
      <c r="N17" s="48" t="s">
        <v>57</v>
      </c>
      <c r="O17" s="51">
        <v>1</v>
      </c>
      <c r="P17" s="53">
        <v>125000000</v>
      </c>
      <c r="Q17" s="54"/>
      <c r="R17" s="54" t="s">
        <v>7879</v>
      </c>
      <c r="S17" s="55" t="s">
        <v>16</v>
      </c>
      <c r="T17" s="56">
        <v>1</v>
      </c>
      <c r="U17" s="56">
        <v>4</v>
      </c>
      <c r="V17" s="57"/>
      <c r="W17" s="57"/>
    </row>
    <row r="18" spans="1:23" ht="14.25" customHeight="1" thickBot="1" x14ac:dyDescent="0.4">
      <c r="A18" s="58">
        <v>2</v>
      </c>
      <c r="B18" s="59" t="s">
        <v>58</v>
      </c>
      <c r="C18" s="59" t="s">
        <v>50</v>
      </c>
      <c r="D18" s="60" t="s">
        <v>59</v>
      </c>
      <c r="E18" s="59" t="s">
        <v>60</v>
      </c>
      <c r="F18" s="61" t="s">
        <v>61</v>
      </c>
      <c r="G18" s="63" t="s">
        <v>62</v>
      </c>
      <c r="H18" s="64">
        <v>2024</v>
      </c>
      <c r="I18" s="59" t="s">
        <v>63</v>
      </c>
      <c r="J18" s="59" t="s">
        <v>65</v>
      </c>
      <c r="K18" s="65" t="s">
        <v>66</v>
      </c>
      <c r="L18" s="65" t="s">
        <v>67</v>
      </c>
      <c r="M18" s="65" t="s">
        <v>68</v>
      </c>
      <c r="N18" s="59" t="s">
        <v>44</v>
      </c>
      <c r="O18" s="64">
        <v>1</v>
      </c>
      <c r="P18" s="66">
        <v>638000000</v>
      </c>
      <c r="Q18" s="67" t="s">
        <v>69</v>
      </c>
      <c r="R18" s="67" t="s">
        <v>7880</v>
      </c>
      <c r="S18" s="68" t="s">
        <v>16</v>
      </c>
      <c r="T18" s="56">
        <v>1</v>
      </c>
      <c r="U18" s="56">
        <v>4</v>
      </c>
      <c r="V18" s="57"/>
      <c r="W18" s="57"/>
    </row>
    <row r="19" spans="1:23" ht="14.25" customHeight="1" x14ac:dyDescent="0.35">
      <c r="A19" s="47">
        <v>3</v>
      </c>
      <c r="B19" s="59" t="s">
        <v>70</v>
      </c>
      <c r="C19" s="59" t="s">
        <v>71</v>
      </c>
      <c r="D19" s="60" t="s">
        <v>59</v>
      </c>
      <c r="E19" s="59" t="s">
        <v>72</v>
      </c>
      <c r="F19" s="59" t="s">
        <v>73</v>
      </c>
      <c r="G19" s="63" t="s">
        <v>62</v>
      </c>
      <c r="H19" s="64">
        <v>2022</v>
      </c>
      <c r="I19" s="59"/>
      <c r="J19" s="59" t="s">
        <v>74</v>
      </c>
      <c r="K19" s="65" t="s">
        <v>75</v>
      </c>
      <c r="L19" s="65" t="s">
        <v>76</v>
      </c>
      <c r="M19" s="65" t="s">
        <v>77</v>
      </c>
      <c r="N19" s="59" t="s">
        <v>44</v>
      </c>
      <c r="O19" s="64">
        <v>1</v>
      </c>
      <c r="P19" s="66">
        <v>504000000</v>
      </c>
      <c r="Q19" s="67" t="s">
        <v>78</v>
      </c>
      <c r="R19" s="67"/>
      <c r="S19" s="68" t="s">
        <v>16</v>
      </c>
      <c r="T19" s="56">
        <v>1</v>
      </c>
      <c r="U19" s="56">
        <v>4</v>
      </c>
      <c r="V19" s="57"/>
      <c r="W19" s="57"/>
    </row>
    <row r="20" spans="1:23" ht="14.25" customHeight="1" thickBot="1" x14ac:dyDescent="0.4">
      <c r="A20" s="58">
        <v>4</v>
      </c>
      <c r="B20" s="59" t="s">
        <v>79</v>
      </c>
      <c r="C20" s="59" t="s">
        <v>80</v>
      </c>
      <c r="D20" s="60" t="s">
        <v>51</v>
      </c>
      <c r="E20" s="59" t="s">
        <v>81</v>
      </c>
      <c r="F20" s="59" t="s">
        <v>82</v>
      </c>
      <c r="G20" s="63" t="s">
        <v>54</v>
      </c>
      <c r="H20" s="64">
        <v>2004</v>
      </c>
      <c r="I20" s="59"/>
      <c r="J20" s="59" t="s">
        <v>83</v>
      </c>
      <c r="K20" s="65" t="s">
        <v>84</v>
      </c>
      <c r="L20" s="65" t="s">
        <v>85</v>
      </c>
      <c r="M20" s="65" t="s">
        <v>86</v>
      </c>
      <c r="N20" s="59" t="s">
        <v>57</v>
      </c>
      <c r="O20" s="64">
        <v>1</v>
      </c>
      <c r="P20" s="66">
        <v>8000000</v>
      </c>
      <c r="Q20" s="67"/>
      <c r="R20" s="67"/>
      <c r="S20" s="68" t="s">
        <v>16</v>
      </c>
      <c r="T20" s="56">
        <v>1</v>
      </c>
      <c r="U20" s="56">
        <v>3</v>
      </c>
      <c r="V20" s="57"/>
      <c r="W20" s="57"/>
    </row>
    <row r="21" spans="1:23" ht="14.25" customHeight="1" x14ac:dyDescent="0.35">
      <c r="A21" s="47">
        <v>5</v>
      </c>
      <c r="B21" s="59" t="s">
        <v>79</v>
      </c>
      <c r="C21" s="59" t="s">
        <v>80</v>
      </c>
      <c r="D21" s="60" t="s">
        <v>51</v>
      </c>
      <c r="E21" s="59" t="s">
        <v>87</v>
      </c>
      <c r="F21" s="59" t="s">
        <v>88</v>
      </c>
      <c r="G21" s="63" t="s">
        <v>54</v>
      </c>
      <c r="H21" s="64">
        <v>2007</v>
      </c>
      <c r="I21" s="59"/>
      <c r="J21" s="59" t="s">
        <v>89</v>
      </c>
      <c r="K21" s="65" t="s">
        <v>90</v>
      </c>
      <c r="L21" s="65" t="s">
        <v>92</v>
      </c>
      <c r="M21" s="65" t="s">
        <v>93</v>
      </c>
      <c r="N21" s="59" t="s">
        <v>57</v>
      </c>
      <c r="O21" s="64">
        <v>1</v>
      </c>
      <c r="P21" s="66">
        <v>11250000</v>
      </c>
      <c r="Q21" s="67"/>
      <c r="R21" s="67"/>
      <c r="S21" s="68" t="s">
        <v>16</v>
      </c>
      <c r="T21" s="56">
        <v>1</v>
      </c>
      <c r="U21" s="56">
        <v>3</v>
      </c>
      <c r="V21" s="57"/>
      <c r="W21" s="57"/>
    </row>
    <row r="22" spans="1:23" ht="14.25" customHeight="1" thickBot="1" x14ac:dyDescent="0.4">
      <c r="A22" s="58">
        <v>6</v>
      </c>
      <c r="B22" s="59" t="s">
        <v>79</v>
      </c>
      <c r="C22" s="59" t="s">
        <v>80</v>
      </c>
      <c r="D22" s="60" t="s">
        <v>59</v>
      </c>
      <c r="E22" s="59" t="s">
        <v>81</v>
      </c>
      <c r="F22" s="59" t="s">
        <v>82</v>
      </c>
      <c r="G22" s="63" t="s">
        <v>54</v>
      </c>
      <c r="H22" s="64">
        <v>2005</v>
      </c>
      <c r="I22" s="59"/>
      <c r="J22" s="59" t="s">
        <v>94</v>
      </c>
      <c r="K22" s="65" t="s">
        <v>95</v>
      </c>
      <c r="L22" s="65" t="s">
        <v>96</v>
      </c>
      <c r="M22" s="65" t="s">
        <v>55</v>
      </c>
      <c r="N22" s="59" t="s">
        <v>57</v>
      </c>
      <c r="O22" s="64">
        <v>1</v>
      </c>
      <c r="P22" s="66">
        <v>8000000</v>
      </c>
      <c r="Q22" s="67"/>
      <c r="R22" s="67"/>
      <c r="S22" s="68" t="s">
        <v>16</v>
      </c>
      <c r="T22" s="56">
        <v>1</v>
      </c>
      <c r="U22" s="56">
        <v>3</v>
      </c>
      <c r="V22" s="57"/>
      <c r="W22" s="57"/>
    </row>
    <row r="23" spans="1:23" ht="28.5" customHeight="1" x14ac:dyDescent="0.35">
      <c r="A23" s="47">
        <v>7</v>
      </c>
      <c r="B23" s="59" t="s">
        <v>79</v>
      </c>
      <c r="C23" s="59" t="s">
        <v>80</v>
      </c>
      <c r="D23" s="60" t="s">
        <v>97</v>
      </c>
      <c r="E23" s="59" t="s">
        <v>81</v>
      </c>
      <c r="F23" s="59" t="s">
        <v>82</v>
      </c>
      <c r="G23" s="63" t="s">
        <v>54</v>
      </c>
      <c r="H23" s="64">
        <v>2005</v>
      </c>
      <c r="I23" s="59"/>
      <c r="J23" s="59" t="s">
        <v>98</v>
      </c>
      <c r="K23" s="65" t="s">
        <v>99</v>
      </c>
      <c r="L23" s="65" t="s">
        <v>100</v>
      </c>
      <c r="M23" s="65" t="s">
        <v>55</v>
      </c>
      <c r="N23" s="59" t="s">
        <v>57</v>
      </c>
      <c r="O23" s="64">
        <v>1</v>
      </c>
      <c r="P23" s="66">
        <v>8000000</v>
      </c>
      <c r="Q23" s="67"/>
      <c r="R23" s="67"/>
      <c r="S23" s="68" t="s">
        <v>16</v>
      </c>
      <c r="T23" s="56">
        <v>1</v>
      </c>
      <c r="U23" s="56">
        <v>3</v>
      </c>
      <c r="V23" s="57"/>
      <c r="W23" s="57"/>
    </row>
    <row r="24" spans="1:23" ht="14.25" customHeight="1" thickBot="1" x14ac:dyDescent="0.4">
      <c r="A24" s="58">
        <v>8</v>
      </c>
      <c r="B24" s="59" t="s">
        <v>79</v>
      </c>
      <c r="C24" s="59" t="s">
        <v>80</v>
      </c>
      <c r="D24" s="60" t="s">
        <v>101</v>
      </c>
      <c r="E24" s="59" t="s">
        <v>81</v>
      </c>
      <c r="F24" s="59" t="s">
        <v>82</v>
      </c>
      <c r="G24" s="63" t="s">
        <v>54</v>
      </c>
      <c r="H24" s="64">
        <v>2005</v>
      </c>
      <c r="I24" s="59" t="s">
        <v>63</v>
      </c>
      <c r="J24" s="59" t="s">
        <v>102</v>
      </c>
      <c r="K24" s="65" t="s">
        <v>103</v>
      </c>
      <c r="L24" s="65" t="s">
        <v>104</v>
      </c>
      <c r="M24" s="65" t="s">
        <v>105</v>
      </c>
      <c r="N24" s="59" t="s">
        <v>57</v>
      </c>
      <c r="O24" s="64">
        <v>1</v>
      </c>
      <c r="P24" s="66">
        <v>8000000</v>
      </c>
      <c r="Q24" s="67"/>
      <c r="R24" s="67"/>
      <c r="S24" s="68" t="s">
        <v>16</v>
      </c>
      <c r="T24" s="56">
        <v>1</v>
      </c>
      <c r="U24" s="56">
        <v>3</v>
      </c>
      <c r="V24" s="57"/>
      <c r="W24" s="57"/>
    </row>
    <row r="25" spans="1:23" ht="14.25" customHeight="1" x14ac:dyDescent="0.35">
      <c r="A25" s="47">
        <v>9</v>
      </c>
      <c r="B25" s="59" t="s">
        <v>79</v>
      </c>
      <c r="C25" s="59" t="s">
        <v>80</v>
      </c>
      <c r="D25" s="60" t="s">
        <v>107</v>
      </c>
      <c r="E25" s="59" t="s">
        <v>108</v>
      </c>
      <c r="F25" s="59" t="s">
        <v>88</v>
      </c>
      <c r="G25" s="63" t="s">
        <v>54</v>
      </c>
      <c r="H25" s="64">
        <v>2005</v>
      </c>
      <c r="I25" s="59"/>
      <c r="J25" s="59" t="s">
        <v>109</v>
      </c>
      <c r="K25" s="65" t="s">
        <v>110</v>
      </c>
      <c r="L25" s="65" t="s">
        <v>111</v>
      </c>
      <c r="M25" s="65" t="s">
        <v>55</v>
      </c>
      <c r="N25" s="59" t="s">
        <v>57</v>
      </c>
      <c r="O25" s="64">
        <v>1</v>
      </c>
      <c r="P25" s="66">
        <v>8000000</v>
      </c>
      <c r="Q25" s="67"/>
      <c r="R25" s="67"/>
      <c r="S25" s="68" t="s">
        <v>16</v>
      </c>
      <c r="T25" s="56">
        <v>1</v>
      </c>
      <c r="U25" s="56">
        <v>3</v>
      </c>
      <c r="V25" s="57"/>
      <c r="W25" s="57"/>
    </row>
    <row r="26" spans="1:23" ht="14.25" customHeight="1" thickBot="1" x14ac:dyDescent="0.4">
      <c r="A26" s="58">
        <v>10</v>
      </c>
      <c r="B26" s="59" t="s">
        <v>79</v>
      </c>
      <c r="C26" s="59" t="s">
        <v>80</v>
      </c>
      <c r="D26" s="60" t="s">
        <v>112</v>
      </c>
      <c r="E26" s="59" t="s">
        <v>108</v>
      </c>
      <c r="F26" s="59" t="s">
        <v>88</v>
      </c>
      <c r="G26" s="63" t="s">
        <v>54</v>
      </c>
      <c r="H26" s="64">
        <v>2005</v>
      </c>
      <c r="I26" s="59"/>
      <c r="J26" s="59" t="s">
        <v>113</v>
      </c>
      <c r="K26" s="65" t="s">
        <v>114</v>
      </c>
      <c r="L26" s="65" t="s">
        <v>115</v>
      </c>
      <c r="M26" s="65" t="s">
        <v>55</v>
      </c>
      <c r="N26" s="59" t="s">
        <v>57</v>
      </c>
      <c r="O26" s="64">
        <v>1</v>
      </c>
      <c r="P26" s="66">
        <v>8000000</v>
      </c>
      <c r="Q26" s="67"/>
      <c r="R26" s="67"/>
      <c r="S26" s="68" t="s">
        <v>16</v>
      </c>
      <c r="T26" s="56">
        <v>1</v>
      </c>
      <c r="U26" s="56">
        <v>3</v>
      </c>
      <c r="V26" s="57"/>
      <c r="W26" s="57"/>
    </row>
    <row r="27" spans="1:23" ht="14.25" customHeight="1" x14ac:dyDescent="0.35">
      <c r="A27" s="47">
        <v>11</v>
      </c>
      <c r="B27" s="59" t="s">
        <v>79</v>
      </c>
      <c r="C27" s="59" t="s">
        <v>80</v>
      </c>
      <c r="D27" s="60" t="s">
        <v>116</v>
      </c>
      <c r="E27" s="59" t="s">
        <v>117</v>
      </c>
      <c r="F27" s="59" t="s">
        <v>88</v>
      </c>
      <c r="G27" s="63" t="s">
        <v>54</v>
      </c>
      <c r="H27" s="64">
        <v>2005</v>
      </c>
      <c r="I27" s="59" t="s">
        <v>63</v>
      </c>
      <c r="J27" s="59" t="s">
        <v>118</v>
      </c>
      <c r="K27" s="65" t="s">
        <v>119</v>
      </c>
      <c r="L27" s="65" t="s">
        <v>120</v>
      </c>
      <c r="M27" s="65" t="s">
        <v>121</v>
      </c>
      <c r="N27" s="59" t="s">
        <v>57</v>
      </c>
      <c r="O27" s="64">
        <v>1</v>
      </c>
      <c r="P27" s="66">
        <v>8000000</v>
      </c>
      <c r="Q27" s="67"/>
      <c r="R27" s="67"/>
      <c r="S27" s="68" t="s">
        <v>16</v>
      </c>
      <c r="T27" s="56">
        <v>1</v>
      </c>
      <c r="U27" s="56">
        <v>3</v>
      </c>
      <c r="V27" s="57"/>
      <c r="W27" s="57"/>
    </row>
    <row r="28" spans="1:23" ht="14.25" customHeight="1" thickBot="1" x14ac:dyDescent="0.4">
      <c r="A28" s="58">
        <v>12</v>
      </c>
      <c r="B28" s="59" t="s">
        <v>79</v>
      </c>
      <c r="C28" s="59" t="s">
        <v>80</v>
      </c>
      <c r="D28" s="60" t="s">
        <v>122</v>
      </c>
      <c r="E28" s="59" t="s">
        <v>81</v>
      </c>
      <c r="F28" s="59" t="s">
        <v>82</v>
      </c>
      <c r="G28" s="63" t="s">
        <v>54</v>
      </c>
      <c r="H28" s="64">
        <v>2005</v>
      </c>
      <c r="I28" s="59"/>
      <c r="J28" s="59" t="s">
        <v>123</v>
      </c>
      <c r="K28" s="65" t="s">
        <v>124</v>
      </c>
      <c r="L28" s="65" t="s">
        <v>125</v>
      </c>
      <c r="M28" s="65" t="s">
        <v>55</v>
      </c>
      <c r="N28" s="59" t="s">
        <v>57</v>
      </c>
      <c r="O28" s="64">
        <v>1</v>
      </c>
      <c r="P28" s="66">
        <v>8000000</v>
      </c>
      <c r="Q28" s="67"/>
      <c r="R28" s="67"/>
      <c r="S28" s="68" t="s">
        <v>16</v>
      </c>
      <c r="T28" s="56">
        <v>1</v>
      </c>
      <c r="U28" s="56">
        <v>3</v>
      </c>
      <c r="V28" s="57"/>
      <c r="W28" s="57"/>
    </row>
    <row r="29" spans="1:23" ht="14.25" customHeight="1" x14ac:dyDescent="0.35">
      <c r="A29" s="47">
        <v>13</v>
      </c>
      <c r="B29" s="59" t="s">
        <v>79</v>
      </c>
      <c r="C29" s="59" t="s">
        <v>80</v>
      </c>
      <c r="D29" s="60" t="s">
        <v>126</v>
      </c>
      <c r="E29" s="59" t="s">
        <v>127</v>
      </c>
      <c r="F29" s="59" t="s">
        <v>88</v>
      </c>
      <c r="G29" s="63" t="s">
        <v>54</v>
      </c>
      <c r="H29" s="64">
        <v>2005</v>
      </c>
      <c r="I29" s="59"/>
      <c r="J29" s="59" t="s">
        <v>129</v>
      </c>
      <c r="K29" s="65" t="s">
        <v>130</v>
      </c>
      <c r="L29" s="65" t="s">
        <v>131</v>
      </c>
      <c r="M29" s="65" t="s">
        <v>55</v>
      </c>
      <c r="N29" s="59" t="s">
        <v>57</v>
      </c>
      <c r="O29" s="64">
        <v>1</v>
      </c>
      <c r="P29" s="66">
        <v>10500000</v>
      </c>
      <c r="Q29" s="67"/>
      <c r="R29" s="67"/>
      <c r="S29" s="68" t="s">
        <v>16</v>
      </c>
      <c r="T29" s="56">
        <v>1</v>
      </c>
      <c r="U29" s="56">
        <v>3</v>
      </c>
      <c r="V29" s="57"/>
      <c r="W29" s="57"/>
    </row>
    <row r="30" spans="1:23" ht="14.25" customHeight="1" thickBot="1" x14ac:dyDescent="0.4">
      <c r="A30" s="58">
        <v>14</v>
      </c>
      <c r="B30" s="59" t="s">
        <v>79</v>
      </c>
      <c r="C30" s="59" t="s">
        <v>80</v>
      </c>
      <c r="D30" s="60" t="s">
        <v>132</v>
      </c>
      <c r="E30" s="59" t="s">
        <v>133</v>
      </c>
      <c r="F30" s="59">
        <v>110</v>
      </c>
      <c r="G30" s="63" t="s">
        <v>54</v>
      </c>
      <c r="H30" s="64">
        <v>2005</v>
      </c>
      <c r="I30" s="59" t="s">
        <v>63</v>
      </c>
      <c r="J30" s="59" t="s">
        <v>134</v>
      </c>
      <c r="K30" s="65" t="s">
        <v>135</v>
      </c>
      <c r="L30" s="65" t="s">
        <v>136</v>
      </c>
      <c r="M30" s="65" t="s">
        <v>77</v>
      </c>
      <c r="N30" s="59" t="s">
        <v>57</v>
      </c>
      <c r="O30" s="64">
        <v>1</v>
      </c>
      <c r="P30" s="66">
        <v>14000000</v>
      </c>
      <c r="Q30" s="67"/>
      <c r="R30" s="67"/>
      <c r="S30" s="68" t="s">
        <v>16</v>
      </c>
      <c r="T30" s="56">
        <v>1</v>
      </c>
      <c r="U30" s="56">
        <v>3</v>
      </c>
      <c r="V30" s="57"/>
      <c r="W30" s="57"/>
    </row>
    <row r="31" spans="1:23" ht="14.25" customHeight="1" x14ac:dyDescent="0.35">
      <c r="A31" s="47">
        <v>15</v>
      </c>
      <c r="B31" s="59" t="s">
        <v>79</v>
      </c>
      <c r="C31" s="59" t="s">
        <v>80</v>
      </c>
      <c r="D31" s="60" t="s">
        <v>137</v>
      </c>
      <c r="E31" s="59" t="s">
        <v>138</v>
      </c>
      <c r="F31" s="59" t="s">
        <v>139</v>
      </c>
      <c r="G31" s="63" t="s">
        <v>140</v>
      </c>
      <c r="H31" s="64">
        <v>2014</v>
      </c>
      <c r="I31" s="59"/>
      <c r="J31" s="59" t="s">
        <v>141</v>
      </c>
      <c r="K31" s="65" t="s">
        <v>142</v>
      </c>
      <c r="L31" s="65" t="s">
        <v>143</v>
      </c>
      <c r="M31" s="65" t="s">
        <v>144</v>
      </c>
      <c r="N31" s="59" t="s">
        <v>57</v>
      </c>
      <c r="O31" s="64">
        <v>1</v>
      </c>
      <c r="P31" s="66">
        <v>17194000</v>
      </c>
      <c r="Q31" s="67" t="s">
        <v>145</v>
      </c>
      <c r="R31" s="67"/>
      <c r="S31" s="68" t="s">
        <v>16</v>
      </c>
      <c r="T31" s="56">
        <v>1</v>
      </c>
      <c r="U31" s="56">
        <v>3</v>
      </c>
      <c r="V31" s="57"/>
      <c r="W31" s="57"/>
    </row>
    <row r="32" spans="1:23" ht="14.25" customHeight="1" thickBot="1" x14ac:dyDescent="0.4">
      <c r="A32" s="58">
        <v>16</v>
      </c>
      <c r="B32" s="59" t="s">
        <v>79</v>
      </c>
      <c r="C32" s="59" t="s">
        <v>80</v>
      </c>
      <c r="D32" s="60" t="s">
        <v>146</v>
      </c>
      <c r="E32" s="59" t="s">
        <v>147</v>
      </c>
      <c r="F32" s="59" t="s">
        <v>148</v>
      </c>
      <c r="G32" s="63" t="s">
        <v>140</v>
      </c>
      <c r="H32" s="64">
        <v>2015</v>
      </c>
      <c r="I32" s="59"/>
      <c r="J32" s="59" t="s">
        <v>149</v>
      </c>
      <c r="K32" s="65" t="s">
        <v>150</v>
      </c>
      <c r="L32" s="65" t="s">
        <v>151</v>
      </c>
      <c r="M32" s="65" t="s">
        <v>152</v>
      </c>
      <c r="N32" s="59" t="s">
        <v>57</v>
      </c>
      <c r="O32" s="64">
        <v>1</v>
      </c>
      <c r="P32" s="66">
        <v>19430000</v>
      </c>
      <c r="Q32" s="67" t="s">
        <v>16</v>
      </c>
      <c r="R32" s="67"/>
      <c r="S32" s="68" t="s">
        <v>16</v>
      </c>
      <c r="T32" s="56">
        <v>1</v>
      </c>
      <c r="U32" s="56">
        <v>3</v>
      </c>
      <c r="V32" s="57"/>
      <c r="W32" s="57"/>
    </row>
    <row r="33" spans="1:23" ht="14.25" customHeight="1" x14ac:dyDescent="0.35">
      <c r="A33" s="47">
        <v>17</v>
      </c>
      <c r="B33" s="59" t="s">
        <v>79</v>
      </c>
      <c r="C33" s="59" t="s">
        <v>80</v>
      </c>
      <c r="D33" s="60" t="s">
        <v>154</v>
      </c>
      <c r="E33" s="59" t="s">
        <v>155</v>
      </c>
      <c r="F33" s="59" t="s">
        <v>156</v>
      </c>
      <c r="G33" s="63" t="s">
        <v>140</v>
      </c>
      <c r="H33" s="64">
        <v>2017</v>
      </c>
      <c r="I33" s="59" t="s">
        <v>63</v>
      </c>
      <c r="J33" s="59" t="s">
        <v>157</v>
      </c>
      <c r="K33" s="65" t="s">
        <v>158</v>
      </c>
      <c r="L33" s="65" t="s">
        <v>159</v>
      </c>
      <c r="M33" s="65" t="s">
        <v>160</v>
      </c>
      <c r="N33" s="59" t="s">
        <v>57</v>
      </c>
      <c r="O33" s="64">
        <v>1</v>
      </c>
      <c r="P33" s="66">
        <v>15252264</v>
      </c>
      <c r="Q33" s="67" t="s">
        <v>16</v>
      </c>
      <c r="R33" s="67"/>
      <c r="S33" s="68" t="s">
        <v>16</v>
      </c>
      <c r="T33" s="56">
        <v>1</v>
      </c>
      <c r="U33" s="56">
        <v>3</v>
      </c>
      <c r="V33" s="57"/>
      <c r="W33" s="57"/>
    </row>
    <row r="34" spans="1:23" ht="14.25" customHeight="1" thickBot="1" x14ac:dyDescent="0.4">
      <c r="A34" s="58">
        <v>18</v>
      </c>
      <c r="B34" s="59" t="s">
        <v>79</v>
      </c>
      <c r="C34" s="59" t="s">
        <v>80</v>
      </c>
      <c r="D34" s="60" t="s">
        <v>161</v>
      </c>
      <c r="E34" s="59" t="s">
        <v>162</v>
      </c>
      <c r="F34" s="59" t="s">
        <v>163</v>
      </c>
      <c r="G34" s="63" t="s">
        <v>140</v>
      </c>
      <c r="H34" s="64">
        <v>2018</v>
      </c>
      <c r="I34" s="59" t="s">
        <v>63</v>
      </c>
      <c r="J34" s="59" t="s">
        <v>164</v>
      </c>
      <c r="K34" s="65" t="s">
        <v>165</v>
      </c>
      <c r="L34" s="65" t="s">
        <v>166</v>
      </c>
      <c r="M34" s="65" t="s">
        <v>167</v>
      </c>
      <c r="N34" s="59" t="s">
        <v>57</v>
      </c>
      <c r="O34" s="64">
        <v>1</v>
      </c>
      <c r="P34" s="66">
        <v>15534000</v>
      </c>
      <c r="Q34" s="67" t="s">
        <v>168</v>
      </c>
      <c r="R34" s="67"/>
      <c r="S34" s="68" t="s">
        <v>16</v>
      </c>
      <c r="T34" s="56">
        <v>1</v>
      </c>
      <c r="U34" s="56">
        <v>3</v>
      </c>
      <c r="V34" s="57"/>
      <c r="W34" s="57"/>
    </row>
    <row r="35" spans="1:23" ht="14.25" customHeight="1" x14ac:dyDescent="0.35">
      <c r="A35" s="47">
        <v>19</v>
      </c>
      <c r="B35" s="59" t="s">
        <v>79</v>
      </c>
      <c r="C35" s="59" t="s">
        <v>80</v>
      </c>
      <c r="D35" s="60" t="s">
        <v>169</v>
      </c>
      <c r="E35" s="59" t="s">
        <v>170</v>
      </c>
      <c r="F35" s="59" t="s">
        <v>171</v>
      </c>
      <c r="G35" s="63" t="s">
        <v>54</v>
      </c>
      <c r="H35" s="64">
        <v>2008</v>
      </c>
      <c r="I35" s="59"/>
      <c r="J35" s="59" t="s">
        <v>172</v>
      </c>
      <c r="K35" s="65" t="s">
        <v>173</v>
      </c>
      <c r="L35" s="65" t="s">
        <v>174</v>
      </c>
      <c r="M35" s="65" t="s">
        <v>175</v>
      </c>
      <c r="N35" s="59" t="s">
        <v>57</v>
      </c>
      <c r="O35" s="64">
        <v>1</v>
      </c>
      <c r="P35" s="66">
        <v>15000000</v>
      </c>
      <c r="Q35" s="67"/>
      <c r="R35" s="67"/>
      <c r="S35" s="68" t="s">
        <v>16</v>
      </c>
      <c r="T35" s="56">
        <v>1</v>
      </c>
      <c r="U35" s="56">
        <v>3</v>
      </c>
      <c r="V35" s="57"/>
      <c r="W35" s="57"/>
    </row>
    <row r="36" spans="1:23" ht="14.25" customHeight="1" thickBot="1" x14ac:dyDescent="0.4">
      <c r="A36" s="58">
        <v>20</v>
      </c>
      <c r="B36" s="59" t="s">
        <v>79</v>
      </c>
      <c r="C36" s="59" t="s">
        <v>80</v>
      </c>
      <c r="D36" s="60" t="s">
        <v>176</v>
      </c>
      <c r="E36" s="59" t="s">
        <v>170</v>
      </c>
      <c r="F36" s="59" t="s">
        <v>171</v>
      </c>
      <c r="G36" s="63" t="s">
        <v>54</v>
      </c>
      <c r="H36" s="64">
        <v>2008</v>
      </c>
      <c r="I36" s="59"/>
      <c r="J36" s="59" t="s">
        <v>177</v>
      </c>
      <c r="K36" s="65" t="s">
        <v>178</v>
      </c>
      <c r="L36" s="65" t="s">
        <v>179</v>
      </c>
      <c r="M36" s="65" t="s">
        <v>180</v>
      </c>
      <c r="N36" s="59" t="s">
        <v>57</v>
      </c>
      <c r="O36" s="64">
        <v>1</v>
      </c>
      <c r="P36" s="66">
        <v>15000000</v>
      </c>
      <c r="Q36" s="67"/>
      <c r="R36" s="67"/>
      <c r="S36" s="68" t="s">
        <v>16</v>
      </c>
      <c r="T36" s="56">
        <v>1</v>
      </c>
      <c r="U36" s="56">
        <v>3</v>
      </c>
      <c r="V36" s="57"/>
      <c r="W36" s="57"/>
    </row>
    <row r="37" spans="1:23" ht="14.25" customHeight="1" x14ac:dyDescent="0.35">
      <c r="A37" s="47">
        <v>21</v>
      </c>
      <c r="B37" s="59" t="s">
        <v>79</v>
      </c>
      <c r="C37" s="59" t="s">
        <v>80</v>
      </c>
      <c r="D37" s="60" t="s">
        <v>181</v>
      </c>
      <c r="E37" s="59" t="s">
        <v>170</v>
      </c>
      <c r="F37" s="59" t="s">
        <v>171</v>
      </c>
      <c r="G37" s="63" t="s">
        <v>54</v>
      </c>
      <c r="H37" s="64">
        <v>2008</v>
      </c>
      <c r="I37" s="59"/>
      <c r="J37" s="59" t="s">
        <v>183</v>
      </c>
      <c r="K37" s="65" t="s">
        <v>184</v>
      </c>
      <c r="L37" s="65" t="s">
        <v>185</v>
      </c>
      <c r="M37" s="65" t="s">
        <v>186</v>
      </c>
      <c r="N37" s="59" t="s">
        <v>57</v>
      </c>
      <c r="O37" s="64">
        <v>1</v>
      </c>
      <c r="P37" s="66">
        <v>15000000</v>
      </c>
      <c r="Q37" s="67"/>
      <c r="R37" s="67"/>
      <c r="S37" s="68" t="s">
        <v>16</v>
      </c>
      <c r="T37" s="56">
        <v>1</v>
      </c>
      <c r="U37" s="56">
        <v>3</v>
      </c>
      <c r="V37" s="57"/>
      <c r="W37" s="57"/>
    </row>
    <row r="38" spans="1:23" ht="14.25" customHeight="1" thickBot="1" x14ac:dyDescent="0.4">
      <c r="A38" s="58">
        <v>22</v>
      </c>
      <c r="B38" s="59" t="s">
        <v>79</v>
      </c>
      <c r="C38" s="59" t="s">
        <v>80</v>
      </c>
      <c r="D38" s="60" t="s">
        <v>187</v>
      </c>
      <c r="E38" s="59" t="s">
        <v>170</v>
      </c>
      <c r="F38" s="59" t="s">
        <v>171</v>
      </c>
      <c r="G38" s="63" t="s">
        <v>54</v>
      </c>
      <c r="H38" s="64">
        <v>2008</v>
      </c>
      <c r="I38" s="59"/>
      <c r="J38" s="59" t="s">
        <v>188</v>
      </c>
      <c r="K38" s="65" t="s">
        <v>189</v>
      </c>
      <c r="L38" s="65" t="s">
        <v>92</v>
      </c>
      <c r="M38" s="65" t="s">
        <v>93</v>
      </c>
      <c r="N38" s="59" t="s">
        <v>57</v>
      </c>
      <c r="O38" s="64">
        <v>1</v>
      </c>
      <c r="P38" s="66">
        <v>15000000</v>
      </c>
      <c r="Q38" s="67"/>
      <c r="R38" s="67"/>
      <c r="S38" s="68" t="s">
        <v>16</v>
      </c>
      <c r="T38" s="56">
        <v>1</v>
      </c>
      <c r="U38" s="56">
        <v>3</v>
      </c>
      <c r="V38" s="57"/>
      <c r="W38" s="57"/>
    </row>
    <row r="39" spans="1:23" ht="14.25" customHeight="1" x14ac:dyDescent="0.35">
      <c r="A39" s="47">
        <v>23</v>
      </c>
      <c r="B39" s="59" t="s">
        <v>79</v>
      </c>
      <c r="C39" s="59" t="s">
        <v>80</v>
      </c>
      <c r="D39" s="60" t="s">
        <v>190</v>
      </c>
      <c r="E39" s="59" t="s">
        <v>191</v>
      </c>
      <c r="F39" s="59" t="s">
        <v>88</v>
      </c>
      <c r="G39" s="63" t="s">
        <v>54</v>
      </c>
      <c r="H39" s="64">
        <v>2008</v>
      </c>
      <c r="I39" s="59"/>
      <c r="J39" s="59" t="s">
        <v>172</v>
      </c>
      <c r="K39" s="65" t="s">
        <v>173</v>
      </c>
      <c r="L39" s="65" t="s">
        <v>174</v>
      </c>
      <c r="M39" s="65" t="s">
        <v>175</v>
      </c>
      <c r="N39" s="59" t="s">
        <v>57</v>
      </c>
      <c r="O39" s="64">
        <v>1</v>
      </c>
      <c r="P39" s="66">
        <v>16950000</v>
      </c>
      <c r="Q39" s="67"/>
      <c r="R39" s="67"/>
      <c r="S39" s="68" t="s">
        <v>16</v>
      </c>
      <c r="T39" s="56">
        <v>1</v>
      </c>
      <c r="U39" s="56">
        <v>3</v>
      </c>
      <c r="V39" s="57"/>
      <c r="W39" s="57"/>
    </row>
    <row r="40" spans="1:23" ht="14.25" customHeight="1" thickBot="1" x14ac:dyDescent="0.4">
      <c r="A40" s="58">
        <v>24</v>
      </c>
      <c r="B40" s="59" t="s">
        <v>79</v>
      </c>
      <c r="C40" s="59" t="s">
        <v>80</v>
      </c>
      <c r="D40" s="60" t="s">
        <v>192</v>
      </c>
      <c r="E40" s="59" t="s">
        <v>191</v>
      </c>
      <c r="F40" s="59" t="s">
        <v>88</v>
      </c>
      <c r="G40" s="63" t="s">
        <v>54</v>
      </c>
      <c r="H40" s="64">
        <v>2008</v>
      </c>
      <c r="I40" s="59"/>
      <c r="J40" s="59" t="s">
        <v>177</v>
      </c>
      <c r="K40" s="65" t="s">
        <v>178</v>
      </c>
      <c r="L40" s="65" t="s">
        <v>179</v>
      </c>
      <c r="M40" s="65" t="s">
        <v>180</v>
      </c>
      <c r="N40" s="59" t="s">
        <v>57</v>
      </c>
      <c r="O40" s="64">
        <v>1</v>
      </c>
      <c r="P40" s="66">
        <v>16950000</v>
      </c>
      <c r="Q40" s="67"/>
      <c r="R40" s="67"/>
      <c r="S40" s="68" t="s">
        <v>16</v>
      </c>
      <c r="T40" s="56">
        <v>1</v>
      </c>
      <c r="U40" s="56">
        <v>3</v>
      </c>
      <c r="V40" s="57"/>
      <c r="W40" s="57"/>
    </row>
    <row r="41" spans="1:23" ht="14.25" customHeight="1" x14ac:dyDescent="0.35">
      <c r="A41" s="47">
        <v>25</v>
      </c>
      <c r="B41" s="59" t="s">
        <v>79</v>
      </c>
      <c r="C41" s="59" t="s">
        <v>80</v>
      </c>
      <c r="D41" s="60" t="s">
        <v>194</v>
      </c>
      <c r="E41" s="59" t="s">
        <v>191</v>
      </c>
      <c r="F41" s="59" t="s">
        <v>88</v>
      </c>
      <c r="G41" s="63" t="s">
        <v>54</v>
      </c>
      <c r="H41" s="64">
        <v>2008</v>
      </c>
      <c r="I41" s="59"/>
      <c r="J41" s="59" t="s">
        <v>188</v>
      </c>
      <c r="K41" s="65" t="s">
        <v>189</v>
      </c>
      <c r="L41" s="65" t="s">
        <v>92</v>
      </c>
      <c r="M41" s="65" t="s">
        <v>93</v>
      </c>
      <c r="N41" s="59" t="s">
        <v>57</v>
      </c>
      <c r="O41" s="64">
        <v>1</v>
      </c>
      <c r="P41" s="66">
        <v>16950000</v>
      </c>
      <c r="Q41" s="67"/>
      <c r="R41" s="67"/>
      <c r="S41" s="68" t="s">
        <v>16</v>
      </c>
      <c r="T41" s="56">
        <v>1</v>
      </c>
      <c r="U41" s="56">
        <v>3</v>
      </c>
      <c r="V41" s="57"/>
      <c r="W41" s="57"/>
    </row>
    <row r="42" spans="1:23" ht="14.25" customHeight="1" thickBot="1" x14ac:dyDescent="0.4">
      <c r="A42" s="58">
        <v>26</v>
      </c>
      <c r="B42" s="59" t="s">
        <v>79</v>
      </c>
      <c r="C42" s="59" t="s">
        <v>80</v>
      </c>
      <c r="D42" s="60" t="s">
        <v>195</v>
      </c>
      <c r="E42" s="59" t="s">
        <v>191</v>
      </c>
      <c r="F42" s="59" t="s">
        <v>88</v>
      </c>
      <c r="G42" s="63" t="s">
        <v>54</v>
      </c>
      <c r="H42" s="64">
        <v>2008</v>
      </c>
      <c r="I42" s="59"/>
      <c r="J42" s="59" t="s">
        <v>196</v>
      </c>
      <c r="K42" s="65" t="s">
        <v>197</v>
      </c>
      <c r="L42" s="65" t="s">
        <v>198</v>
      </c>
      <c r="M42" s="65" t="s">
        <v>55</v>
      </c>
      <c r="N42" s="59" t="s">
        <v>57</v>
      </c>
      <c r="O42" s="64">
        <v>1</v>
      </c>
      <c r="P42" s="66">
        <v>16950000</v>
      </c>
      <c r="Q42" s="67"/>
      <c r="R42" s="67"/>
      <c r="S42" s="68" t="s">
        <v>16</v>
      </c>
      <c r="T42" s="56">
        <v>1</v>
      </c>
      <c r="U42" s="56">
        <v>3</v>
      </c>
      <c r="V42" s="57"/>
      <c r="W42" s="57"/>
    </row>
    <row r="43" spans="1:23" ht="14.25" customHeight="1" x14ac:dyDescent="0.35">
      <c r="A43" s="47">
        <v>27</v>
      </c>
      <c r="B43" s="59" t="s">
        <v>79</v>
      </c>
      <c r="C43" s="59" t="s">
        <v>80</v>
      </c>
      <c r="D43" s="60" t="s">
        <v>199</v>
      </c>
      <c r="E43" s="59" t="s">
        <v>191</v>
      </c>
      <c r="F43" s="59">
        <v>110</v>
      </c>
      <c r="G43" s="63" t="s">
        <v>54</v>
      </c>
      <c r="H43" s="64">
        <v>2008</v>
      </c>
      <c r="I43" s="59"/>
      <c r="J43" s="59" t="s">
        <v>183</v>
      </c>
      <c r="K43" s="65" t="s">
        <v>184</v>
      </c>
      <c r="L43" s="65" t="s">
        <v>185</v>
      </c>
      <c r="M43" s="65" t="s">
        <v>186</v>
      </c>
      <c r="N43" s="59" t="s">
        <v>57</v>
      </c>
      <c r="O43" s="64">
        <v>1</v>
      </c>
      <c r="P43" s="66">
        <v>16950000</v>
      </c>
      <c r="Q43" s="67"/>
      <c r="R43" s="67"/>
      <c r="S43" s="68" t="s">
        <v>16</v>
      </c>
      <c r="T43" s="56">
        <v>1</v>
      </c>
      <c r="U43" s="56">
        <v>3</v>
      </c>
      <c r="V43" s="57"/>
      <c r="W43" s="57"/>
    </row>
    <row r="44" spans="1:23" ht="14.25" customHeight="1" thickBot="1" x14ac:dyDescent="0.4">
      <c r="A44" s="58">
        <v>28</v>
      </c>
      <c r="B44" s="59" t="s">
        <v>79</v>
      </c>
      <c r="C44" s="59" t="s">
        <v>80</v>
      </c>
      <c r="D44" s="60" t="s">
        <v>200</v>
      </c>
      <c r="E44" s="59" t="s">
        <v>201</v>
      </c>
      <c r="F44" s="59" t="s">
        <v>202</v>
      </c>
      <c r="G44" s="63" t="s">
        <v>54</v>
      </c>
      <c r="H44" s="64">
        <v>2012</v>
      </c>
      <c r="I44" s="59"/>
      <c r="J44" s="59" t="s">
        <v>203</v>
      </c>
      <c r="K44" s="65" t="s">
        <v>205</v>
      </c>
      <c r="L44" s="65" t="s">
        <v>206</v>
      </c>
      <c r="M44" s="65" t="s">
        <v>207</v>
      </c>
      <c r="N44" s="59" t="s">
        <v>57</v>
      </c>
      <c r="O44" s="64">
        <v>1</v>
      </c>
      <c r="P44" s="66">
        <v>12577550</v>
      </c>
      <c r="Q44" s="67" t="s">
        <v>208</v>
      </c>
      <c r="R44" s="67"/>
      <c r="S44" s="68" t="s">
        <v>16</v>
      </c>
      <c r="T44" s="56">
        <v>1</v>
      </c>
      <c r="U44" s="56">
        <v>3</v>
      </c>
      <c r="V44" s="57"/>
      <c r="W44" s="57"/>
    </row>
    <row r="45" spans="1:23" ht="14.25" customHeight="1" x14ac:dyDescent="0.35">
      <c r="A45" s="47">
        <v>29</v>
      </c>
      <c r="B45" s="59" t="s">
        <v>79</v>
      </c>
      <c r="C45" s="59" t="s">
        <v>80</v>
      </c>
      <c r="D45" s="60" t="s">
        <v>209</v>
      </c>
      <c r="E45" s="59" t="s">
        <v>201</v>
      </c>
      <c r="F45" s="59" t="s">
        <v>202</v>
      </c>
      <c r="G45" s="63" t="s">
        <v>54</v>
      </c>
      <c r="H45" s="64">
        <v>2012</v>
      </c>
      <c r="I45" s="59"/>
      <c r="J45" s="59" t="s">
        <v>210</v>
      </c>
      <c r="K45" s="65" t="s">
        <v>211</v>
      </c>
      <c r="L45" s="65" t="s">
        <v>212</v>
      </c>
      <c r="M45" s="65" t="s">
        <v>213</v>
      </c>
      <c r="N45" s="59" t="s">
        <v>57</v>
      </c>
      <c r="O45" s="64">
        <v>1</v>
      </c>
      <c r="P45" s="66">
        <v>12577550</v>
      </c>
      <c r="Q45" s="67" t="s">
        <v>214</v>
      </c>
      <c r="R45" s="67"/>
      <c r="S45" s="68" t="s">
        <v>16</v>
      </c>
      <c r="T45" s="56">
        <v>1</v>
      </c>
      <c r="U45" s="56">
        <v>3</v>
      </c>
      <c r="V45" s="57"/>
      <c r="W45" s="57"/>
    </row>
    <row r="46" spans="1:23" ht="14.25" customHeight="1" thickBot="1" x14ac:dyDescent="0.4">
      <c r="A46" s="58">
        <v>30</v>
      </c>
      <c r="B46" s="59" t="s">
        <v>79</v>
      </c>
      <c r="C46" s="59" t="s">
        <v>80</v>
      </c>
      <c r="D46" s="60" t="s">
        <v>215</v>
      </c>
      <c r="E46" s="59" t="s">
        <v>216</v>
      </c>
      <c r="F46" s="59" t="s">
        <v>217</v>
      </c>
      <c r="G46" s="63" t="s">
        <v>54</v>
      </c>
      <c r="H46" s="64">
        <v>2012</v>
      </c>
      <c r="I46" s="59"/>
      <c r="J46" s="59" t="s">
        <v>218</v>
      </c>
      <c r="K46" s="65" t="s">
        <v>219</v>
      </c>
      <c r="L46" s="65" t="s">
        <v>220</v>
      </c>
      <c r="M46" s="65" t="s">
        <v>221</v>
      </c>
      <c r="N46" s="59" t="s">
        <v>57</v>
      </c>
      <c r="O46" s="64">
        <v>1</v>
      </c>
      <c r="P46" s="66">
        <v>19426600</v>
      </c>
      <c r="Q46" s="67" t="s">
        <v>222</v>
      </c>
      <c r="R46" s="67"/>
      <c r="S46" s="68" t="s">
        <v>16</v>
      </c>
      <c r="T46" s="56">
        <v>1</v>
      </c>
      <c r="U46" s="56">
        <v>3</v>
      </c>
      <c r="V46" s="57"/>
      <c r="W46" s="57"/>
    </row>
    <row r="47" spans="1:23" ht="14.25" customHeight="1" x14ac:dyDescent="0.35">
      <c r="A47" s="47">
        <v>31</v>
      </c>
      <c r="B47" s="59" t="s">
        <v>79</v>
      </c>
      <c r="C47" s="59" t="s">
        <v>80</v>
      </c>
      <c r="D47" s="60" t="s">
        <v>223</v>
      </c>
      <c r="E47" s="59" t="s">
        <v>216</v>
      </c>
      <c r="F47" s="59" t="s">
        <v>217</v>
      </c>
      <c r="G47" s="63" t="s">
        <v>54</v>
      </c>
      <c r="H47" s="64">
        <v>2012</v>
      </c>
      <c r="I47" s="59"/>
      <c r="J47" s="59" t="s">
        <v>224</v>
      </c>
      <c r="K47" s="65" t="s">
        <v>225</v>
      </c>
      <c r="L47" s="65" t="s">
        <v>226</v>
      </c>
      <c r="M47" s="65" t="s">
        <v>227</v>
      </c>
      <c r="N47" s="59" t="s">
        <v>57</v>
      </c>
      <c r="O47" s="64">
        <v>1</v>
      </c>
      <c r="P47" s="66">
        <v>19426600</v>
      </c>
      <c r="Q47" s="67" t="s">
        <v>228</v>
      </c>
      <c r="R47" s="67"/>
      <c r="S47" s="68" t="s">
        <v>16</v>
      </c>
      <c r="T47" s="56">
        <v>1</v>
      </c>
      <c r="U47" s="56">
        <v>3</v>
      </c>
      <c r="V47" s="57"/>
      <c r="W47" s="57"/>
    </row>
    <row r="48" spans="1:23" ht="14.25" customHeight="1" thickBot="1" x14ac:dyDescent="0.4">
      <c r="A48" s="58">
        <v>32</v>
      </c>
      <c r="B48" s="59" t="s">
        <v>79</v>
      </c>
      <c r="C48" s="59" t="s">
        <v>80</v>
      </c>
      <c r="D48" s="60" t="s">
        <v>229</v>
      </c>
      <c r="E48" s="59" t="s">
        <v>230</v>
      </c>
      <c r="F48" s="59" t="s">
        <v>231</v>
      </c>
      <c r="G48" s="63" t="s">
        <v>54</v>
      </c>
      <c r="H48" s="64">
        <v>2013</v>
      </c>
      <c r="I48" s="59" t="s">
        <v>63</v>
      </c>
      <c r="J48" s="59" t="s">
        <v>232</v>
      </c>
      <c r="K48" s="65" t="s">
        <v>233</v>
      </c>
      <c r="L48" s="65" t="s">
        <v>235</v>
      </c>
      <c r="M48" s="65" t="s">
        <v>236</v>
      </c>
      <c r="N48" s="59" t="s">
        <v>57</v>
      </c>
      <c r="O48" s="64">
        <v>1</v>
      </c>
      <c r="P48" s="66">
        <v>18004100</v>
      </c>
      <c r="Q48" s="67" t="s">
        <v>237</v>
      </c>
      <c r="R48" s="67"/>
      <c r="S48" s="68" t="s">
        <v>16</v>
      </c>
      <c r="T48" s="56">
        <v>1</v>
      </c>
      <c r="U48" s="56">
        <v>3</v>
      </c>
      <c r="V48" s="57"/>
      <c r="W48" s="57"/>
    </row>
    <row r="49" spans="1:23" ht="14.25" customHeight="1" x14ac:dyDescent="0.35">
      <c r="A49" s="47">
        <v>33</v>
      </c>
      <c r="B49" s="59" t="s">
        <v>79</v>
      </c>
      <c r="C49" s="59" t="s">
        <v>80</v>
      </c>
      <c r="D49" s="60" t="s">
        <v>238</v>
      </c>
      <c r="E49" s="59" t="s">
        <v>239</v>
      </c>
      <c r="F49" s="59" t="s">
        <v>148</v>
      </c>
      <c r="G49" s="63" t="s">
        <v>140</v>
      </c>
      <c r="H49" s="64">
        <v>2018</v>
      </c>
      <c r="I49" s="59" t="s">
        <v>63</v>
      </c>
      <c r="J49" s="59" t="s">
        <v>240</v>
      </c>
      <c r="K49" s="65" t="s">
        <v>241</v>
      </c>
      <c r="L49" s="65" t="s">
        <v>242</v>
      </c>
      <c r="M49" s="65" t="s">
        <v>243</v>
      </c>
      <c r="N49" s="59" t="s">
        <v>57</v>
      </c>
      <c r="O49" s="64">
        <v>1</v>
      </c>
      <c r="P49" s="66">
        <v>20234710</v>
      </c>
      <c r="Q49" s="67" t="s">
        <v>168</v>
      </c>
      <c r="R49" s="67"/>
      <c r="S49" s="68" t="s">
        <v>16</v>
      </c>
      <c r="T49" s="56">
        <v>1</v>
      </c>
      <c r="U49" s="56">
        <v>3</v>
      </c>
      <c r="V49" s="57"/>
      <c r="W49" s="57"/>
    </row>
    <row r="50" spans="1:23" ht="14.25" customHeight="1" thickBot="1" x14ac:dyDescent="0.4">
      <c r="A50" s="58">
        <v>34</v>
      </c>
      <c r="B50" s="59" t="s">
        <v>79</v>
      </c>
      <c r="C50" s="59" t="s">
        <v>80</v>
      </c>
      <c r="D50" s="60" t="s">
        <v>244</v>
      </c>
      <c r="E50" s="59" t="s">
        <v>245</v>
      </c>
      <c r="F50" s="59" t="s">
        <v>246</v>
      </c>
      <c r="G50" s="63" t="s">
        <v>247</v>
      </c>
      <c r="H50" s="64">
        <v>2021</v>
      </c>
      <c r="I50" s="59" t="s">
        <v>63</v>
      </c>
      <c r="J50" s="59" t="s">
        <v>248</v>
      </c>
      <c r="K50" s="65" t="s">
        <v>249</v>
      </c>
      <c r="L50" s="65" t="s">
        <v>250</v>
      </c>
      <c r="M50" s="65" t="s">
        <v>251</v>
      </c>
      <c r="N50" s="59" t="s">
        <v>57</v>
      </c>
      <c r="O50" s="64">
        <v>1</v>
      </c>
      <c r="P50" s="66">
        <v>17500000</v>
      </c>
      <c r="Q50" s="67" t="s">
        <v>252</v>
      </c>
      <c r="R50" s="67"/>
      <c r="S50" s="68" t="s">
        <v>16</v>
      </c>
      <c r="T50" s="56">
        <v>1</v>
      </c>
      <c r="U50" s="56">
        <v>3</v>
      </c>
      <c r="V50" s="57"/>
      <c r="W50" s="57"/>
    </row>
    <row r="51" spans="1:23" ht="14.25" customHeight="1" x14ac:dyDescent="0.35">
      <c r="A51" s="47">
        <v>35</v>
      </c>
      <c r="B51" s="59" t="s">
        <v>79</v>
      </c>
      <c r="C51" s="59" t="s">
        <v>80</v>
      </c>
      <c r="D51" s="60" t="s">
        <v>253</v>
      </c>
      <c r="E51" s="59" t="s">
        <v>245</v>
      </c>
      <c r="F51" s="59" t="s">
        <v>202</v>
      </c>
      <c r="G51" s="63" t="s">
        <v>247</v>
      </c>
      <c r="H51" s="64">
        <v>2021</v>
      </c>
      <c r="I51" s="59" t="s">
        <v>63</v>
      </c>
      <c r="J51" s="59" t="s">
        <v>254</v>
      </c>
      <c r="K51" s="65" t="s">
        <v>255</v>
      </c>
      <c r="L51" s="65" t="s">
        <v>256</v>
      </c>
      <c r="M51" s="65" t="s">
        <v>257</v>
      </c>
      <c r="N51" s="59" t="s">
        <v>57</v>
      </c>
      <c r="O51" s="64">
        <v>1</v>
      </c>
      <c r="P51" s="66">
        <v>17500000</v>
      </c>
      <c r="Q51" s="67" t="s">
        <v>252</v>
      </c>
      <c r="R51" s="67"/>
      <c r="S51" s="68" t="s">
        <v>16</v>
      </c>
      <c r="T51" s="56">
        <v>1</v>
      </c>
      <c r="U51" s="56">
        <v>3</v>
      </c>
      <c r="V51" s="57"/>
      <c r="W51" s="57"/>
    </row>
    <row r="52" spans="1:23" ht="14.25" customHeight="1" thickBot="1" x14ac:dyDescent="0.4">
      <c r="A52" s="58">
        <v>36</v>
      </c>
      <c r="B52" s="59" t="s">
        <v>79</v>
      </c>
      <c r="C52" s="59" t="s">
        <v>80</v>
      </c>
      <c r="D52" s="60" t="s">
        <v>259</v>
      </c>
      <c r="E52" s="59" t="s">
        <v>245</v>
      </c>
      <c r="F52" s="59" t="s">
        <v>202</v>
      </c>
      <c r="G52" s="63" t="s">
        <v>247</v>
      </c>
      <c r="H52" s="64">
        <v>2021</v>
      </c>
      <c r="I52" s="59" t="s">
        <v>63</v>
      </c>
      <c r="J52" s="59" t="s">
        <v>260</v>
      </c>
      <c r="K52" s="65" t="s">
        <v>261</v>
      </c>
      <c r="L52" s="65" t="s">
        <v>262</v>
      </c>
      <c r="M52" s="65" t="s">
        <v>263</v>
      </c>
      <c r="N52" s="59" t="s">
        <v>57</v>
      </c>
      <c r="O52" s="64">
        <v>1</v>
      </c>
      <c r="P52" s="66">
        <v>17500000</v>
      </c>
      <c r="Q52" s="67" t="s">
        <v>252</v>
      </c>
      <c r="R52" s="67"/>
      <c r="S52" s="68" t="s">
        <v>16</v>
      </c>
      <c r="T52" s="56">
        <v>1</v>
      </c>
      <c r="U52" s="56">
        <v>3</v>
      </c>
      <c r="V52" s="57"/>
      <c r="W52" s="57"/>
    </row>
    <row r="53" spans="1:23" ht="14.25" customHeight="1" x14ac:dyDescent="0.35">
      <c r="A53" s="47">
        <v>37</v>
      </c>
      <c r="B53" s="59" t="s">
        <v>79</v>
      </c>
      <c r="C53" s="59" t="s">
        <v>80</v>
      </c>
      <c r="D53" s="60" t="s">
        <v>264</v>
      </c>
      <c r="E53" s="59" t="s">
        <v>245</v>
      </c>
      <c r="F53" s="59" t="s">
        <v>202</v>
      </c>
      <c r="G53" s="63" t="s">
        <v>247</v>
      </c>
      <c r="H53" s="64">
        <v>2021</v>
      </c>
      <c r="I53" s="59" t="s">
        <v>63</v>
      </c>
      <c r="J53" s="59" t="s">
        <v>265</v>
      </c>
      <c r="K53" s="65" t="s">
        <v>266</v>
      </c>
      <c r="L53" s="65" t="s">
        <v>267</v>
      </c>
      <c r="M53" s="65" t="s">
        <v>268</v>
      </c>
      <c r="N53" s="59" t="s">
        <v>57</v>
      </c>
      <c r="O53" s="64">
        <v>1</v>
      </c>
      <c r="P53" s="66">
        <v>17500000</v>
      </c>
      <c r="Q53" s="67" t="s">
        <v>252</v>
      </c>
      <c r="R53" s="67"/>
      <c r="S53" s="68" t="s">
        <v>16</v>
      </c>
      <c r="T53" s="56">
        <v>1</v>
      </c>
      <c r="U53" s="56">
        <v>3</v>
      </c>
      <c r="V53" s="57"/>
      <c r="W53" s="57"/>
    </row>
    <row r="54" spans="1:23" ht="14.25" customHeight="1" thickBot="1" x14ac:dyDescent="0.4">
      <c r="A54" s="58">
        <v>38</v>
      </c>
      <c r="B54" s="59" t="s">
        <v>79</v>
      </c>
      <c r="C54" s="59" t="s">
        <v>80</v>
      </c>
      <c r="D54" s="60" t="s">
        <v>269</v>
      </c>
      <c r="E54" s="59" t="s">
        <v>245</v>
      </c>
      <c r="F54" s="59" t="s">
        <v>202</v>
      </c>
      <c r="G54" s="63" t="s">
        <v>247</v>
      </c>
      <c r="H54" s="64">
        <v>2021</v>
      </c>
      <c r="I54" s="59" t="s">
        <v>63</v>
      </c>
      <c r="J54" s="59" t="s">
        <v>270</v>
      </c>
      <c r="K54" s="65" t="s">
        <v>271</v>
      </c>
      <c r="L54" s="65" t="s">
        <v>272</v>
      </c>
      <c r="M54" s="65" t="s">
        <v>273</v>
      </c>
      <c r="N54" s="59" t="s">
        <v>57</v>
      </c>
      <c r="O54" s="64">
        <v>1</v>
      </c>
      <c r="P54" s="66">
        <v>17500000</v>
      </c>
      <c r="Q54" s="67" t="s">
        <v>252</v>
      </c>
      <c r="R54" s="67"/>
      <c r="S54" s="68" t="s">
        <v>16</v>
      </c>
      <c r="T54" s="56">
        <v>1</v>
      </c>
      <c r="U54" s="56">
        <v>3</v>
      </c>
      <c r="V54" s="57"/>
      <c r="W54" s="57"/>
    </row>
    <row r="55" spans="1:23" ht="14.25" customHeight="1" x14ac:dyDescent="0.35">
      <c r="A55" s="47">
        <v>39</v>
      </c>
      <c r="B55" s="59" t="s">
        <v>79</v>
      </c>
      <c r="C55" s="59" t="s">
        <v>80</v>
      </c>
      <c r="D55" s="60" t="s">
        <v>274</v>
      </c>
      <c r="E55" s="59" t="s">
        <v>245</v>
      </c>
      <c r="F55" s="59" t="s">
        <v>202</v>
      </c>
      <c r="G55" s="63" t="s">
        <v>247</v>
      </c>
      <c r="H55" s="64">
        <v>2021</v>
      </c>
      <c r="I55" s="59" t="s">
        <v>63</v>
      </c>
      <c r="J55" s="59" t="s">
        <v>275</v>
      </c>
      <c r="K55" s="65" t="s">
        <v>276</v>
      </c>
      <c r="L55" s="65" t="s">
        <v>277</v>
      </c>
      <c r="M55" s="65" t="s">
        <v>278</v>
      </c>
      <c r="N55" s="59" t="s">
        <v>57</v>
      </c>
      <c r="O55" s="64">
        <v>1</v>
      </c>
      <c r="P55" s="66">
        <v>17500000</v>
      </c>
      <c r="Q55" s="67" t="s">
        <v>252</v>
      </c>
      <c r="R55" s="67"/>
      <c r="S55" s="68" t="s">
        <v>16</v>
      </c>
      <c r="T55" s="56">
        <v>1</v>
      </c>
      <c r="U55" s="56">
        <v>3</v>
      </c>
      <c r="V55" s="57"/>
      <c r="W55" s="57"/>
    </row>
    <row r="56" spans="1:23" ht="14.25" customHeight="1" thickBot="1" x14ac:dyDescent="0.4">
      <c r="A56" s="58">
        <v>40</v>
      </c>
      <c r="B56" s="59" t="s">
        <v>79</v>
      </c>
      <c r="C56" s="59" t="s">
        <v>279</v>
      </c>
      <c r="D56" s="60" t="s">
        <v>280</v>
      </c>
      <c r="E56" s="59" t="s">
        <v>245</v>
      </c>
      <c r="F56" s="59" t="s">
        <v>202</v>
      </c>
      <c r="G56" s="63" t="s">
        <v>247</v>
      </c>
      <c r="H56" s="64">
        <v>2021</v>
      </c>
      <c r="I56" s="59" t="s">
        <v>63</v>
      </c>
      <c r="J56" s="59" t="s">
        <v>281</v>
      </c>
      <c r="K56" s="65" t="s">
        <v>282</v>
      </c>
      <c r="L56" s="65" t="s">
        <v>284</v>
      </c>
      <c r="M56" s="65" t="s">
        <v>285</v>
      </c>
      <c r="N56" s="59" t="s">
        <v>57</v>
      </c>
      <c r="O56" s="64">
        <v>1</v>
      </c>
      <c r="P56" s="66">
        <v>17500000</v>
      </c>
      <c r="Q56" s="67" t="s">
        <v>252</v>
      </c>
      <c r="R56" s="67"/>
      <c r="S56" s="68" t="s">
        <v>16</v>
      </c>
      <c r="T56" s="56">
        <v>1</v>
      </c>
      <c r="U56" s="56">
        <v>3</v>
      </c>
      <c r="V56" s="57"/>
      <c r="W56" s="57"/>
    </row>
    <row r="57" spans="1:23" ht="14.25" customHeight="1" x14ac:dyDescent="0.35">
      <c r="A57" s="47">
        <v>41</v>
      </c>
      <c r="B57" s="59" t="s">
        <v>79</v>
      </c>
      <c r="C57" s="59" t="s">
        <v>80</v>
      </c>
      <c r="D57" s="60" t="s">
        <v>286</v>
      </c>
      <c r="E57" s="59" t="s">
        <v>245</v>
      </c>
      <c r="F57" s="59" t="s">
        <v>202</v>
      </c>
      <c r="G57" s="63" t="s">
        <v>247</v>
      </c>
      <c r="H57" s="64">
        <v>2021</v>
      </c>
      <c r="I57" s="59" t="s">
        <v>63</v>
      </c>
      <c r="J57" s="59" t="s">
        <v>287</v>
      </c>
      <c r="K57" s="65" t="s">
        <v>288</v>
      </c>
      <c r="L57" s="65" t="s">
        <v>289</v>
      </c>
      <c r="M57" s="65" t="s">
        <v>290</v>
      </c>
      <c r="N57" s="59" t="s">
        <v>57</v>
      </c>
      <c r="O57" s="64">
        <v>1</v>
      </c>
      <c r="P57" s="66">
        <v>17500000</v>
      </c>
      <c r="Q57" s="67" t="s">
        <v>252</v>
      </c>
      <c r="R57" s="67"/>
      <c r="S57" s="68" t="s">
        <v>16</v>
      </c>
      <c r="T57" s="56">
        <v>1</v>
      </c>
      <c r="U57" s="56">
        <v>3</v>
      </c>
      <c r="V57" s="57"/>
      <c r="W57" s="57"/>
    </row>
    <row r="58" spans="1:23" ht="14.25" customHeight="1" thickBot="1" x14ac:dyDescent="0.4">
      <c r="A58" s="58">
        <v>42</v>
      </c>
      <c r="B58" s="59" t="s">
        <v>79</v>
      </c>
      <c r="C58" s="59" t="s">
        <v>80</v>
      </c>
      <c r="D58" s="60" t="s">
        <v>291</v>
      </c>
      <c r="E58" s="59" t="s">
        <v>292</v>
      </c>
      <c r="F58" s="59" t="s">
        <v>293</v>
      </c>
      <c r="G58" s="63" t="s">
        <v>247</v>
      </c>
      <c r="H58" s="64">
        <v>2021</v>
      </c>
      <c r="I58" s="59" t="s">
        <v>63</v>
      </c>
      <c r="J58" s="59" t="s">
        <v>294</v>
      </c>
      <c r="K58" s="65" t="s">
        <v>295</v>
      </c>
      <c r="L58" s="65" t="s">
        <v>296</v>
      </c>
      <c r="M58" s="65" t="s">
        <v>297</v>
      </c>
      <c r="N58" s="59" t="s">
        <v>57</v>
      </c>
      <c r="O58" s="64">
        <v>1</v>
      </c>
      <c r="P58" s="66">
        <v>32100000</v>
      </c>
      <c r="Q58" s="67" t="s">
        <v>252</v>
      </c>
      <c r="R58" s="67"/>
      <c r="S58" s="68" t="s">
        <v>16</v>
      </c>
      <c r="T58" s="56">
        <v>1</v>
      </c>
      <c r="U58" s="56">
        <v>3</v>
      </c>
      <c r="V58" s="57"/>
      <c r="W58" s="57"/>
    </row>
    <row r="59" spans="1:23" ht="14.25" customHeight="1" x14ac:dyDescent="0.35">
      <c r="A59" s="47">
        <v>43</v>
      </c>
      <c r="B59" s="59" t="s">
        <v>79</v>
      </c>
      <c r="C59" s="59" t="s">
        <v>80</v>
      </c>
      <c r="D59" s="60" t="s">
        <v>298</v>
      </c>
      <c r="E59" s="59" t="s">
        <v>299</v>
      </c>
      <c r="F59" s="59" t="s">
        <v>88</v>
      </c>
      <c r="G59" s="63" t="s">
        <v>54</v>
      </c>
      <c r="H59" s="64">
        <v>2007</v>
      </c>
      <c r="I59" s="59" t="s">
        <v>63</v>
      </c>
      <c r="J59" s="59" t="s">
        <v>300</v>
      </c>
      <c r="K59" s="65" t="s">
        <v>301</v>
      </c>
      <c r="L59" s="65" t="s">
        <v>302</v>
      </c>
      <c r="M59" s="65" t="s">
        <v>303</v>
      </c>
      <c r="N59" s="59" t="s">
        <v>57</v>
      </c>
      <c r="O59" s="64">
        <v>1</v>
      </c>
      <c r="P59" s="66">
        <v>16000000</v>
      </c>
      <c r="Q59" s="67"/>
      <c r="R59" s="67"/>
      <c r="S59" s="68" t="s">
        <v>16</v>
      </c>
      <c r="T59" s="56">
        <v>1</v>
      </c>
      <c r="U59" s="56">
        <v>3</v>
      </c>
      <c r="V59" s="57"/>
      <c r="W59" s="57"/>
    </row>
    <row r="60" spans="1:23" ht="14.25" customHeight="1" thickBot="1" x14ac:dyDescent="0.4">
      <c r="A60" s="58">
        <v>44</v>
      </c>
      <c r="B60" s="59" t="s">
        <v>79</v>
      </c>
      <c r="C60" s="59" t="s">
        <v>80</v>
      </c>
      <c r="D60" s="60" t="s">
        <v>304</v>
      </c>
      <c r="E60" s="59" t="s">
        <v>299</v>
      </c>
      <c r="F60" s="59" t="s">
        <v>88</v>
      </c>
      <c r="G60" s="63" t="s">
        <v>54</v>
      </c>
      <c r="H60" s="64">
        <v>2007</v>
      </c>
      <c r="I60" s="59" t="s">
        <v>63</v>
      </c>
      <c r="J60" s="59" t="s">
        <v>305</v>
      </c>
      <c r="K60" s="65" t="s">
        <v>306</v>
      </c>
      <c r="L60" s="65" t="s">
        <v>307</v>
      </c>
      <c r="M60" s="65" t="s">
        <v>308</v>
      </c>
      <c r="N60" s="59" t="s">
        <v>57</v>
      </c>
      <c r="O60" s="64">
        <v>1</v>
      </c>
      <c r="P60" s="66">
        <v>16000000</v>
      </c>
      <c r="Q60" s="67"/>
      <c r="R60" s="67"/>
      <c r="S60" s="68" t="s">
        <v>16</v>
      </c>
      <c r="T60" s="56">
        <v>1</v>
      </c>
      <c r="U60" s="56">
        <v>3</v>
      </c>
      <c r="V60" s="57"/>
      <c r="W60" s="57"/>
    </row>
    <row r="61" spans="1:23" ht="14.25" customHeight="1" x14ac:dyDescent="0.35">
      <c r="A61" s="47">
        <v>45</v>
      </c>
      <c r="B61" s="59" t="s">
        <v>79</v>
      </c>
      <c r="C61" s="59" t="s">
        <v>80</v>
      </c>
      <c r="D61" s="60" t="s">
        <v>310</v>
      </c>
      <c r="E61" s="59" t="s">
        <v>311</v>
      </c>
      <c r="F61" s="59" t="s">
        <v>312</v>
      </c>
      <c r="G61" s="63" t="s">
        <v>313</v>
      </c>
      <c r="H61" s="64">
        <v>2022</v>
      </c>
      <c r="I61" s="59"/>
      <c r="J61" s="59" t="s">
        <v>314</v>
      </c>
      <c r="K61" s="65" t="s">
        <v>315</v>
      </c>
      <c r="L61" s="65" t="s">
        <v>316</v>
      </c>
      <c r="M61" s="65" t="s">
        <v>317</v>
      </c>
      <c r="N61" s="59" t="s">
        <v>44</v>
      </c>
      <c r="O61" s="64">
        <v>1</v>
      </c>
      <c r="P61" s="66">
        <v>19234807</v>
      </c>
      <c r="Q61" s="67" t="s">
        <v>318</v>
      </c>
      <c r="R61" s="67"/>
      <c r="S61" s="68" t="s">
        <v>16</v>
      </c>
      <c r="T61" s="56">
        <v>1</v>
      </c>
      <c r="U61" s="56">
        <v>3</v>
      </c>
      <c r="V61" s="57"/>
      <c r="W61" s="57"/>
    </row>
    <row r="62" spans="1:23" ht="14.25" customHeight="1" thickBot="1" x14ac:dyDescent="0.4">
      <c r="A62" s="58">
        <v>46</v>
      </c>
      <c r="B62" s="59" t="s">
        <v>79</v>
      </c>
      <c r="C62" s="59" t="s">
        <v>80</v>
      </c>
      <c r="D62" s="60" t="s">
        <v>319</v>
      </c>
      <c r="E62" s="59" t="s">
        <v>320</v>
      </c>
      <c r="F62" s="59" t="s">
        <v>312</v>
      </c>
      <c r="G62" s="63" t="s">
        <v>62</v>
      </c>
      <c r="H62" s="64">
        <v>2022</v>
      </c>
      <c r="I62" s="59"/>
      <c r="J62" s="59" t="s">
        <v>321</v>
      </c>
      <c r="K62" s="65" t="s">
        <v>322</v>
      </c>
      <c r="L62" s="65" t="s">
        <v>323</v>
      </c>
      <c r="M62" s="65" t="s">
        <v>324</v>
      </c>
      <c r="N62" s="59" t="s">
        <v>44</v>
      </c>
      <c r="O62" s="64">
        <v>1</v>
      </c>
      <c r="P62" s="66">
        <v>19234807</v>
      </c>
      <c r="Q62" s="67" t="s">
        <v>318</v>
      </c>
      <c r="R62" s="67"/>
      <c r="S62" s="68" t="s">
        <v>16</v>
      </c>
      <c r="T62" s="56">
        <v>1</v>
      </c>
      <c r="U62" s="56">
        <v>3</v>
      </c>
      <c r="V62" s="57"/>
      <c r="W62" s="57"/>
    </row>
    <row r="63" spans="1:23" ht="14.25" customHeight="1" x14ac:dyDescent="0.35">
      <c r="A63" s="47">
        <v>47</v>
      </c>
      <c r="B63" s="59" t="s">
        <v>79</v>
      </c>
      <c r="C63" s="59" t="s">
        <v>80</v>
      </c>
      <c r="D63" s="60" t="s">
        <v>325</v>
      </c>
      <c r="E63" s="59" t="s">
        <v>326</v>
      </c>
      <c r="F63" s="59" t="s">
        <v>312</v>
      </c>
      <c r="G63" s="63" t="s">
        <v>62</v>
      </c>
      <c r="H63" s="64">
        <v>2023</v>
      </c>
      <c r="I63" s="59" t="s">
        <v>63</v>
      </c>
      <c r="J63" s="59" t="s">
        <v>327</v>
      </c>
      <c r="K63" s="65" t="s">
        <v>328</v>
      </c>
      <c r="L63" s="65" t="s">
        <v>329</v>
      </c>
      <c r="M63" s="65" t="s">
        <v>330</v>
      </c>
      <c r="N63" s="59" t="s">
        <v>44</v>
      </c>
      <c r="O63" s="64">
        <v>1</v>
      </c>
      <c r="P63" s="66">
        <v>19643000</v>
      </c>
      <c r="Q63" s="67" t="s">
        <v>331</v>
      </c>
      <c r="R63" s="67"/>
      <c r="S63" s="68" t="s">
        <v>16</v>
      </c>
      <c r="T63" s="56">
        <v>1</v>
      </c>
      <c r="U63" s="56">
        <v>3</v>
      </c>
      <c r="V63" s="57"/>
      <c r="W63" s="57"/>
    </row>
    <row r="64" spans="1:23" ht="14.25" customHeight="1" thickBot="1" x14ac:dyDescent="0.4">
      <c r="A64" s="58">
        <v>48</v>
      </c>
      <c r="B64" s="59" t="s">
        <v>79</v>
      </c>
      <c r="C64" s="59" t="s">
        <v>80</v>
      </c>
      <c r="D64" s="60" t="s">
        <v>332</v>
      </c>
      <c r="E64" s="59" t="s">
        <v>326</v>
      </c>
      <c r="F64" s="59" t="s">
        <v>312</v>
      </c>
      <c r="G64" s="63" t="s">
        <v>62</v>
      </c>
      <c r="H64" s="64">
        <v>2023</v>
      </c>
      <c r="I64" s="59" t="s">
        <v>63</v>
      </c>
      <c r="J64" s="59" t="s">
        <v>334</v>
      </c>
      <c r="K64" s="65" t="s">
        <v>335</v>
      </c>
      <c r="L64" s="65" t="s">
        <v>336</v>
      </c>
      <c r="M64" s="65" t="s">
        <v>337</v>
      </c>
      <c r="N64" s="59" t="s">
        <v>44</v>
      </c>
      <c r="O64" s="64">
        <v>1</v>
      </c>
      <c r="P64" s="66">
        <v>19643000</v>
      </c>
      <c r="Q64" s="67" t="s">
        <v>331</v>
      </c>
      <c r="R64" s="67"/>
      <c r="S64" s="68" t="s">
        <v>16</v>
      </c>
      <c r="T64" s="56">
        <v>1</v>
      </c>
      <c r="U64" s="56">
        <v>3</v>
      </c>
      <c r="V64" s="57"/>
      <c r="W64" s="57"/>
    </row>
    <row r="65" spans="1:23" ht="14.25" customHeight="1" x14ac:dyDescent="0.35">
      <c r="A65" s="47">
        <v>49</v>
      </c>
      <c r="B65" s="59" t="s">
        <v>79</v>
      </c>
      <c r="C65" s="59" t="s">
        <v>80</v>
      </c>
      <c r="D65" s="60" t="s">
        <v>338</v>
      </c>
      <c r="E65" s="59" t="s">
        <v>326</v>
      </c>
      <c r="F65" s="59" t="s">
        <v>312</v>
      </c>
      <c r="G65" s="63" t="s">
        <v>62</v>
      </c>
      <c r="H65" s="64">
        <v>2023</v>
      </c>
      <c r="I65" s="59" t="s">
        <v>63</v>
      </c>
      <c r="J65" s="59" t="s">
        <v>339</v>
      </c>
      <c r="K65" s="65" t="s">
        <v>340</v>
      </c>
      <c r="L65" s="65" t="s">
        <v>341</v>
      </c>
      <c r="M65" s="65" t="s">
        <v>342</v>
      </c>
      <c r="N65" s="59" t="s">
        <v>44</v>
      </c>
      <c r="O65" s="64">
        <v>1</v>
      </c>
      <c r="P65" s="66">
        <v>19643000</v>
      </c>
      <c r="Q65" s="67" t="s">
        <v>331</v>
      </c>
      <c r="R65" s="67"/>
      <c r="S65" s="68" t="s">
        <v>16</v>
      </c>
      <c r="T65" s="56">
        <v>1</v>
      </c>
      <c r="U65" s="56">
        <v>3</v>
      </c>
      <c r="V65" s="57"/>
      <c r="W65" s="57"/>
    </row>
    <row r="66" spans="1:23" ht="14.25" customHeight="1" thickBot="1" x14ac:dyDescent="0.4">
      <c r="A66" s="58">
        <v>50</v>
      </c>
      <c r="B66" s="59" t="s">
        <v>79</v>
      </c>
      <c r="C66" s="59" t="s">
        <v>80</v>
      </c>
      <c r="D66" s="60" t="s">
        <v>343</v>
      </c>
      <c r="E66" s="59" t="s">
        <v>326</v>
      </c>
      <c r="F66" s="59" t="s">
        <v>312</v>
      </c>
      <c r="G66" s="63" t="s">
        <v>62</v>
      </c>
      <c r="H66" s="64">
        <v>2023</v>
      </c>
      <c r="I66" s="59" t="s">
        <v>63</v>
      </c>
      <c r="J66" s="59" t="s">
        <v>344</v>
      </c>
      <c r="K66" s="65" t="s">
        <v>345</v>
      </c>
      <c r="L66" s="65" t="s">
        <v>346</v>
      </c>
      <c r="M66" s="65" t="s">
        <v>347</v>
      </c>
      <c r="N66" s="59" t="s">
        <v>44</v>
      </c>
      <c r="O66" s="64">
        <v>1</v>
      </c>
      <c r="P66" s="66">
        <v>19643000</v>
      </c>
      <c r="Q66" s="67" t="s">
        <v>331</v>
      </c>
      <c r="R66" s="67"/>
      <c r="S66" s="68" t="s">
        <v>16</v>
      </c>
      <c r="T66" s="56">
        <v>1</v>
      </c>
      <c r="U66" s="56">
        <v>3</v>
      </c>
      <c r="V66" s="57"/>
      <c r="W66" s="57"/>
    </row>
    <row r="67" spans="1:23" ht="14.25" customHeight="1" x14ac:dyDescent="0.35">
      <c r="A67" s="47">
        <v>51</v>
      </c>
      <c r="B67" s="59" t="s">
        <v>79</v>
      </c>
      <c r="C67" s="59" t="s">
        <v>80</v>
      </c>
      <c r="D67" s="60" t="s">
        <v>348</v>
      </c>
      <c r="E67" s="59" t="s">
        <v>326</v>
      </c>
      <c r="F67" s="59" t="s">
        <v>312</v>
      </c>
      <c r="G67" s="63" t="s">
        <v>62</v>
      </c>
      <c r="H67" s="64">
        <v>2023</v>
      </c>
      <c r="I67" s="59" t="s">
        <v>63</v>
      </c>
      <c r="J67" s="59" t="s">
        <v>349</v>
      </c>
      <c r="K67" s="65" t="s">
        <v>350</v>
      </c>
      <c r="L67" s="65" t="s">
        <v>351</v>
      </c>
      <c r="M67" s="65" t="s">
        <v>352</v>
      </c>
      <c r="N67" s="59" t="s">
        <v>44</v>
      </c>
      <c r="O67" s="64">
        <v>1</v>
      </c>
      <c r="P67" s="66">
        <v>19643000</v>
      </c>
      <c r="Q67" s="67" t="s">
        <v>331</v>
      </c>
      <c r="R67" s="67"/>
      <c r="S67" s="68" t="s">
        <v>16</v>
      </c>
      <c r="T67" s="56">
        <v>1</v>
      </c>
      <c r="U67" s="56">
        <v>3</v>
      </c>
      <c r="V67" s="57"/>
      <c r="W67" s="57"/>
    </row>
    <row r="68" spans="1:23" ht="14.25" customHeight="1" thickBot="1" x14ac:dyDescent="0.4">
      <c r="A68" s="58">
        <v>52</v>
      </c>
      <c r="B68" s="59" t="s">
        <v>79</v>
      </c>
      <c r="C68" s="59" t="s">
        <v>80</v>
      </c>
      <c r="D68" s="60" t="s">
        <v>353</v>
      </c>
      <c r="E68" s="59" t="s">
        <v>326</v>
      </c>
      <c r="F68" s="59" t="s">
        <v>312</v>
      </c>
      <c r="G68" s="63" t="s">
        <v>62</v>
      </c>
      <c r="H68" s="64">
        <v>2023</v>
      </c>
      <c r="I68" s="59" t="s">
        <v>63</v>
      </c>
      <c r="J68" s="59" t="s">
        <v>355</v>
      </c>
      <c r="K68" s="65" t="s">
        <v>356</v>
      </c>
      <c r="L68" s="65" t="s">
        <v>357</v>
      </c>
      <c r="M68" s="65" t="s">
        <v>358</v>
      </c>
      <c r="N68" s="59" t="s">
        <v>44</v>
      </c>
      <c r="O68" s="64">
        <v>1</v>
      </c>
      <c r="P68" s="66">
        <v>19643000</v>
      </c>
      <c r="Q68" s="67" t="s">
        <v>331</v>
      </c>
      <c r="R68" s="67"/>
      <c r="S68" s="68" t="s">
        <v>16</v>
      </c>
      <c r="T68" s="56">
        <v>1</v>
      </c>
      <c r="U68" s="56">
        <v>3</v>
      </c>
      <c r="V68" s="57"/>
      <c r="W68" s="57"/>
    </row>
    <row r="69" spans="1:23" ht="14.25" customHeight="1" x14ac:dyDescent="0.35">
      <c r="A69" s="47">
        <v>53</v>
      </c>
      <c r="B69" s="59" t="s">
        <v>79</v>
      </c>
      <c r="C69" s="59" t="s">
        <v>80</v>
      </c>
      <c r="D69" s="60" t="s">
        <v>359</v>
      </c>
      <c r="E69" s="59" t="s">
        <v>360</v>
      </c>
      <c r="F69" s="61" t="s">
        <v>361</v>
      </c>
      <c r="G69" s="63" t="s">
        <v>62</v>
      </c>
      <c r="H69" s="64">
        <v>2023</v>
      </c>
      <c r="I69" s="59" t="s">
        <v>63</v>
      </c>
      <c r="J69" s="59" t="s">
        <v>362</v>
      </c>
      <c r="K69" s="65" t="s">
        <v>363</v>
      </c>
      <c r="L69" s="65" t="s">
        <v>364</v>
      </c>
      <c r="M69" s="65" t="s">
        <v>365</v>
      </c>
      <c r="N69" s="59" t="s">
        <v>44</v>
      </c>
      <c r="O69" s="64">
        <v>1</v>
      </c>
      <c r="P69" s="66">
        <v>35612000</v>
      </c>
      <c r="Q69" s="67" t="s">
        <v>331</v>
      </c>
      <c r="R69" s="67"/>
      <c r="S69" s="68" t="s">
        <v>16</v>
      </c>
      <c r="T69" s="56">
        <v>1</v>
      </c>
      <c r="U69" s="56">
        <v>3</v>
      </c>
      <c r="V69" s="57"/>
      <c r="W69" s="57"/>
    </row>
    <row r="70" spans="1:23" ht="14.25" customHeight="1" thickBot="1" x14ac:dyDescent="0.4">
      <c r="A70" s="58">
        <v>54</v>
      </c>
      <c r="B70" s="59" t="s">
        <v>79</v>
      </c>
      <c r="C70" s="59" t="s">
        <v>80</v>
      </c>
      <c r="D70" s="60" t="s">
        <v>366</v>
      </c>
      <c r="E70" s="59" t="s">
        <v>360</v>
      </c>
      <c r="F70" s="61" t="s">
        <v>361</v>
      </c>
      <c r="G70" s="63" t="s">
        <v>62</v>
      </c>
      <c r="H70" s="64">
        <v>2023</v>
      </c>
      <c r="I70" s="59" t="s">
        <v>63</v>
      </c>
      <c r="J70" s="59" t="s">
        <v>367</v>
      </c>
      <c r="K70" s="65" t="s">
        <v>368</v>
      </c>
      <c r="L70" s="65" t="s">
        <v>369</v>
      </c>
      <c r="M70" s="65" t="s">
        <v>370</v>
      </c>
      <c r="N70" s="59" t="s">
        <v>44</v>
      </c>
      <c r="O70" s="64">
        <v>1</v>
      </c>
      <c r="P70" s="66">
        <v>35612000</v>
      </c>
      <c r="Q70" s="67" t="s">
        <v>331</v>
      </c>
      <c r="R70" s="67"/>
      <c r="S70" s="68" t="s">
        <v>16</v>
      </c>
      <c r="T70" s="56">
        <v>1</v>
      </c>
      <c r="U70" s="56">
        <v>3</v>
      </c>
      <c r="V70" s="57"/>
      <c r="W70" s="57"/>
    </row>
    <row r="71" spans="1:23" ht="14.25" customHeight="1" x14ac:dyDescent="0.35">
      <c r="A71" s="47">
        <v>55</v>
      </c>
      <c r="B71" s="59" t="s">
        <v>79</v>
      </c>
      <c r="C71" s="59" t="s">
        <v>80</v>
      </c>
      <c r="D71" s="60" t="s">
        <v>371</v>
      </c>
      <c r="E71" s="59" t="s">
        <v>360</v>
      </c>
      <c r="F71" s="61" t="s">
        <v>361</v>
      </c>
      <c r="G71" s="63" t="s">
        <v>62</v>
      </c>
      <c r="H71" s="64">
        <v>2023</v>
      </c>
      <c r="I71" s="59" t="s">
        <v>63</v>
      </c>
      <c r="J71" s="59" t="s">
        <v>372</v>
      </c>
      <c r="K71" s="65" t="s">
        <v>373</v>
      </c>
      <c r="L71" s="65" t="s">
        <v>374</v>
      </c>
      <c r="M71" s="65" t="s">
        <v>375</v>
      </c>
      <c r="N71" s="59" t="s">
        <v>44</v>
      </c>
      <c r="O71" s="64">
        <v>1</v>
      </c>
      <c r="P71" s="66">
        <v>35612000</v>
      </c>
      <c r="Q71" s="67" t="s">
        <v>331</v>
      </c>
      <c r="R71" s="67"/>
      <c r="S71" s="68" t="s">
        <v>16</v>
      </c>
      <c r="T71" s="56">
        <v>1</v>
      </c>
      <c r="U71" s="56">
        <v>3</v>
      </c>
      <c r="V71" s="57"/>
      <c r="W71" s="57"/>
    </row>
    <row r="72" spans="1:23" ht="14.25" customHeight="1" thickBot="1" x14ac:dyDescent="0.4">
      <c r="A72" s="58">
        <v>56</v>
      </c>
      <c r="B72" s="59" t="s">
        <v>79</v>
      </c>
      <c r="C72" s="59" t="s">
        <v>80</v>
      </c>
      <c r="D72" s="60" t="s">
        <v>376</v>
      </c>
      <c r="E72" s="59" t="s">
        <v>360</v>
      </c>
      <c r="F72" s="61" t="s">
        <v>361</v>
      </c>
      <c r="G72" s="63" t="s">
        <v>62</v>
      </c>
      <c r="H72" s="64">
        <v>2023</v>
      </c>
      <c r="I72" s="59" t="s">
        <v>63</v>
      </c>
      <c r="J72" s="59" t="s">
        <v>378</v>
      </c>
      <c r="K72" s="65" t="s">
        <v>379</v>
      </c>
      <c r="L72" s="65" t="s">
        <v>380</v>
      </c>
      <c r="M72" s="65" t="s">
        <v>381</v>
      </c>
      <c r="N72" s="59" t="s">
        <v>44</v>
      </c>
      <c r="O72" s="64">
        <v>1</v>
      </c>
      <c r="P72" s="66">
        <v>35612000</v>
      </c>
      <c r="Q72" s="67" t="s">
        <v>331</v>
      </c>
      <c r="R72" s="67"/>
      <c r="S72" s="68" t="s">
        <v>16</v>
      </c>
      <c r="T72" s="56">
        <v>1</v>
      </c>
      <c r="U72" s="56">
        <v>3</v>
      </c>
      <c r="V72" s="57"/>
      <c r="W72" s="57"/>
    </row>
    <row r="73" spans="1:23" ht="14.25" customHeight="1" x14ac:dyDescent="0.35">
      <c r="A73" s="47">
        <v>57</v>
      </c>
      <c r="B73" s="59" t="s">
        <v>79</v>
      </c>
      <c r="C73" s="59" t="s">
        <v>80</v>
      </c>
      <c r="D73" s="60" t="s">
        <v>382</v>
      </c>
      <c r="E73" s="59" t="s">
        <v>360</v>
      </c>
      <c r="F73" s="61" t="s">
        <v>361</v>
      </c>
      <c r="G73" s="63" t="s">
        <v>62</v>
      </c>
      <c r="H73" s="64">
        <v>2023</v>
      </c>
      <c r="I73" s="59" t="s">
        <v>63</v>
      </c>
      <c r="J73" s="59" t="s">
        <v>383</v>
      </c>
      <c r="K73" s="65" t="s">
        <v>384</v>
      </c>
      <c r="L73" s="65" t="s">
        <v>385</v>
      </c>
      <c r="M73" s="65" t="s">
        <v>386</v>
      </c>
      <c r="N73" s="59" t="s">
        <v>44</v>
      </c>
      <c r="O73" s="64">
        <v>1</v>
      </c>
      <c r="P73" s="66">
        <v>35612000</v>
      </c>
      <c r="Q73" s="67" t="s">
        <v>331</v>
      </c>
      <c r="R73" s="67"/>
      <c r="S73" s="68" t="s">
        <v>16</v>
      </c>
      <c r="T73" s="56">
        <v>1</v>
      </c>
      <c r="U73" s="56">
        <v>3</v>
      </c>
      <c r="V73" s="57"/>
      <c r="W73" s="57"/>
    </row>
    <row r="74" spans="1:23" ht="14.25" customHeight="1" thickBot="1" x14ac:dyDescent="0.4">
      <c r="A74" s="58">
        <v>58</v>
      </c>
      <c r="B74" s="59" t="s">
        <v>79</v>
      </c>
      <c r="C74" s="59" t="s">
        <v>80</v>
      </c>
      <c r="D74" s="60" t="s">
        <v>387</v>
      </c>
      <c r="E74" s="59" t="s">
        <v>360</v>
      </c>
      <c r="F74" s="61" t="s">
        <v>361</v>
      </c>
      <c r="G74" s="63" t="s">
        <v>62</v>
      </c>
      <c r="H74" s="64">
        <v>2023</v>
      </c>
      <c r="I74" s="59" t="s">
        <v>63</v>
      </c>
      <c r="J74" s="59" t="s">
        <v>388</v>
      </c>
      <c r="K74" s="65" t="s">
        <v>389</v>
      </c>
      <c r="L74" s="65" t="s">
        <v>390</v>
      </c>
      <c r="M74" s="65" t="s">
        <v>391</v>
      </c>
      <c r="N74" s="59" t="s">
        <v>44</v>
      </c>
      <c r="O74" s="64">
        <v>1</v>
      </c>
      <c r="P74" s="66">
        <v>35612000</v>
      </c>
      <c r="Q74" s="67" t="s">
        <v>331</v>
      </c>
      <c r="R74" s="67"/>
      <c r="S74" s="68" t="s">
        <v>16</v>
      </c>
      <c r="T74" s="56">
        <v>1</v>
      </c>
      <c r="U74" s="56">
        <v>3</v>
      </c>
      <c r="V74" s="57"/>
      <c r="W74" s="57"/>
    </row>
    <row r="75" spans="1:23" ht="14.25" customHeight="1" x14ac:dyDescent="0.35">
      <c r="A75" s="47">
        <v>59</v>
      </c>
      <c r="B75" s="59" t="s">
        <v>79</v>
      </c>
      <c r="C75" s="59" t="s">
        <v>80</v>
      </c>
      <c r="D75" s="60" t="s">
        <v>392</v>
      </c>
      <c r="E75" s="59" t="s">
        <v>360</v>
      </c>
      <c r="F75" s="61" t="s">
        <v>361</v>
      </c>
      <c r="G75" s="63" t="s">
        <v>62</v>
      </c>
      <c r="H75" s="64">
        <v>2023</v>
      </c>
      <c r="I75" s="59" t="s">
        <v>63</v>
      </c>
      <c r="J75" s="59" t="s">
        <v>393</v>
      </c>
      <c r="K75" s="65" t="s">
        <v>394</v>
      </c>
      <c r="L75" s="65" t="s">
        <v>395</v>
      </c>
      <c r="M75" s="65" t="s">
        <v>396</v>
      </c>
      <c r="N75" s="59" t="s">
        <v>44</v>
      </c>
      <c r="O75" s="64">
        <v>1</v>
      </c>
      <c r="P75" s="66">
        <v>35612000</v>
      </c>
      <c r="Q75" s="67" t="s">
        <v>331</v>
      </c>
      <c r="R75" s="67"/>
      <c r="S75" s="68" t="s">
        <v>16</v>
      </c>
      <c r="T75" s="56">
        <v>1</v>
      </c>
      <c r="U75" s="56">
        <v>3</v>
      </c>
      <c r="V75" s="57"/>
      <c r="W75" s="57"/>
    </row>
    <row r="76" spans="1:23" ht="14.25" customHeight="1" thickBot="1" x14ac:dyDescent="0.4">
      <c r="A76" s="58">
        <v>60</v>
      </c>
      <c r="B76" s="59" t="s">
        <v>79</v>
      </c>
      <c r="C76" s="59" t="s">
        <v>80</v>
      </c>
      <c r="D76" s="60" t="s">
        <v>398</v>
      </c>
      <c r="E76" s="59" t="s">
        <v>360</v>
      </c>
      <c r="F76" s="61" t="s">
        <v>361</v>
      </c>
      <c r="G76" s="63" t="s">
        <v>62</v>
      </c>
      <c r="H76" s="64">
        <v>2023</v>
      </c>
      <c r="I76" s="59" t="s">
        <v>63</v>
      </c>
      <c r="J76" s="59" t="s">
        <v>399</v>
      </c>
      <c r="K76" s="65" t="s">
        <v>400</v>
      </c>
      <c r="L76" s="65" t="s">
        <v>401</v>
      </c>
      <c r="M76" s="65" t="s">
        <v>402</v>
      </c>
      <c r="N76" s="59" t="s">
        <v>44</v>
      </c>
      <c r="O76" s="64">
        <v>1</v>
      </c>
      <c r="P76" s="66">
        <v>35612000</v>
      </c>
      <c r="Q76" s="67" t="s">
        <v>331</v>
      </c>
      <c r="R76" s="67"/>
      <c r="S76" s="68" t="s">
        <v>16</v>
      </c>
      <c r="T76" s="56">
        <v>1</v>
      </c>
      <c r="U76" s="56">
        <v>3</v>
      </c>
      <c r="V76" s="57"/>
      <c r="W76" s="57"/>
    </row>
    <row r="77" spans="1:23" ht="14.25" customHeight="1" x14ac:dyDescent="0.35">
      <c r="A77" s="47">
        <v>61</v>
      </c>
      <c r="B77" s="59" t="s">
        <v>79</v>
      </c>
      <c r="C77" s="59" t="s">
        <v>80</v>
      </c>
      <c r="D77" s="60" t="s">
        <v>403</v>
      </c>
      <c r="E77" s="59" t="s">
        <v>360</v>
      </c>
      <c r="F77" s="61" t="s">
        <v>361</v>
      </c>
      <c r="G77" s="63" t="s">
        <v>62</v>
      </c>
      <c r="H77" s="64">
        <v>2023</v>
      </c>
      <c r="I77" s="59" t="s">
        <v>63</v>
      </c>
      <c r="J77" s="59" t="s">
        <v>404</v>
      </c>
      <c r="K77" s="65" t="s">
        <v>405</v>
      </c>
      <c r="L77" s="65" t="s">
        <v>406</v>
      </c>
      <c r="M77" s="65" t="s">
        <v>407</v>
      </c>
      <c r="N77" s="59" t="s">
        <v>44</v>
      </c>
      <c r="O77" s="64">
        <v>1</v>
      </c>
      <c r="P77" s="66">
        <v>35612000</v>
      </c>
      <c r="Q77" s="67" t="s">
        <v>331</v>
      </c>
      <c r="R77" s="67"/>
      <c r="S77" s="68" t="s">
        <v>16</v>
      </c>
      <c r="T77" s="56">
        <v>1</v>
      </c>
      <c r="U77" s="56">
        <v>3</v>
      </c>
      <c r="V77" s="57"/>
      <c r="W77" s="57"/>
    </row>
    <row r="78" spans="1:23" ht="14.25" customHeight="1" thickBot="1" x14ac:dyDescent="0.4">
      <c r="A78" s="58">
        <v>62</v>
      </c>
      <c r="B78" s="59" t="s">
        <v>79</v>
      </c>
      <c r="C78" s="59" t="s">
        <v>80</v>
      </c>
      <c r="D78" s="60" t="s">
        <v>408</v>
      </c>
      <c r="E78" s="59" t="s">
        <v>360</v>
      </c>
      <c r="F78" s="61" t="s">
        <v>361</v>
      </c>
      <c r="G78" s="63" t="s">
        <v>62</v>
      </c>
      <c r="H78" s="64">
        <v>2023</v>
      </c>
      <c r="I78" s="59" t="s">
        <v>63</v>
      </c>
      <c r="J78" s="59" t="s">
        <v>409</v>
      </c>
      <c r="K78" s="65" t="s">
        <v>410</v>
      </c>
      <c r="L78" s="65" t="s">
        <v>411</v>
      </c>
      <c r="M78" s="65" t="s">
        <v>412</v>
      </c>
      <c r="N78" s="59" t="s">
        <v>44</v>
      </c>
      <c r="O78" s="64">
        <v>1</v>
      </c>
      <c r="P78" s="66">
        <v>35612000</v>
      </c>
      <c r="Q78" s="67" t="s">
        <v>331</v>
      </c>
      <c r="R78" s="67"/>
      <c r="S78" s="68" t="s">
        <v>16</v>
      </c>
      <c r="T78" s="56">
        <v>1</v>
      </c>
      <c r="U78" s="56">
        <v>3</v>
      </c>
      <c r="V78" s="57"/>
      <c r="W78" s="57"/>
    </row>
    <row r="79" spans="1:23" ht="14.25" customHeight="1" x14ac:dyDescent="0.35">
      <c r="A79" s="47">
        <v>63</v>
      </c>
      <c r="B79" s="59" t="s">
        <v>79</v>
      </c>
      <c r="C79" s="59" t="s">
        <v>80</v>
      </c>
      <c r="D79" s="60" t="s">
        <v>413</v>
      </c>
      <c r="E79" s="59" t="s">
        <v>414</v>
      </c>
      <c r="F79" s="59" t="s">
        <v>217</v>
      </c>
      <c r="G79" s="63" t="s">
        <v>415</v>
      </c>
      <c r="H79" s="64">
        <v>2021</v>
      </c>
      <c r="I79" s="59" t="s">
        <v>63</v>
      </c>
      <c r="J79" s="59" t="s">
        <v>63</v>
      </c>
      <c r="K79" s="65" t="s">
        <v>416</v>
      </c>
      <c r="L79" s="65" t="s">
        <v>417</v>
      </c>
      <c r="M79" s="65" t="s">
        <v>418</v>
      </c>
      <c r="N79" s="59" t="s">
        <v>57</v>
      </c>
      <c r="O79" s="64">
        <v>1</v>
      </c>
      <c r="P79" s="66">
        <v>33100000</v>
      </c>
      <c r="Q79" s="67" t="s">
        <v>420</v>
      </c>
      <c r="R79" s="67"/>
      <c r="S79" s="68" t="s">
        <v>16</v>
      </c>
      <c r="T79" s="56">
        <v>1</v>
      </c>
      <c r="U79" s="56">
        <v>3</v>
      </c>
      <c r="V79" s="57"/>
      <c r="W79" s="57"/>
    </row>
    <row r="80" spans="1:23" ht="14.25" customHeight="1" thickBot="1" x14ac:dyDescent="0.4">
      <c r="A80" s="58">
        <v>64</v>
      </c>
      <c r="B80" s="69" t="s">
        <v>58</v>
      </c>
      <c r="C80" s="69" t="s">
        <v>50</v>
      </c>
      <c r="D80" s="70" t="s">
        <v>51</v>
      </c>
      <c r="E80" s="69" t="s">
        <v>421</v>
      </c>
      <c r="F80" s="69"/>
      <c r="G80" s="69" t="s">
        <v>54</v>
      </c>
      <c r="H80" s="70">
        <v>1998</v>
      </c>
      <c r="I80" s="69"/>
      <c r="J80" s="69"/>
      <c r="K80" s="71"/>
      <c r="L80" s="71"/>
      <c r="M80" s="71"/>
      <c r="N80" s="69" t="s">
        <v>422</v>
      </c>
      <c r="O80" s="64">
        <v>1</v>
      </c>
      <c r="P80" s="72">
        <v>164962000</v>
      </c>
      <c r="Q80" s="69" t="s">
        <v>423</v>
      </c>
      <c r="R80" s="69"/>
      <c r="S80" s="68" t="s">
        <v>41</v>
      </c>
      <c r="T80" s="56">
        <v>2</v>
      </c>
      <c r="U80" s="56">
        <v>4</v>
      </c>
    </row>
    <row r="81" spans="1:21" ht="14.25" customHeight="1" x14ac:dyDescent="0.35">
      <c r="A81" s="47">
        <v>65</v>
      </c>
      <c r="B81" s="69" t="s">
        <v>70</v>
      </c>
      <c r="C81" s="69" t="s">
        <v>71</v>
      </c>
      <c r="D81" s="70" t="s">
        <v>97</v>
      </c>
      <c r="E81" s="69" t="s">
        <v>424</v>
      </c>
      <c r="F81" s="69" t="s">
        <v>425</v>
      </c>
      <c r="G81" s="69" t="s">
        <v>140</v>
      </c>
      <c r="H81" s="70">
        <v>2017</v>
      </c>
      <c r="I81" s="69" t="s">
        <v>63</v>
      </c>
      <c r="J81" s="69" t="s">
        <v>426</v>
      </c>
      <c r="K81" s="71" t="s">
        <v>427</v>
      </c>
      <c r="L81" s="71" t="s">
        <v>428</v>
      </c>
      <c r="M81" s="71" t="s">
        <v>429</v>
      </c>
      <c r="N81" s="69" t="s">
        <v>57</v>
      </c>
      <c r="O81" s="64">
        <v>1</v>
      </c>
      <c r="P81" s="72">
        <v>297154625</v>
      </c>
      <c r="Q81" s="69" t="s">
        <v>41</v>
      </c>
      <c r="R81" s="69"/>
      <c r="S81" s="68" t="s">
        <v>41</v>
      </c>
      <c r="T81" s="56">
        <v>2</v>
      </c>
      <c r="U81" s="56">
        <v>4</v>
      </c>
    </row>
    <row r="82" spans="1:21" ht="14.25" customHeight="1" thickBot="1" x14ac:dyDescent="0.4">
      <c r="A82" s="58">
        <v>66</v>
      </c>
      <c r="B82" s="69" t="s">
        <v>79</v>
      </c>
      <c r="C82" s="69" t="s">
        <v>80</v>
      </c>
      <c r="D82" s="70" t="s">
        <v>51</v>
      </c>
      <c r="E82" s="69" t="s">
        <v>430</v>
      </c>
      <c r="F82" s="69"/>
      <c r="G82" s="69" t="s">
        <v>54</v>
      </c>
      <c r="H82" s="70">
        <v>2006</v>
      </c>
      <c r="I82" s="69"/>
      <c r="J82" s="69" t="s">
        <v>431</v>
      </c>
      <c r="K82" s="71" t="s">
        <v>432</v>
      </c>
      <c r="L82" s="71" t="s">
        <v>433</v>
      </c>
      <c r="M82" s="71" t="s">
        <v>434</v>
      </c>
      <c r="N82" s="69" t="s">
        <v>57</v>
      </c>
      <c r="O82" s="64">
        <v>1</v>
      </c>
      <c r="P82" s="72">
        <v>14500000</v>
      </c>
      <c r="Q82" s="69" t="s">
        <v>435</v>
      </c>
      <c r="R82" s="69"/>
      <c r="S82" s="68" t="s">
        <v>41</v>
      </c>
      <c r="T82" s="56">
        <v>2</v>
      </c>
      <c r="U82" s="56">
        <v>3</v>
      </c>
    </row>
    <row r="83" spans="1:21" ht="14.25" customHeight="1" x14ac:dyDescent="0.35">
      <c r="A83" s="47">
        <v>67</v>
      </c>
      <c r="B83" s="69" t="s">
        <v>79</v>
      </c>
      <c r="C83" s="69" t="s">
        <v>80</v>
      </c>
      <c r="D83" s="70" t="s">
        <v>51</v>
      </c>
      <c r="E83" s="69" t="s">
        <v>436</v>
      </c>
      <c r="F83" s="69"/>
      <c r="G83" s="69" t="s">
        <v>54</v>
      </c>
      <c r="H83" s="70">
        <v>2006</v>
      </c>
      <c r="I83" s="69"/>
      <c r="J83" s="69" t="s">
        <v>437</v>
      </c>
      <c r="K83" s="71" t="s">
        <v>438</v>
      </c>
      <c r="L83" s="71" t="s">
        <v>439</v>
      </c>
      <c r="M83" s="71"/>
      <c r="N83" s="69" t="s">
        <v>422</v>
      </c>
      <c r="O83" s="64">
        <v>1</v>
      </c>
      <c r="P83" s="72">
        <v>11250000</v>
      </c>
      <c r="Q83" s="69" t="s">
        <v>441</v>
      </c>
      <c r="R83" s="69"/>
      <c r="S83" s="68" t="s">
        <v>41</v>
      </c>
      <c r="T83" s="56">
        <v>2</v>
      </c>
      <c r="U83" s="56">
        <v>3</v>
      </c>
    </row>
    <row r="84" spans="1:21" ht="14.25" customHeight="1" thickBot="1" x14ac:dyDescent="0.4">
      <c r="A84" s="58">
        <v>68</v>
      </c>
      <c r="B84" s="69" t="s">
        <v>79</v>
      </c>
      <c r="C84" s="69" t="s">
        <v>80</v>
      </c>
      <c r="D84" s="70" t="s">
        <v>51</v>
      </c>
      <c r="E84" s="69" t="s">
        <v>442</v>
      </c>
      <c r="F84" s="69" t="s">
        <v>443</v>
      </c>
      <c r="G84" s="69" t="s">
        <v>54</v>
      </c>
      <c r="H84" s="70">
        <v>2006</v>
      </c>
      <c r="I84" s="69"/>
      <c r="J84" s="69" t="s">
        <v>444</v>
      </c>
      <c r="K84" s="71" t="s">
        <v>445</v>
      </c>
      <c r="L84" s="71" t="s">
        <v>446</v>
      </c>
      <c r="M84" s="71" t="s">
        <v>447</v>
      </c>
      <c r="N84" s="69" t="s">
        <v>57</v>
      </c>
      <c r="O84" s="64">
        <v>1</v>
      </c>
      <c r="P84" s="72">
        <v>13500000</v>
      </c>
      <c r="Q84" s="69" t="s">
        <v>448</v>
      </c>
      <c r="R84" s="69"/>
      <c r="S84" s="68" t="s">
        <v>41</v>
      </c>
      <c r="T84" s="56">
        <v>2</v>
      </c>
      <c r="U84" s="56">
        <v>3</v>
      </c>
    </row>
    <row r="85" spans="1:21" ht="14.25" customHeight="1" x14ac:dyDescent="0.35">
      <c r="A85" s="47">
        <v>69</v>
      </c>
      <c r="B85" s="69" t="s">
        <v>79</v>
      </c>
      <c r="C85" s="69" t="s">
        <v>80</v>
      </c>
      <c r="D85" s="70" t="s">
        <v>51</v>
      </c>
      <c r="E85" s="69" t="s">
        <v>442</v>
      </c>
      <c r="F85" s="69" t="s">
        <v>443</v>
      </c>
      <c r="G85" s="69" t="s">
        <v>54</v>
      </c>
      <c r="H85" s="70">
        <v>2006</v>
      </c>
      <c r="I85" s="69"/>
      <c r="J85" s="69" t="s">
        <v>449</v>
      </c>
      <c r="K85" s="71" t="s">
        <v>450</v>
      </c>
      <c r="L85" s="71" t="s">
        <v>451</v>
      </c>
      <c r="M85" s="71" t="s">
        <v>452</v>
      </c>
      <c r="N85" s="69" t="s">
        <v>57</v>
      </c>
      <c r="O85" s="64">
        <v>1</v>
      </c>
      <c r="P85" s="72">
        <v>14500000</v>
      </c>
      <c r="Q85" s="69" t="s">
        <v>453</v>
      </c>
      <c r="R85" s="69"/>
      <c r="S85" s="68" t="s">
        <v>41</v>
      </c>
      <c r="T85" s="56">
        <v>2</v>
      </c>
      <c r="U85" s="56">
        <v>3</v>
      </c>
    </row>
    <row r="86" spans="1:21" ht="14.25" customHeight="1" thickBot="1" x14ac:dyDescent="0.4">
      <c r="A86" s="58">
        <v>70</v>
      </c>
      <c r="B86" s="69" t="s">
        <v>79</v>
      </c>
      <c r="C86" s="69" t="s">
        <v>80</v>
      </c>
      <c r="D86" s="70" t="s">
        <v>51</v>
      </c>
      <c r="E86" s="69" t="s">
        <v>430</v>
      </c>
      <c r="F86" s="69" t="s">
        <v>82</v>
      </c>
      <c r="G86" s="69" t="s">
        <v>54</v>
      </c>
      <c r="H86" s="70">
        <v>2007</v>
      </c>
      <c r="I86" s="69"/>
      <c r="J86" s="69" t="s">
        <v>454</v>
      </c>
      <c r="K86" s="71" t="s">
        <v>455</v>
      </c>
      <c r="L86" s="71" t="s">
        <v>456</v>
      </c>
      <c r="M86" s="71" t="s">
        <v>457</v>
      </c>
      <c r="N86" s="69" t="s">
        <v>57</v>
      </c>
      <c r="O86" s="64">
        <v>1</v>
      </c>
      <c r="P86" s="72">
        <v>13500000</v>
      </c>
      <c r="Q86" s="69" t="s">
        <v>458</v>
      </c>
      <c r="R86" s="69"/>
      <c r="S86" s="68" t="s">
        <v>41</v>
      </c>
      <c r="T86" s="56">
        <v>2</v>
      </c>
      <c r="U86" s="56">
        <v>3</v>
      </c>
    </row>
    <row r="87" spans="1:21" ht="14.25" customHeight="1" x14ac:dyDescent="0.35">
      <c r="A87" s="47">
        <v>71</v>
      </c>
      <c r="B87" s="69" t="s">
        <v>79</v>
      </c>
      <c r="C87" s="69" t="s">
        <v>80</v>
      </c>
      <c r="D87" s="70" t="s">
        <v>51</v>
      </c>
      <c r="E87" s="69" t="s">
        <v>459</v>
      </c>
      <c r="F87" s="69" t="s">
        <v>82</v>
      </c>
      <c r="G87" s="69" t="s">
        <v>54</v>
      </c>
      <c r="H87" s="70">
        <v>2007</v>
      </c>
      <c r="I87" s="69"/>
      <c r="J87" s="69" t="s">
        <v>460</v>
      </c>
      <c r="K87" s="71" t="s">
        <v>461</v>
      </c>
      <c r="L87" s="71" t="s">
        <v>462</v>
      </c>
      <c r="M87" s="71" t="s">
        <v>463</v>
      </c>
      <c r="N87" s="69" t="s">
        <v>57</v>
      </c>
      <c r="O87" s="64">
        <v>1</v>
      </c>
      <c r="P87" s="72">
        <v>13500000</v>
      </c>
      <c r="Q87" s="69" t="s">
        <v>464</v>
      </c>
      <c r="R87" s="69"/>
      <c r="S87" s="68" t="s">
        <v>41</v>
      </c>
      <c r="T87" s="56">
        <v>2</v>
      </c>
      <c r="U87" s="56">
        <v>3</v>
      </c>
    </row>
    <row r="88" spans="1:21" ht="14.25" customHeight="1" thickBot="1" x14ac:dyDescent="0.4">
      <c r="A88" s="58">
        <v>72</v>
      </c>
      <c r="B88" s="69" t="s">
        <v>79</v>
      </c>
      <c r="C88" s="69" t="s">
        <v>80</v>
      </c>
      <c r="D88" s="70" t="s">
        <v>51</v>
      </c>
      <c r="E88" s="69" t="s">
        <v>465</v>
      </c>
      <c r="F88" s="69" t="s">
        <v>88</v>
      </c>
      <c r="G88" s="69" t="s">
        <v>54</v>
      </c>
      <c r="H88" s="70">
        <v>2013</v>
      </c>
      <c r="I88" s="69"/>
      <c r="J88" s="69" t="s">
        <v>467</v>
      </c>
      <c r="K88" s="71" t="s">
        <v>468</v>
      </c>
      <c r="L88" s="71" t="s">
        <v>469</v>
      </c>
      <c r="M88" s="71" t="s">
        <v>470</v>
      </c>
      <c r="N88" s="69" t="s">
        <v>57</v>
      </c>
      <c r="O88" s="64">
        <v>1</v>
      </c>
      <c r="P88" s="72">
        <v>15971437</v>
      </c>
      <c r="Q88" s="69" t="s">
        <v>471</v>
      </c>
      <c r="R88" s="69"/>
      <c r="S88" s="68" t="s">
        <v>41</v>
      </c>
      <c r="T88" s="56">
        <v>2</v>
      </c>
      <c r="U88" s="56">
        <v>3</v>
      </c>
    </row>
    <row r="89" spans="1:21" ht="14.25" customHeight="1" x14ac:dyDescent="0.35">
      <c r="A89" s="47">
        <v>73</v>
      </c>
      <c r="B89" s="69" t="s">
        <v>79</v>
      </c>
      <c r="C89" s="69" t="s">
        <v>80</v>
      </c>
      <c r="D89" s="70" t="s">
        <v>51</v>
      </c>
      <c r="E89" s="69" t="s">
        <v>465</v>
      </c>
      <c r="F89" s="69" t="s">
        <v>88</v>
      </c>
      <c r="G89" s="69" t="s">
        <v>54</v>
      </c>
      <c r="H89" s="70">
        <v>2013</v>
      </c>
      <c r="I89" s="69"/>
      <c r="J89" s="69" t="s">
        <v>472</v>
      </c>
      <c r="K89" s="71" t="s">
        <v>473</v>
      </c>
      <c r="L89" s="71" t="s">
        <v>474</v>
      </c>
      <c r="M89" s="71" t="s">
        <v>475</v>
      </c>
      <c r="N89" s="69" t="s">
        <v>57</v>
      </c>
      <c r="O89" s="64">
        <v>1</v>
      </c>
      <c r="P89" s="72">
        <v>15971437</v>
      </c>
      <c r="Q89" s="69" t="s">
        <v>476</v>
      </c>
      <c r="R89" s="69"/>
      <c r="S89" s="68" t="s">
        <v>41</v>
      </c>
      <c r="T89" s="56">
        <v>2</v>
      </c>
      <c r="U89" s="56">
        <v>3</v>
      </c>
    </row>
    <row r="90" spans="1:21" ht="14.25" customHeight="1" thickBot="1" x14ac:dyDescent="0.4">
      <c r="A90" s="58">
        <v>74</v>
      </c>
      <c r="B90" s="69" t="s">
        <v>79</v>
      </c>
      <c r="C90" s="69" t="s">
        <v>80</v>
      </c>
      <c r="D90" s="70" t="s">
        <v>51</v>
      </c>
      <c r="E90" s="69" t="s">
        <v>465</v>
      </c>
      <c r="F90" s="69" t="s">
        <v>88</v>
      </c>
      <c r="G90" s="69" t="s">
        <v>54</v>
      </c>
      <c r="H90" s="70">
        <v>2013</v>
      </c>
      <c r="I90" s="69"/>
      <c r="J90" s="69" t="s">
        <v>477</v>
      </c>
      <c r="K90" s="71" t="s">
        <v>478</v>
      </c>
      <c r="L90" s="71" t="s">
        <v>479</v>
      </c>
      <c r="M90" s="71" t="s">
        <v>480</v>
      </c>
      <c r="N90" s="69" t="s">
        <v>57</v>
      </c>
      <c r="O90" s="64">
        <v>1</v>
      </c>
      <c r="P90" s="72">
        <v>15971437</v>
      </c>
      <c r="Q90" s="69" t="s">
        <v>481</v>
      </c>
      <c r="R90" s="69"/>
      <c r="S90" s="68" t="s">
        <v>41</v>
      </c>
      <c r="T90" s="56">
        <v>2</v>
      </c>
      <c r="U90" s="56">
        <v>3</v>
      </c>
    </row>
    <row r="91" spans="1:21" ht="14.25" customHeight="1" x14ac:dyDescent="0.35">
      <c r="A91" s="47">
        <v>75</v>
      </c>
      <c r="B91" s="69" t="s">
        <v>79</v>
      </c>
      <c r="C91" s="69" t="s">
        <v>80</v>
      </c>
      <c r="D91" s="70" t="s">
        <v>51</v>
      </c>
      <c r="E91" s="69" t="s">
        <v>482</v>
      </c>
      <c r="F91" s="69" t="s">
        <v>483</v>
      </c>
      <c r="G91" s="69" t="s">
        <v>484</v>
      </c>
      <c r="H91" s="70">
        <v>2020</v>
      </c>
      <c r="I91" s="69" t="s">
        <v>63</v>
      </c>
      <c r="J91" s="69" t="s">
        <v>485</v>
      </c>
      <c r="K91" s="71" t="s">
        <v>486</v>
      </c>
      <c r="L91" s="71" t="s">
        <v>487</v>
      </c>
      <c r="M91" s="71" t="s">
        <v>63</v>
      </c>
      <c r="N91" s="69" t="s">
        <v>57</v>
      </c>
      <c r="O91" s="64">
        <v>1</v>
      </c>
      <c r="P91" s="72">
        <v>22900000</v>
      </c>
      <c r="Q91" s="69" t="s">
        <v>488</v>
      </c>
      <c r="R91" s="69"/>
      <c r="S91" s="68" t="s">
        <v>41</v>
      </c>
      <c r="T91" s="56">
        <v>2</v>
      </c>
      <c r="U91" s="56">
        <v>3</v>
      </c>
    </row>
    <row r="92" spans="1:21" ht="14.25" customHeight="1" thickBot="1" x14ac:dyDescent="0.4">
      <c r="A92" s="58">
        <v>76</v>
      </c>
      <c r="B92" s="69" t="s">
        <v>79</v>
      </c>
      <c r="C92" s="69" t="s">
        <v>80</v>
      </c>
      <c r="D92" s="70" t="s">
        <v>59</v>
      </c>
      <c r="E92" s="69" t="s">
        <v>489</v>
      </c>
      <c r="F92" s="69" t="s">
        <v>443</v>
      </c>
      <c r="G92" s="69" t="s">
        <v>54</v>
      </c>
      <c r="H92" s="70">
        <v>2006</v>
      </c>
      <c r="I92" s="69"/>
      <c r="J92" s="69" t="s">
        <v>490</v>
      </c>
      <c r="K92" s="71" t="s">
        <v>491</v>
      </c>
      <c r="L92" s="71" t="s">
        <v>492</v>
      </c>
      <c r="M92" s="71" t="s">
        <v>493</v>
      </c>
      <c r="N92" s="69" t="s">
        <v>57</v>
      </c>
      <c r="O92" s="64">
        <v>1</v>
      </c>
      <c r="P92" s="72">
        <v>14500000</v>
      </c>
      <c r="Q92" s="69" t="s">
        <v>494</v>
      </c>
      <c r="R92" s="69"/>
      <c r="S92" s="68" t="s">
        <v>41</v>
      </c>
      <c r="T92" s="56">
        <v>2</v>
      </c>
      <c r="U92" s="56">
        <v>3</v>
      </c>
    </row>
    <row r="93" spans="1:21" ht="14.25" customHeight="1" x14ac:dyDescent="0.35">
      <c r="A93" s="47">
        <v>77</v>
      </c>
      <c r="B93" s="69" t="s">
        <v>79</v>
      </c>
      <c r="C93" s="69" t="s">
        <v>80</v>
      </c>
      <c r="D93" s="70" t="s">
        <v>59</v>
      </c>
      <c r="E93" s="69" t="s">
        <v>496</v>
      </c>
      <c r="F93" s="69"/>
      <c r="G93" s="69" t="s">
        <v>54</v>
      </c>
      <c r="H93" s="70">
        <v>2006</v>
      </c>
      <c r="I93" s="69"/>
      <c r="J93" s="69" t="s">
        <v>497</v>
      </c>
      <c r="K93" s="71" t="s">
        <v>498</v>
      </c>
      <c r="L93" s="71"/>
      <c r="M93" s="71"/>
      <c r="N93" s="69" t="s">
        <v>422</v>
      </c>
      <c r="O93" s="64">
        <v>1</v>
      </c>
      <c r="P93" s="72">
        <v>14500000</v>
      </c>
      <c r="Q93" s="69" t="s">
        <v>499</v>
      </c>
      <c r="R93" s="69"/>
      <c r="S93" s="68" t="s">
        <v>41</v>
      </c>
      <c r="T93" s="56">
        <v>2</v>
      </c>
      <c r="U93" s="56">
        <v>3</v>
      </c>
    </row>
    <row r="94" spans="1:21" ht="14.25" customHeight="1" thickBot="1" x14ac:dyDescent="0.4">
      <c r="A94" s="58">
        <v>78</v>
      </c>
      <c r="B94" s="69" t="s">
        <v>79</v>
      </c>
      <c r="C94" s="69" t="s">
        <v>80</v>
      </c>
      <c r="D94" s="70" t="s">
        <v>59</v>
      </c>
      <c r="E94" s="69" t="s">
        <v>496</v>
      </c>
      <c r="F94" s="69" t="s">
        <v>82</v>
      </c>
      <c r="G94" s="69" t="s">
        <v>54</v>
      </c>
      <c r="H94" s="70">
        <v>2006</v>
      </c>
      <c r="I94" s="69"/>
      <c r="J94" s="69" t="s">
        <v>500</v>
      </c>
      <c r="K94" s="71" t="s">
        <v>501</v>
      </c>
      <c r="L94" s="71" t="s">
        <v>502</v>
      </c>
      <c r="M94" s="71" t="s">
        <v>503</v>
      </c>
      <c r="N94" s="69" t="s">
        <v>422</v>
      </c>
      <c r="O94" s="64">
        <v>1</v>
      </c>
      <c r="P94" s="72">
        <v>14500000</v>
      </c>
      <c r="Q94" s="69" t="s">
        <v>504</v>
      </c>
      <c r="R94" s="69"/>
      <c r="S94" s="68" t="s">
        <v>41</v>
      </c>
      <c r="T94" s="56">
        <v>2</v>
      </c>
      <c r="U94" s="56">
        <v>3</v>
      </c>
    </row>
    <row r="95" spans="1:21" ht="14.25" customHeight="1" x14ac:dyDescent="0.35">
      <c r="A95" s="47">
        <v>79</v>
      </c>
      <c r="B95" s="69" t="s">
        <v>79</v>
      </c>
      <c r="C95" s="69" t="s">
        <v>80</v>
      </c>
      <c r="D95" s="70" t="s">
        <v>59</v>
      </c>
      <c r="E95" s="69" t="s">
        <v>430</v>
      </c>
      <c r="F95" s="69" t="s">
        <v>82</v>
      </c>
      <c r="G95" s="69" t="s">
        <v>54</v>
      </c>
      <c r="H95" s="70">
        <v>2006</v>
      </c>
      <c r="I95" s="69"/>
      <c r="J95" s="69" t="s">
        <v>505</v>
      </c>
      <c r="K95" s="71" t="s">
        <v>506</v>
      </c>
      <c r="L95" s="71" t="s">
        <v>507</v>
      </c>
      <c r="M95" s="71" t="s">
        <v>508</v>
      </c>
      <c r="N95" s="69" t="s">
        <v>57</v>
      </c>
      <c r="O95" s="64">
        <v>1</v>
      </c>
      <c r="P95" s="72">
        <v>13500000</v>
      </c>
      <c r="Q95" s="69" t="s">
        <v>509</v>
      </c>
      <c r="R95" s="69"/>
      <c r="S95" s="68" t="s">
        <v>41</v>
      </c>
      <c r="T95" s="56">
        <v>2</v>
      </c>
      <c r="U95" s="56">
        <v>3</v>
      </c>
    </row>
    <row r="96" spans="1:21" ht="14.25" customHeight="1" thickBot="1" x14ac:dyDescent="0.4">
      <c r="A96" s="58">
        <v>80</v>
      </c>
      <c r="B96" s="69" t="s">
        <v>79</v>
      </c>
      <c r="C96" s="69" t="s">
        <v>80</v>
      </c>
      <c r="D96" s="70" t="s">
        <v>59</v>
      </c>
      <c r="E96" s="69" t="s">
        <v>430</v>
      </c>
      <c r="F96" s="69" t="s">
        <v>82</v>
      </c>
      <c r="G96" s="69" t="s">
        <v>54</v>
      </c>
      <c r="H96" s="70">
        <v>2007</v>
      </c>
      <c r="I96" s="69"/>
      <c r="J96" s="69" t="s">
        <v>510</v>
      </c>
      <c r="K96" s="71" t="s">
        <v>511</v>
      </c>
      <c r="L96" s="71" t="s">
        <v>512</v>
      </c>
      <c r="M96" s="71" t="s">
        <v>513</v>
      </c>
      <c r="N96" s="69" t="s">
        <v>57</v>
      </c>
      <c r="O96" s="64">
        <v>1</v>
      </c>
      <c r="P96" s="72">
        <v>13500000</v>
      </c>
      <c r="Q96" s="69" t="s">
        <v>514</v>
      </c>
      <c r="R96" s="69"/>
      <c r="S96" s="68" t="s">
        <v>41</v>
      </c>
      <c r="T96" s="56">
        <v>2</v>
      </c>
      <c r="U96" s="56">
        <v>3</v>
      </c>
    </row>
    <row r="97" spans="1:21" ht="14.25" customHeight="1" x14ac:dyDescent="0.35">
      <c r="A97" s="47">
        <v>81</v>
      </c>
      <c r="B97" s="69" t="s">
        <v>79</v>
      </c>
      <c r="C97" s="69" t="s">
        <v>80</v>
      </c>
      <c r="D97" s="70" t="s">
        <v>59</v>
      </c>
      <c r="E97" s="69" t="s">
        <v>430</v>
      </c>
      <c r="F97" s="69" t="s">
        <v>82</v>
      </c>
      <c r="G97" s="69" t="s">
        <v>54</v>
      </c>
      <c r="H97" s="70">
        <v>2007</v>
      </c>
      <c r="I97" s="69"/>
      <c r="J97" s="69" t="s">
        <v>516</v>
      </c>
      <c r="K97" s="71" t="s">
        <v>517</v>
      </c>
      <c r="L97" s="71" t="s">
        <v>518</v>
      </c>
      <c r="M97" s="71" t="s">
        <v>519</v>
      </c>
      <c r="N97" s="69" t="s">
        <v>57</v>
      </c>
      <c r="O97" s="64">
        <v>1</v>
      </c>
      <c r="P97" s="72">
        <v>11750000</v>
      </c>
      <c r="Q97" s="69" t="s">
        <v>520</v>
      </c>
      <c r="R97" s="69"/>
      <c r="S97" s="68" t="s">
        <v>41</v>
      </c>
      <c r="T97" s="56">
        <v>2</v>
      </c>
      <c r="U97" s="56">
        <v>3</v>
      </c>
    </row>
    <row r="98" spans="1:21" ht="14.25" customHeight="1" thickBot="1" x14ac:dyDescent="0.4">
      <c r="A98" s="58">
        <v>82</v>
      </c>
      <c r="B98" s="69" t="s">
        <v>79</v>
      </c>
      <c r="C98" s="69" t="s">
        <v>80</v>
      </c>
      <c r="D98" s="70" t="s">
        <v>59</v>
      </c>
      <c r="E98" s="69" t="s">
        <v>459</v>
      </c>
      <c r="F98" s="69" t="s">
        <v>82</v>
      </c>
      <c r="G98" s="69" t="s">
        <v>54</v>
      </c>
      <c r="H98" s="70">
        <v>2007</v>
      </c>
      <c r="I98" s="69"/>
      <c r="J98" s="69" t="s">
        <v>521</v>
      </c>
      <c r="K98" s="71" t="s">
        <v>522</v>
      </c>
      <c r="L98" s="71" t="s">
        <v>523</v>
      </c>
      <c r="M98" s="71" t="s">
        <v>524</v>
      </c>
      <c r="N98" s="69" t="s">
        <v>57</v>
      </c>
      <c r="O98" s="64">
        <v>1</v>
      </c>
      <c r="P98" s="72">
        <v>13500000</v>
      </c>
      <c r="Q98" s="69" t="s">
        <v>525</v>
      </c>
      <c r="R98" s="69"/>
      <c r="S98" s="68" t="s">
        <v>41</v>
      </c>
      <c r="T98" s="56">
        <v>2</v>
      </c>
      <c r="U98" s="56">
        <v>3</v>
      </c>
    </row>
    <row r="99" spans="1:21" ht="14.25" customHeight="1" x14ac:dyDescent="0.35">
      <c r="A99" s="47">
        <v>83</v>
      </c>
      <c r="B99" s="69" t="s">
        <v>79</v>
      </c>
      <c r="C99" s="69" t="s">
        <v>80</v>
      </c>
      <c r="D99" s="70" t="s">
        <v>59</v>
      </c>
      <c r="E99" s="69" t="s">
        <v>430</v>
      </c>
      <c r="F99" s="69" t="s">
        <v>82</v>
      </c>
      <c r="G99" s="69" t="s">
        <v>54</v>
      </c>
      <c r="H99" s="70">
        <v>2007</v>
      </c>
      <c r="I99" s="69"/>
      <c r="J99" s="69" t="s">
        <v>526</v>
      </c>
      <c r="K99" s="71" t="s">
        <v>527</v>
      </c>
      <c r="L99" s="71" t="s">
        <v>528</v>
      </c>
      <c r="M99" s="71" t="s">
        <v>529</v>
      </c>
      <c r="N99" s="69" t="s">
        <v>57</v>
      </c>
      <c r="O99" s="64">
        <v>1</v>
      </c>
      <c r="P99" s="72">
        <v>13500000</v>
      </c>
      <c r="Q99" s="69" t="s">
        <v>530</v>
      </c>
      <c r="R99" s="69"/>
      <c r="S99" s="68" t="s">
        <v>41</v>
      </c>
      <c r="T99" s="56">
        <v>2</v>
      </c>
      <c r="U99" s="56">
        <v>3</v>
      </c>
    </row>
    <row r="100" spans="1:21" ht="14.25" customHeight="1" thickBot="1" x14ac:dyDescent="0.4">
      <c r="A100" s="58">
        <v>84</v>
      </c>
      <c r="B100" s="69" t="s">
        <v>79</v>
      </c>
      <c r="C100" s="69" t="s">
        <v>80</v>
      </c>
      <c r="D100" s="70" t="s">
        <v>59</v>
      </c>
      <c r="E100" s="69" t="s">
        <v>531</v>
      </c>
      <c r="F100" s="69" t="s">
        <v>443</v>
      </c>
      <c r="G100" s="69" t="s">
        <v>54</v>
      </c>
      <c r="H100" s="70">
        <v>2010</v>
      </c>
      <c r="I100" s="69"/>
      <c r="J100" s="69" t="s">
        <v>532</v>
      </c>
      <c r="K100" s="71" t="s">
        <v>533</v>
      </c>
      <c r="L100" s="71" t="s">
        <v>534</v>
      </c>
      <c r="M100" s="71" t="s">
        <v>535</v>
      </c>
      <c r="N100" s="69" t="s">
        <v>57</v>
      </c>
      <c r="O100" s="64">
        <v>1</v>
      </c>
      <c r="P100" s="72">
        <v>13350000</v>
      </c>
      <c r="Q100" s="69" t="s">
        <v>536</v>
      </c>
      <c r="R100" s="69"/>
      <c r="S100" s="68" t="s">
        <v>41</v>
      </c>
      <c r="T100" s="56">
        <v>2</v>
      </c>
      <c r="U100" s="56">
        <v>3</v>
      </c>
    </row>
    <row r="101" spans="1:21" ht="14.25" customHeight="1" x14ac:dyDescent="0.35">
      <c r="A101" s="47">
        <v>85</v>
      </c>
      <c r="B101" s="69" t="s">
        <v>79</v>
      </c>
      <c r="C101" s="69" t="s">
        <v>80</v>
      </c>
      <c r="D101" s="70" t="s">
        <v>59</v>
      </c>
      <c r="E101" s="69" t="s">
        <v>531</v>
      </c>
      <c r="F101" s="69" t="s">
        <v>443</v>
      </c>
      <c r="G101" s="69" t="s">
        <v>54</v>
      </c>
      <c r="H101" s="70">
        <v>2010</v>
      </c>
      <c r="I101" s="69"/>
      <c r="J101" s="69" t="s">
        <v>537</v>
      </c>
      <c r="K101" s="71" t="s">
        <v>538</v>
      </c>
      <c r="L101" s="71" t="s">
        <v>539</v>
      </c>
      <c r="M101" s="71" t="s">
        <v>540</v>
      </c>
      <c r="N101" s="69" t="s">
        <v>57</v>
      </c>
      <c r="O101" s="64">
        <v>1</v>
      </c>
      <c r="P101" s="72">
        <v>13350000</v>
      </c>
      <c r="Q101" s="69" t="s">
        <v>541</v>
      </c>
      <c r="R101" s="69"/>
      <c r="S101" s="68" t="s">
        <v>41</v>
      </c>
      <c r="T101" s="56">
        <v>2</v>
      </c>
      <c r="U101" s="56">
        <v>3</v>
      </c>
    </row>
    <row r="102" spans="1:21" ht="14.25" customHeight="1" thickBot="1" x14ac:dyDescent="0.4">
      <c r="A102" s="58">
        <v>86</v>
      </c>
      <c r="B102" s="69" t="s">
        <v>79</v>
      </c>
      <c r="C102" s="69" t="s">
        <v>80</v>
      </c>
      <c r="D102" s="70" t="s">
        <v>59</v>
      </c>
      <c r="E102" s="69" t="s">
        <v>531</v>
      </c>
      <c r="F102" s="69" t="s">
        <v>443</v>
      </c>
      <c r="G102" s="69" t="s">
        <v>54</v>
      </c>
      <c r="H102" s="70">
        <v>2010</v>
      </c>
      <c r="I102" s="69"/>
      <c r="J102" s="69" t="s">
        <v>543</v>
      </c>
      <c r="K102" s="71" t="s">
        <v>544</v>
      </c>
      <c r="L102" s="71" t="s">
        <v>545</v>
      </c>
      <c r="M102" s="71" t="s">
        <v>546</v>
      </c>
      <c r="N102" s="69" t="s">
        <v>57</v>
      </c>
      <c r="O102" s="64">
        <v>1</v>
      </c>
      <c r="P102" s="72">
        <v>13350000</v>
      </c>
      <c r="Q102" s="69" t="s">
        <v>547</v>
      </c>
      <c r="R102" s="69"/>
      <c r="S102" s="68" t="s">
        <v>41</v>
      </c>
      <c r="T102" s="56">
        <v>2</v>
      </c>
      <c r="U102" s="56">
        <v>3</v>
      </c>
    </row>
    <row r="103" spans="1:21" ht="14.25" customHeight="1" x14ac:dyDescent="0.35">
      <c r="A103" s="47">
        <v>87</v>
      </c>
      <c r="B103" s="69" t="s">
        <v>79</v>
      </c>
      <c r="C103" s="69" t="s">
        <v>80</v>
      </c>
      <c r="D103" s="70" t="s">
        <v>59</v>
      </c>
      <c r="E103" s="69" t="s">
        <v>465</v>
      </c>
      <c r="F103" s="69" t="s">
        <v>88</v>
      </c>
      <c r="G103" s="69" t="s">
        <v>54</v>
      </c>
      <c r="H103" s="70">
        <v>2013</v>
      </c>
      <c r="I103" s="69"/>
      <c r="J103" s="69" t="s">
        <v>548</v>
      </c>
      <c r="K103" s="71" t="s">
        <v>549</v>
      </c>
      <c r="L103" s="71" t="s">
        <v>550</v>
      </c>
      <c r="M103" s="71" t="s">
        <v>551</v>
      </c>
      <c r="N103" s="69" t="s">
        <v>57</v>
      </c>
      <c r="O103" s="64">
        <v>1</v>
      </c>
      <c r="P103" s="72">
        <v>15971437</v>
      </c>
      <c r="Q103" s="69" t="s">
        <v>552</v>
      </c>
      <c r="R103" s="69"/>
      <c r="S103" s="68" t="s">
        <v>41</v>
      </c>
      <c r="T103" s="56">
        <v>2</v>
      </c>
      <c r="U103" s="56">
        <v>3</v>
      </c>
    </row>
    <row r="104" spans="1:21" ht="14.25" customHeight="1" thickBot="1" x14ac:dyDescent="0.4">
      <c r="A104" s="58">
        <v>88</v>
      </c>
      <c r="B104" s="69" t="s">
        <v>79</v>
      </c>
      <c r="C104" s="69" t="s">
        <v>80</v>
      </c>
      <c r="D104" s="70" t="s">
        <v>59</v>
      </c>
      <c r="E104" s="73" t="s">
        <v>482</v>
      </c>
      <c r="F104" s="73" t="s">
        <v>483</v>
      </c>
      <c r="G104" s="73" t="s">
        <v>553</v>
      </c>
      <c r="H104" s="74">
        <v>2020</v>
      </c>
      <c r="I104" s="73" t="s">
        <v>63</v>
      </c>
      <c r="J104" s="73" t="s">
        <v>554</v>
      </c>
      <c r="K104" s="73" t="s">
        <v>555</v>
      </c>
      <c r="L104" s="73" t="s">
        <v>487</v>
      </c>
      <c r="M104" s="73" t="s">
        <v>63</v>
      </c>
      <c r="N104" s="73" t="s">
        <v>57</v>
      </c>
      <c r="O104" s="75">
        <v>1</v>
      </c>
      <c r="P104" s="76">
        <v>22900000</v>
      </c>
      <c r="Q104" s="73" t="s">
        <v>488</v>
      </c>
      <c r="R104" s="73"/>
      <c r="S104" s="77" t="s">
        <v>41</v>
      </c>
      <c r="T104" s="56">
        <v>2</v>
      </c>
      <c r="U104" s="56">
        <v>3</v>
      </c>
    </row>
    <row r="105" spans="1:21" ht="14.25" customHeight="1" x14ac:dyDescent="0.35">
      <c r="A105" s="47">
        <v>89</v>
      </c>
      <c r="B105" s="69" t="s">
        <v>79</v>
      </c>
      <c r="C105" s="69" t="s">
        <v>80</v>
      </c>
      <c r="D105" s="70" t="s">
        <v>97</v>
      </c>
      <c r="E105" s="69" t="s">
        <v>556</v>
      </c>
      <c r="F105" s="69" t="s">
        <v>443</v>
      </c>
      <c r="G105" s="69" t="s">
        <v>54</v>
      </c>
      <c r="H105" s="70">
        <v>2006</v>
      </c>
      <c r="I105" s="69"/>
      <c r="J105" s="69" t="s">
        <v>557</v>
      </c>
      <c r="K105" s="71" t="s">
        <v>558</v>
      </c>
      <c r="L105" s="71" t="s">
        <v>559</v>
      </c>
      <c r="M105" s="71" t="s">
        <v>560</v>
      </c>
      <c r="N105" s="69" t="s">
        <v>57</v>
      </c>
      <c r="O105" s="64">
        <v>1</v>
      </c>
      <c r="P105" s="72">
        <v>14500000</v>
      </c>
      <c r="Q105" s="69" t="s">
        <v>562</v>
      </c>
      <c r="R105" s="69"/>
      <c r="S105" s="68" t="s">
        <v>41</v>
      </c>
      <c r="T105" s="56">
        <v>2</v>
      </c>
      <c r="U105" s="56">
        <v>3</v>
      </c>
    </row>
    <row r="106" spans="1:21" ht="14.25" customHeight="1" thickBot="1" x14ac:dyDescent="0.4">
      <c r="A106" s="58">
        <v>90</v>
      </c>
      <c r="B106" s="69" t="s">
        <v>79</v>
      </c>
      <c r="C106" s="69" t="s">
        <v>80</v>
      </c>
      <c r="D106" s="70" t="s">
        <v>97</v>
      </c>
      <c r="E106" s="69" t="s">
        <v>563</v>
      </c>
      <c r="F106" s="69" t="s">
        <v>443</v>
      </c>
      <c r="G106" s="69" t="s">
        <v>54</v>
      </c>
      <c r="H106" s="70">
        <v>2006</v>
      </c>
      <c r="I106" s="69"/>
      <c r="J106" s="69" t="s">
        <v>490</v>
      </c>
      <c r="K106" s="71" t="s">
        <v>491</v>
      </c>
      <c r="L106" s="71" t="s">
        <v>564</v>
      </c>
      <c r="M106" s="71" t="s">
        <v>565</v>
      </c>
      <c r="N106" s="69" t="s">
        <v>57</v>
      </c>
      <c r="O106" s="64">
        <v>1</v>
      </c>
      <c r="P106" s="72">
        <v>14500000</v>
      </c>
      <c r="Q106" s="69" t="s">
        <v>566</v>
      </c>
      <c r="R106" s="69"/>
      <c r="S106" s="68" t="s">
        <v>41</v>
      </c>
      <c r="T106" s="56">
        <v>2</v>
      </c>
      <c r="U106" s="56">
        <v>3</v>
      </c>
    </row>
    <row r="107" spans="1:21" ht="14.25" customHeight="1" x14ac:dyDescent="0.35">
      <c r="A107" s="47">
        <v>91</v>
      </c>
      <c r="B107" s="69" t="s">
        <v>79</v>
      </c>
      <c r="C107" s="69" t="s">
        <v>80</v>
      </c>
      <c r="D107" s="70" t="s">
        <v>97</v>
      </c>
      <c r="E107" s="69" t="s">
        <v>567</v>
      </c>
      <c r="F107" s="69" t="s">
        <v>443</v>
      </c>
      <c r="G107" s="69" t="s">
        <v>54</v>
      </c>
      <c r="H107" s="70">
        <v>2006</v>
      </c>
      <c r="I107" s="69"/>
      <c r="J107" s="69" t="s">
        <v>568</v>
      </c>
      <c r="K107" s="71" t="s">
        <v>569</v>
      </c>
      <c r="L107" s="71" t="s">
        <v>570</v>
      </c>
      <c r="M107" s="71" t="s">
        <v>571</v>
      </c>
      <c r="N107" s="69" t="s">
        <v>57</v>
      </c>
      <c r="O107" s="64">
        <v>1</v>
      </c>
      <c r="P107" s="72">
        <v>14500000</v>
      </c>
      <c r="Q107" s="69" t="s">
        <v>572</v>
      </c>
      <c r="R107" s="69"/>
      <c r="S107" s="68" t="s">
        <v>41</v>
      </c>
      <c r="T107" s="56">
        <v>2</v>
      </c>
      <c r="U107" s="56">
        <v>3</v>
      </c>
    </row>
    <row r="108" spans="1:21" ht="14.25" customHeight="1" thickBot="1" x14ac:dyDescent="0.4">
      <c r="A108" s="58">
        <v>92</v>
      </c>
      <c r="B108" s="69" t="s">
        <v>79</v>
      </c>
      <c r="C108" s="69" t="s">
        <v>80</v>
      </c>
      <c r="D108" s="70" t="s">
        <v>97</v>
      </c>
      <c r="E108" s="69" t="s">
        <v>430</v>
      </c>
      <c r="F108" s="69" t="s">
        <v>82</v>
      </c>
      <c r="G108" s="69" t="s">
        <v>54</v>
      </c>
      <c r="H108" s="70">
        <v>2006</v>
      </c>
      <c r="I108" s="69"/>
      <c r="J108" s="69" t="s">
        <v>573</v>
      </c>
      <c r="K108" s="71" t="s">
        <v>574</v>
      </c>
      <c r="L108" s="71" t="s">
        <v>575</v>
      </c>
      <c r="M108" s="71" t="s">
        <v>576</v>
      </c>
      <c r="N108" s="69" t="s">
        <v>57</v>
      </c>
      <c r="O108" s="64">
        <v>1</v>
      </c>
      <c r="P108" s="72">
        <v>13500000</v>
      </c>
      <c r="Q108" s="69" t="s">
        <v>577</v>
      </c>
      <c r="R108" s="69"/>
      <c r="S108" s="68" t="s">
        <v>41</v>
      </c>
      <c r="T108" s="56">
        <v>2</v>
      </c>
      <c r="U108" s="56">
        <v>3</v>
      </c>
    </row>
    <row r="109" spans="1:21" ht="14.25" customHeight="1" x14ac:dyDescent="0.35">
      <c r="A109" s="47">
        <v>93</v>
      </c>
      <c r="B109" s="69" t="s">
        <v>79</v>
      </c>
      <c r="C109" s="69" t="s">
        <v>80</v>
      </c>
      <c r="D109" s="70" t="s">
        <v>97</v>
      </c>
      <c r="E109" s="69" t="s">
        <v>430</v>
      </c>
      <c r="F109" s="69" t="s">
        <v>82</v>
      </c>
      <c r="G109" s="69" t="s">
        <v>54</v>
      </c>
      <c r="H109" s="70">
        <v>2007</v>
      </c>
      <c r="I109" s="69"/>
      <c r="J109" s="69" t="s">
        <v>578</v>
      </c>
      <c r="K109" s="71" t="s">
        <v>579</v>
      </c>
      <c r="L109" s="71" t="s">
        <v>581</v>
      </c>
      <c r="M109" s="71" t="s">
        <v>582</v>
      </c>
      <c r="N109" s="69" t="s">
        <v>57</v>
      </c>
      <c r="O109" s="64">
        <v>1</v>
      </c>
      <c r="P109" s="72">
        <v>13500000</v>
      </c>
      <c r="Q109" s="69" t="s">
        <v>583</v>
      </c>
      <c r="R109" s="69"/>
      <c r="S109" s="68" t="s">
        <v>41</v>
      </c>
      <c r="T109" s="56">
        <v>2</v>
      </c>
      <c r="U109" s="56">
        <v>3</v>
      </c>
    </row>
    <row r="110" spans="1:21" ht="14.25" customHeight="1" thickBot="1" x14ac:dyDescent="0.4">
      <c r="A110" s="58">
        <v>94</v>
      </c>
      <c r="B110" s="69" t="s">
        <v>79</v>
      </c>
      <c r="C110" s="69" t="s">
        <v>80</v>
      </c>
      <c r="D110" s="70" t="s">
        <v>97</v>
      </c>
      <c r="E110" s="69" t="s">
        <v>430</v>
      </c>
      <c r="F110" s="69" t="s">
        <v>82</v>
      </c>
      <c r="G110" s="69" t="s">
        <v>54</v>
      </c>
      <c r="H110" s="70">
        <v>2007</v>
      </c>
      <c r="I110" s="69"/>
      <c r="J110" s="69" t="s">
        <v>584</v>
      </c>
      <c r="K110" s="71" t="s">
        <v>585</v>
      </c>
      <c r="L110" s="71" t="s">
        <v>586</v>
      </c>
      <c r="M110" s="71" t="s">
        <v>587</v>
      </c>
      <c r="N110" s="69" t="s">
        <v>57</v>
      </c>
      <c r="O110" s="64">
        <v>1</v>
      </c>
      <c r="P110" s="72">
        <v>13500000</v>
      </c>
      <c r="Q110" s="69" t="s">
        <v>588</v>
      </c>
      <c r="R110" s="69"/>
      <c r="S110" s="68" t="s">
        <v>41</v>
      </c>
      <c r="T110" s="56">
        <v>2</v>
      </c>
      <c r="U110" s="56">
        <v>3</v>
      </c>
    </row>
    <row r="111" spans="1:21" ht="14.25" customHeight="1" x14ac:dyDescent="0.35">
      <c r="A111" s="47">
        <v>95</v>
      </c>
      <c r="B111" s="69" t="s">
        <v>79</v>
      </c>
      <c r="C111" s="69" t="s">
        <v>80</v>
      </c>
      <c r="D111" s="70" t="s">
        <v>97</v>
      </c>
      <c r="E111" s="69" t="s">
        <v>459</v>
      </c>
      <c r="F111" s="69" t="s">
        <v>82</v>
      </c>
      <c r="G111" s="69" t="s">
        <v>54</v>
      </c>
      <c r="H111" s="70">
        <v>2007</v>
      </c>
      <c r="I111" s="69"/>
      <c r="J111" s="69" t="s">
        <v>589</v>
      </c>
      <c r="K111" s="71" t="s">
        <v>590</v>
      </c>
      <c r="L111" s="71" t="s">
        <v>591</v>
      </c>
      <c r="M111" s="71" t="s">
        <v>592</v>
      </c>
      <c r="N111" s="69" t="s">
        <v>57</v>
      </c>
      <c r="O111" s="64">
        <v>1</v>
      </c>
      <c r="P111" s="72">
        <v>13500000</v>
      </c>
      <c r="Q111" s="69" t="s">
        <v>593</v>
      </c>
      <c r="R111" s="69"/>
      <c r="S111" s="68" t="s">
        <v>41</v>
      </c>
      <c r="T111" s="56">
        <v>2</v>
      </c>
      <c r="U111" s="56">
        <v>3</v>
      </c>
    </row>
    <row r="112" spans="1:21" ht="14.25" customHeight="1" thickBot="1" x14ac:dyDescent="0.4">
      <c r="A112" s="58">
        <v>96</v>
      </c>
      <c r="B112" s="69" t="s">
        <v>79</v>
      </c>
      <c r="C112" s="69" t="s">
        <v>80</v>
      </c>
      <c r="D112" s="70" t="s">
        <v>97</v>
      </c>
      <c r="E112" s="69" t="s">
        <v>594</v>
      </c>
      <c r="F112" s="69"/>
      <c r="G112" s="69" t="s">
        <v>54</v>
      </c>
      <c r="H112" s="70">
        <v>2008</v>
      </c>
      <c r="I112" s="69"/>
      <c r="J112" s="69" t="s">
        <v>595</v>
      </c>
      <c r="K112" s="71" t="s">
        <v>596</v>
      </c>
      <c r="L112" s="71" t="s">
        <v>597</v>
      </c>
      <c r="M112" s="71" t="s">
        <v>598</v>
      </c>
      <c r="N112" s="69" t="s">
        <v>57</v>
      </c>
      <c r="O112" s="64">
        <v>1</v>
      </c>
      <c r="P112" s="72">
        <v>15650000</v>
      </c>
      <c r="Q112" s="69" t="s">
        <v>599</v>
      </c>
      <c r="R112" s="69"/>
      <c r="S112" s="68" t="s">
        <v>41</v>
      </c>
      <c r="T112" s="56">
        <v>2</v>
      </c>
      <c r="U112" s="56">
        <v>3</v>
      </c>
    </row>
    <row r="113" spans="1:21" ht="14.25" customHeight="1" x14ac:dyDescent="0.35">
      <c r="A113" s="47">
        <v>97</v>
      </c>
      <c r="B113" s="69" t="s">
        <v>79</v>
      </c>
      <c r="C113" s="69" t="s">
        <v>80</v>
      </c>
      <c r="D113" s="70" t="s">
        <v>97</v>
      </c>
      <c r="E113" s="69" t="s">
        <v>531</v>
      </c>
      <c r="F113" s="69" t="s">
        <v>443</v>
      </c>
      <c r="G113" s="69" t="s">
        <v>54</v>
      </c>
      <c r="H113" s="70">
        <v>2010</v>
      </c>
      <c r="I113" s="69"/>
      <c r="J113" s="69" t="s">
        <v>600</v>
      </c>
      <c r="K113" s="71" t="s">
        <v>601</v>
      </c>
      <c r="L113" s="71" t="s">
        <v>602</v>
      </c>
      <c r="M113" s="71" t="s">
        <v>603</v>
      </c>
      <c r="N113" s="69" t="s">
        <v>57</v>
      </c>
      <c r="O113" s="64">
        <v>1</v>
      </c>
      <c r="P113" s="72">
        <v>13350000</v>
      </c>
      <c r="Q113" s="69" t="s">
        <v>604</v>
      </c>
      <c r="R113" s="69"/>
      <c r="S113" s="68" t="s">
        <v>41</v>
      </c>
      <c r="T113" s="56">
        <v>2</v>
      </c>
      <c r="U113" s="56">
        <v>3</v>
      </c>
    </row>
    <row r="114" spans="1:21" ht="14.25" customHeight="1" thickBot="1" x14ac:dyDescent="0.4">
      <c r="A114" s="58">
        <v>98</v>
      </c>
      <c r="B114" s="69" t="s">
        <v>79</v>
      </c>
      <c r="C114" s="69" t="s">
        <v>80</v>
      </c>
      <c r="D114" s="70" t="s">
        <v>97</v>
      </c>
      <c r="E114" s="69" t="s">
        <v>465</v>
      </c>
      <c r="F114" s="69" t="s">
        <v>88</v>
      </c>
      <c r="G114" s="69" t="s">
        <v>54</v>
      </c>
      <c r="H114" s="70">
        <v>2013</v>
      </c>
      <c r="I114" s="69"/>
      <c r="J114" s="69" t="s">
        <v>606</v>
      </c>
      <c r="K114" s="71" t="s">
        <v>607</v>
      </c>
      <c r="L114" s="71" t="s">
        <v>608</v>
      </c>
      <c r="M114" s="71" t="s">
        <v>609</v>
      </c>
      <c r="N114" s="69" t="s">
        <v>57</v>
      </c>
      <c r="O114" s="64">
        <v>1</v>
      </c>
      <c r="P114" s="72">
        <v>15971437</v>
      </c>
      <c r="Q114" s="69" t="s">
        <v>610</v>
      </c>
      <c r="R114" s="69"/>
      <c r="S114" s="68" t="s">
        <v>41</v>
      </c>
      <c r="T114" s="56">
        <v>2</v>
      </c>
      <c r="U114" s="56">
        <v>3</v>
      </c>
    </row>
    <row r="115" spans="1:21" ht="14.25" customHeight="1" x14ac:dyDescent="0.35">
      <c r="A115" s="47">
        <v>99</v>
      </c>
      <c r="B115" s="69" t="s">
        <v>79</v>
      </c>
      <c r="C115" s="69" t="s">
        <v>80</v>
      </c>
      <c r="D115" s="70" t="s">
        <v>97</v>
      </c>
      <c r="E115" s="69" t="s">
        <v>482</v>
      </c>
      <c r="F115" s="69" t="s">
        <v>483</v>
      </c>
      <c r="G115" s="69" t="s">
        <v>484</v>
      </c>
      <c r="H115" s="70">
        <v>2020</v>
      </c>
      <c r="I115" s="69" t="s">
        <v>63</v>
      </c>
      <c r="J115" s="69" t="s">
        <v>611</v>
      </c>
      <c r="K115" s="71" t="s">
        <v>612</v>
      </c>
      <c r="L115" s="71" t="s">
        <v>487</v>
      </c>
      <c r="M115" s="71" t="s">
        <v>63</v>
      </c>
      <c r="N115" s="69" t="s">
        <v>57</v>
      </c>
      <c r="O115" s="64">
        <v>1</v>
      </c>
      <c r="P115" s="72">
        <v>22900000</v>
      </c>
      <c r="Q115" s="69" t="s">
        <v>488</v>
      </c>
      <c r="R115" s="69"/>
      <c r="S115" s="68" t="s">
        <v>41</v>
      </c>
      <c r="T115" s="56">
        <v>2</v>
      </c>
      <c r="U115" s="56">
        <v>3</v>
      </c>
    </row>
    <row r="116" spans="1:21" ht="14.25" customHeight="1" thickBot="1" x14ac:dyDescent="0.4">
      <c r="A116" s="58">
        <v>100</v>
      </c>
      <c r="B116" s="69" t="s">
        <v>79</v>
      </c>
      <c r="C116" s="69" t="s">
        <v>80</v>
      </c>
      <c r="D116" s="70" t="s">
        <v>101</v>
      </c>
      <c r="E116" s="69" t="s">
        <v>489</v>
      </c>
      <c r="F116" s="69" t="s">
        <v>443</v>
      </c>
      <c r="G116" s="69" t="s">
        <v>54</v>
      </c>
      <c r="H116" s="70">
        <v>2006</v>
      </c>
      <c r="I116" s="69"/>
      <c r="J116" s="69" t="s">
        <v>613</v>
      </c>
      <c r="K116" s="71" t="s">
        <v>614</v>
      </c>
      <c r="L116" s="71" t="s">
        <v>615</v>
      </c>
      <c r="M116" s="71" t="s">
        <v>616</v>
      </c>
      <c r="N116" s="69" t="s">
        <v>57</v>
      </c>
      <c r="O116" s="64">
        <v>1</v>
      </c>
      <c r="P116" s="72">
        <v>14500000</v>
      </c>
      <c r="Q116" s="69" t="s">
        <v>617</v>
      </c>
      <c r="R116" s="69"/>
      <c r="S116" s="68" t="s">
        <v>41</v>
      </c>
      <c r="T116" s="56">
        <v>2</v>
      </c>
      <c r="U116" s="56">
        <v>3</v>
      </c>
    </row>
    <row r="117" spans="1:21" ht="14.25" customHeight="1" x14ac:dyDescent="0.35">
      <c r="A117" s="47">
        <v>101</v>
      </c>
      <c r="B117" s="69" t="s">
        <v>79</v>
      </c>
      <c r="C117" s="69" t="s">
        <v>80</v>
      </c>
      <c r="D117" s="70" t="s">
        <v>101</v>
      </c>
      <c r="E117" s="69" t="s">
        <v>430</v>
      </c>
      <c r="F117" s="69" t="s">
        <v>82</v>
      </c>
      <c r="G117" s="69" t="s">
        <v>54</v>
      </c>
      <c r="H117" s="70">
        <v>2006</v>
      </c>
      <c r="I117" s="69"/>
      <c r="J117" s="69" t="s">
        <v>618</v>
      </c>
      <c r="K117" s="71" t="s">
        <v>619</v>
      </c>
      <c r="L117" s="71" t="s">
        <v>439</v>
      </c>
      <c r="M117" s="71" t="s">
        <v>619</v>
      </c>
      <c r="N117" s="69" t="s">
        <v>57</v>
      </c>
      <c r="O117" s="64">
        <v>1</v>
      </c>
      <c r="P117" s="72">
        <v>13500000</v>
      </c>
      <c r="Q117" s="69" t="s">
        <v>620</v>
      </c>
      <c r="R117" s="69"/>
      <c r="S117" s="68" t="s">
        <v>41</v>
      </c>
      <c r="T117" s="56">
        <v>2</v>
      </c>
      <c r="U117" s="56">
        <v>3</v>
      </c>
    </row>
    <row r="118" spans="1:21" ht="14.25" customHeight="1" thickBot="1" x14ac:dyDescent="0.4">
      <c r="A118" s="58">
        <v>102</v>
      </c>
      <c r="B118" s="69" t="s">
        <v>79</v>
      </c>
      <c r="C118" s="69" t="s">
        <v>80</v>
      </c>
      <c r="D118" s="70" t="s">
        <v>101</v>
      </c>
      <c r="E118" s="69" t="s">
        <v>430</v>
      </c>
      <c r="F118" s="69" t="s">
        <v>82</v>
      </c>
      <c r="G118" s="69" t="s">
        <v>54</v>
      </c>
      <c r="H118" s="70">
        <v>2007</v>
      </c>
      <c r="I118" s="69"/>
      <c r="J118" s="69" t="s">
        <v>622</v>
      </c>
      <c r="K118" s="71" t="s">
        <v>623</v>
      </c>
      <c r="L118" s="71" t="s">
        <v>624</v>
      </c>
      <c r="M118" s="71" t="s">
        <v>625</v>
      </c>
      <c r="N118" s="69" t="s">
        <v>57</v>
      </c>
      <c r="O118" s="64">
        <v>1</v>
      </c>
      <c r="P118" s="72">
        <v>13500000</v>
      </c>
      <c r="Q118" s="69" t="s">
        <v>626</v>
      </c>
      <c r="R118" s="69"/>
      <c r="S118" s="68" t="s">
        <v>41</v>
      </c>
      <c r="T118" s="56">
        <v>2</v>
      </c>
      <c r="U118" s="56">
        <v>3</v>
      </c>
    </row>
    <row r="119" spans="1:21" ht="14.25" customHeight="1" x14ac:dyDescent="0.35">
      <c r="A119" s="47">
        <v>103</v>
      </c>
      <c r="B119" s="69" t="s">
        <v>79</v>
      </c>
      <c r="C119" s="69" t="s">
        <v>80</v>
      </c>
      <c r="D119" s="70" t="s">
        <v>101</v>
      </c>
      <c r="E119" s="69" t="s">
        <v>430</v>
      </c>
      <c r="F119" s="69" t="s">
        <v>82</v>
      </c>
      <c r="G119" s="69" t="s">
        <v>54</v>
      </c>
      <c r="H119" s="70">
        <v>2007</v>
      </c>
      <c r="I119" s="69"/>
      <c r="J119" s="69" t="s">
        <v>627</v>
      </c>
      <c r="K119" s="71" t="s">
        <v>628</v>
      </c>
      <c r="L119" s="71" t="s">
        <v>629</v>
      </c>
      <c r="M119" s="71" t="s">
        <v>630</v>
      </c>
      <c r="N119" s="69" t="s">
        <v>57</v>
      </c>
      <c r="O119" s="64">
        <v>1</v>
      </c>
      <c r="P119" s="72">
        <v>13500000</v>
      </c>
      <c r="Q119" s="69" t="s">
        <v>631</v>
      </c>
      <c r="R119" s="69"/>
      <c r="S119" s="68" t="s">
        <v>41</v>
      </c>
      <c r="T119" s="56">
        <v>2</v>
      </c>
      <c r="U119" s="56">
        <v>3</v>
      </c>
    </row>
    <row r="120" spans="1:21" ht="14.25" customHeight="1" thickBot="1" x14ac:dyDescent="0.4">
      <c r="A120" s="58">
        <v>104</v>
      </c>
      <c r="B120" s="69" t="s">
        <v>79</v>
      </c>
      <c r="C120" s="69" t="s">
        <v>80</v>
      </c>
      <c r="D120" s="70" t="s">
        <v>101</v>
      </c>
      <c r="E120" s="69" t="s">
        <v>459</v>
      </c>
      <c r="F120" s="69" t="s">
        <v>82</v>
      </c>
      <c r="G120" s="69" t="s">
        <v>54</v>
      </c>
      <c r="H120" s="70">
        <v>2007</v>
      </c>
      <c r="I120" s="69"/>
      <c r="J120" s="69" t="s">
        <v>632</v>
      </c>
      <c r="K120" s="71" t="s">
        <v>633</v>
      </c>
      <c r="L120" s="71" t="s">
        <v>634</v>
      </c>
      <c r="M120" s="71" t="s">
        <v>635</v>
      </c>
      <c r="N120" s="69" t="s">
        <v>57</v>
      </c>
      <c r="O120" s="64">
        <v>1</v>
      </c>
      <c r="P120" s="72">
        <v>13500000</v>
      </c>
      <c r="Q120" s="69" t="s">
        <v>636</v>
      </c>
      <c r="R120" s="69"/>
      <c r="S120" s="68" t="s">
        <v>41</v>
      </c>
      <c r="T120" s="56">
        <v>2</v>
      </c>
      <c r="U120" s="56">
        <v>3</v>
      </c>
    </row>
    <row r="121" spans="1:21" ht="14.25" customHeight="1" x14ac:dyDescent="0.35">
      <c r="A121" s="47">
        <v>105</v>
      </c>
      <c r="B121" s="69" t="s">
        <v>79</v>
      </c>
      <c r="C121" s="69" t="s">
        <v>80</v>
      </c>
      <c r="D121" s="70" t="s">
        <v>101</v>
      </c>
      <c r="E121" s="69" t="s">
        <v>430</v>
      </c>
      <c r="F121" s="69" t="s">
        <v>82</v>
      </c>
      <c r="G121" s="69" t="s">
        <v>54</v>
      </c>
      <c r="H121" s="70">
        <v>2007</v>
      </c>
      <c r="I121" s="69"/>
      <c r="J121" s="69" t="s">
        <v>637</v>
      </c>
      <c r="K121" s="71" t="s">
        <v>638</v>
      </c>
      <c r="L121" s="71" t="s">
        <v>639</v>
      </c>
      <c r="M121" s="71" t="s">
        <v>640</v>
      </c>
      <c r="N121" s="69" t="s">
        <v>57</v>
      </c>
      <c r="O121" s="64">
        <v>1</v>
      </c>
      <c r="P121" s="72">
        <v>13500000</v>
      </c>
      <c r="Q121" s="69" t="s">
        <v>641</v>
      </c>
      <c r="R121" s="69"/>
      <c r="S121" s="68" t="s">
        <v>41</v>
      </c>
      <c r="T121" s="56">
        <v>2</v>
      </c>
      <c r="U121" s="56">
        <v>3</v>
      </c>
    </row>
    <row r="122" spans="1:21" ht="14.25" customHeight="1" thickBot="1" x14ac:dyDescent="0.4">
      <c r="A122" s="58">
        <v>106</v>
      </c>
      <c r="B122" s="69" t="s">
        <v>79</v>
      </c>
      <c r="C122" s="69" t="s">
        <v>80</v>
      </c>
      <c r="D122" s="70" t="s">
        <v>101</v>
      </c>
      <c r="E122" s="69" t="s">
        <v>459</v>
      </c>
      <c r="F122" s="69" t="s">
        <v>82</v>
      </c>
      <c r="G122" s="69" t="s">
        <v>54</v>
      </c>
      <c r="H122" s="70">
        <v>2007</v>
      </c>
      <c r="I122" s="69"/>
      <c r="J122" s="69" t="s">
        <v>642</v>
      </c>
      <c r="K122" s="71" t="s">
        <v>643</v>
      </c>
      <c r="L122" s="71" t="s">
        <v>644</v>
      </c>
      <c r="M122" s="71" t="s">
        <v>645</v>
      </c>
      <c r="N122" s="69" t="s">
        <v>57</v>
      </c>
      <c r="O122" s="64">
        <v>1</v>
      </c>
      <c r="P122" s="72">
        <v>13500000</v>
      </c>
      <c r="Q122" s="69" t="s">
        <v>525</v>
      </c>
      <c r="R122" s="69"/>
      <c r="S122" s="68" t="s">
        <v>41</v>
      </c>
      <c r="T122" s="56">
        <v>2</v>
      </c>
      <c r="U122" s="56">
        <v>3</v>
      </c>
    </row>
    <row r="123" spans="1:21" ht="14.25" customHeight="1" x14ac:dyDescent="0.35">
      <c r="A123" s="47">
        <v>107</v>
      </c>
      <c r="B123" s="69" t="s">
        <v>79</v>
      </c>
      <c r="C123" s="69" t="s">
        <v>80</v>
      </c>
      <c r="D123" s="70" t="s">
        <v>101</v>
      </c>
      <c r="E123" s="69" t="s">
        <v>531</v>
      </c>
      <c r="F123" s="69" t="s">
        <v>443</v>
      </c>
      <c r="G123" s="69" t="s">
        <v>54</v>
      </c>
      <c r="H123" s="70">
        <v>2010</v>
      </c>
      <c r="I123" s="69"/>
      <c r="J123" s="69" t="s">
        <v>647</v>
      </c>
      <c r="K123" s="71" t="s">
        <v>648</v>
      </c>
      <c r="L123" s="71" t="s">
        <v>649</v>
      </c>
      <c r="M123" s="71" t="s">
        <v>650</v>
      </c>
      <c r="N123" s="69" t="s">
        <v>57</v>
      </c>
      <c r="O123" s="64">
        <v>1</v>
      </c>
      <c r="P123" s="72">
        <v>13350000</v>
      </c>
      <c r="Q123" s="69" t="s">
        <v>651</v>
      </c>
      <c r="R123" s="69"/>
      <c r="S123" s="68" t="s">
        <v>41</v>
      </c>
      <c r="T123" s="56">
        <v>2</v>
      </c>
      <c r="U123" s="56">
        <v>3</v>
      </c>
    </row>
    <row r="124" spans="1:21" ht="14.25" customHeight="1" thickBot="1" x14ac:dyDescent="0.4">
      <c r="A124" s="58">
        <v>108</v>
      </c>
      <c r="B124" s="69" t="s">
        <v>79</v>
      </c>
      <c r="C124" s="69" t="s">
        <v>80</v>
      </c>
      <c r="D124" s="70" t="s">
        <v>101</v>
      </c>
      <c r="E124" s="69" t="s">
        <v>465</v>
      </c>
      <c r="F124" s="69" t="s">
        <v>88</v>
      </c>
      <c r="G124" s="69" t="s">
        <v>54</v>
      </c>
      <c r="H124" s="70">
        <v>2013</v>
      </c>
      <c r="I124" s="69"/>
      <c r="J124" s="69" t="s">
        <v>652</v>
      </c>
      <c r="K124" s="71" t="s">
        <v>653</v>
      </c>
      <c r="L124" s="71" t="s">
        <v>654</v>
      </c>
      <c r="M124" s="71" t="s">
        <v>655</v>
      </c>
      <c r="N124" s="69" t="s">
        <v>57</v>
      </c>
      <c r="O124" s="64">
        <v>1</v>
      </c>
      <c r="P124" s="72">
        <v>15971437</v>
      </c>
      <c r="Q124" s="69" t="s">
        <v>656</v>
      </c>
      <c r="R124" s="69"/>
      <c r="S124" s="68" t="s">
        <v>41</v>
      </c>
      <c r="T124" s="56">
        <v>2</v>
      </c>
      <c r="U124" s="56">
        <v>3</v>
      </c>
    </row>
    <row r="125" spans="1:21" ht="14.25" customHeight="1" x14ac:dyDescent="0.35">
      <c r="A125" s="47">
        <v>109</v>
      </c>
      <c r="B125" s="69" t="s">
        <v>79</v>
      </c>
      <c r="C125" s="69" t="s">
        <v>80</v>
      </c>
      <c r="D125" s="70" t="s">
        <v>101</v>
      </c>
      <c r="E125" s="69" t="s">
        <v>465</v>
      </c>
      <c r="F125" s="69" t="s">
        <v>88</v>
      </c>
      <c r="G125" s="69" t="s">
        <v>54</v>
      </c>
      <c r="H125" s="70">
        <v>2013</v>
      </c>
      <c r="I125" s="69"/>
      <c r="J125" s="69" t="s">
        <v>657</v>
      </c>
      <c r="K125" s="71" t="s">
        <v>658</v>
      </c>
      <c r="L125" s="71" t="s">
        <v>659</v>
      </c>
      <c r="M125" s="71" t="s">
        <v>660</v>
      </c>
      <c r="N125" s="69" t="s">
        <v>57</v>
      </c>
      <c r="O125" s="64">
        <v>1</v>
      </c>
      <c r="P125" s="72">
        <v>15971437</v>
      </c>
      <c r="Q125" s="69" t="s">
        <v>661</v>
      </c>
      <c r="R125" s="69"/>
      <c r="S125" s="68" t="s">
        <v>41</v>
      </c>
      <c r="T125" s="56">
        <v>2</v>
      </c>
      <c r="U125" s="56">
        <v>3</v>
      </c>
    </row>
    <row r="126" spans="1:21" ht="14.25" customHeight="1" thickBot="1" x14ac:dyDescent="0.4">
      <c r="A126" s="58">
        <v>110</v>
      </c>
      <c r="B126" s="69" t="s">
        <v>79</v>
      </c>
      <c r="C126" s="69" t="s">
        <v>80</v>
      </c>
      <c r="D126" s="70" t="s">
        <v>101</v>
      </c>
      <c r="E126" s="69" t="s">
        <v>482</v>
      </c>
      <c r="F126" s="69" t="s">
        <v>483</v>
      </c>
      <c r="G126" s="69" t="s">
        <v>484</v>
      </c>
      <c r="H126" s="70">
        <v>2020</v>
      </c>
      <c r="I126" s="69" t="s">
        <v>63</v>
      </c>
      <c r="J126" s="69" t="s">
        <v>662</v>
      </c>
      <c r="K126" s="71" t="s">
        <v>663</v>
      </c>
      <c r="L126" s="71" t="s">
        <v>487</v>
      </c>
      <c r="M126" s="71" t="s">
        <v>612</v>
      </c>
      <c r="N126" s="69" t="s">
        <v>57</v>
      </c>
      <c r="O126" s="64">
        <v>1</v>
      </c>
      <c r="P126" s="72">
        <v>22900000</v>
      </c>
      <c r="Q126" s="69" t="s">
        <v>488</v>
      </c>
      <c r="R126" s="69"/>
      <c r="S126" s="68" t="s">
        <v>41</v>
      </c>
      <c r="T126" s="56">
        <v>2</v>
      </c>
      <c r="U126" s="56">
        <v>3</v>
      </c>
    </row>
    <row r="127" spans="1:21" ht="14.25" customHeight="1" x14ac:dyDescent="0.35">
      <c r="A127" s="47">
        <v>111</v>
      </c>
      <c r="B127" s="69" t="s">
        <v>79</v>
      </c>
      <c r="C127" s="69" t="s">
        <v>80</v>
      </c>
      <c r="D127" s="70" t="s">
        <v>107</v>
      </c>
      <c r="E127" s="69" t="s">
        <v>664</v>
      </c>
      <c r="F127" s="69">
        <v>110</v>
      </c>
      <c r="G127" s="69" t="s">
        <v>54</v>
      </c>
      <c r="H127" s="70">
        <v>2006</v>
      </c>
      <c r="I127" s="69"/>
      <c r="J127" s="69" t="s">
        <v>666</v>
      </c>
      <c r="K127" s="71" t="s">
        <v>667</v>
      </c>
      <c r="L127" s="71" t="s">
        <v>668</v>
      </c>
      <c r="M127" s="71" t="s">
        <v>669</v>
      </c>
      <c r="N127" s="69" t="s">
        <v>57</v>
      </c>
      <c r="O127" s="64">
        <v>1</v>
      </c>
      <c r="P127" s="72">
        <v>11250000</v>
      </c>
      <c r="Q127" s="69" t="s">
        <v>670</v>
      </c>
      <c r="R127" s="69"/>
      <c r="S127" s="68" t="s">
        <v>41</v>
      </c>
      <c r="T127" s="56">
        <v>2</v>
      </c>
      <c r="U127" s="56">
        <v>3</v>
      </c>
    </row>
    <row r="128" spans="1:21" ht="14.25" customHeight="1" thickBot="1" x14ac:dyDescent="0.4">
      <c r="A128" s="58">
        <v>112</v>
      </c>
      <c r="B128" s="69" t="s">
        <v>79</v>
      </c>
      <c r="C128" s="69" t="s">
        <v>80</v>
      </c>
      <c r="D128" s="70" t="s">
        <v>107</v>
      </c>
      <c r="E128" s="69" t="s">
        <v>567</v>
      </c>
      <c r="F128" s="69" t="s">
        <v>443</v>
      </c>
      <c r="G128" s="69" t="s">
        <v>54</v>
      </c>
      <c r="H128" s="70">
        <v>2006</v>
      </c>
      <c r="I128" s="69"/>
      <c r="J128" s="69" t="s">
        <v>671</v>
      </c>
      <c r="K128" s="71" t="s">
        <v>672</v>
      </c>
      <c r="L128" s="71" t="s">
        <v>673</v>
      </c>
      <c r="M128" s="71" t="s">
        <v>674</v>
      </c>
      <c r="N128" s="69" t="s">
        <v>57</v>
      </c>
      <c r="O128" s="64">
        <v>1</v>
      </c>
      <c r="P128" s="72">
        <v>14500000</v>
      </c>
      <c r="Q128" s="69" t="s">
        <v>675</v>
      </c>
      <c r="R128" s="69"/>
      <c r="S128" s="68" t="s">
        <v>41</v>
      </c>
      <c r="T128" s="56">
        <v>2</v>
      </c>
      <c r="U128" s="56">
        <v>3</v>
      </c>
    </row>
    <row r="129" spans="1:21" ht="14.25" customHeight="1" x14ac:dyDescent="0.35">
      <c r="A129" s="47">
        <v>113</v>
      </c>
      <c r="B129" s="69" t="s">
        <v>79</v>
      </c>
      <c r="C129" s="69" t="s">
        <v>80</v>
      </c>
      <c r="D129" s="70" t="s">
        <v>107</v>
      </c>
      <c r="E129" s="69" t="s">
        <v>459</v>
      </c>
      <c r="F129" s="69">
        <v>100</v>
      </c>
      <c r="G129" s="69" t="s">
        <v>54</v>
      </c>
      <c r="H129" s="70">
        <v>2006</v>
      </c>
      <c r="I129" s="69"/>
      <c r="J129" s="69" t="s">
        <v>676</v>
      </c>
      <c r="K129" s="71" t="s">
        <v>677</v>
      </c>
      <c r="L129" s="71" t="s">
        <v>678</v>
      </c>
      <c r="M129" s="71" t="s">
        <v>677</v>
      </c>
      <c r="N129" s="69" t="s">
        <v>57</v>
      </c>
      <c r="O129" s="64">
        <v>1</v>
      </c>
      <c r="P129" s="72">
        <v>15650000</v>
      </c>
      <c r="Q129" s="69" t="s">
        <v>679</v>
      </c>
      <c r="R129" s="69"/>
      <c r="S129" s="68" t="s">
        <v>41</v>
      </c>
      <c r="T129" s="56">
        <v>2</v>
      </c>
      <c r="U129" s="56">
        <v>3</v>
      </c>
    </row>
    <row r="130" spans="1:21" ht="14.25" customHeight="1" thickBot="1" x14ac:dyDescent="0.4">
      <c r="A130" s="58">
        <v>114</v>
      </c>
      <c r="B130" s="69" t="s">
        <v>79</v>
      </c>
      <c r="C130" s="69" t="s">
        <v>80</v>
      </c>
      <c r="D130" s="70" t="s">
        <v>107</v>
      </c>
      <c r="E130" s="69" t="s">
        <v>496</v>
      </c>
      <c r="F130" s="69" t="s">
        <v>82</v>
      </c>
      <c r="G130" s="69" t="s">
        <v>54</v>
      </c>
      <c r="H130" s="70">
        <v>2006</v>
      </c>
      <c r="I130" s="69"/>
      <c r="J130" s="69" t="s">
        <v>680</v>
      </c>
      <c r="K130" s="71" t="s">
        <v>681</v>
      </c>
      <c r="L130" s="71" t="s">
        <v>682</v>
      </c>
      <c r="M130" s="71" t="s">
        <v>683</v>
      </c>
      <c r="N130" s="69" t="s">
        <v>422</v>
      </c>
      <c r="O130" s="64">
        <v>1</v>
      </c>
      <c r="P130" s="72">
        <v>14500000</v>
      </c>
      <c r="Q130" s="69" t="s">
        <v>684</v>
      </c>
      <c r="R130" s="69"/>
      <c r="S130" s="68" t="s">
        <v>41</v>
      </c>
      <c r="T130" s="56">
        <v>2</v>
      </c>
      <c r="U130" s="56">
        <v>3</v>
      </c>
    </row>
    <row r="131" spans="1:21" ht="14.25" customHeight="1" x14ac:dyDescent="0.35">
      <c r="A131" s="47">
        <v>115</v>
      </c>
      <c r="B131" s="69" t="s">
        <v>79</v>
      </c>
      <c r="C131" s="69" t="s">
        <v>80</v>
      </c>
      <c r="D131" s="70" t="s">
        <v>107</v>
      </c>
      <c r="E131" s="69" t="s">
        <v>430</v>
      </c>
      <c r="F131" s="69" t="s">
        <v>82</v>
      </c>
      <c r="G131" s="69" t="s">
        <v>54</v>
      </c>
      <c r="H131" s="70">
        <v>2007</v>
      </c>
      <c r="I131" s="69"/>
      <c r="J131" s="69" t="s">
        <v>685</v>
      </c>
      <c r="K131" s="71" t="s">
        <v>686</v>
      </c>
      <c r="L131" s="71" t="s">
        <v>688</v>
      </c>
      <c r="M131" s="71" t="s">
        <v>689</v>
      </c>
      <c r="N131" s="69" t="s">
        <v>57</v>
      </c>
      <c r="O131" s="64">
        <v>1</v>
      </c>
      <c r="P131" s="72">
        <v>13500000</v>
      </c>
      <c r="Q131" s="69" t="s">
        <v>690</v>
      </c>
      <c r="R131" s="69"/>
      <c r="S131" s="68" t="s">
        <v>41</v>
      </c>
      <c r="T131" s="56">
        <v>2</v>
      </c>
      <c r="U131" s="56">
        <v>3</v>
      </c>
    </row>
    <row r="132" spans="1:21" ht="14.25" customHeight="1" thickBot="1" x14ac:dyDescent="0.4">
      <c r="A132" s="58">
        <v>116</v>
      </c>
      <c r="B132" s="69" t="s">
        <v>79</v>
      </c>
      <c r="C132" s="69" t="s">
        <v>80</v>
      </c>
      <c r="D132" s="70" t="s">
        <v>107</v>
      </c>
      <c r="E132" s="69" t="s">
        <v>430</v>
      </c>
      <c r="F132" s="69" t="s">
        <v>82</v>
      </c>
      <c r="G132" s="69" t="s">
        <v>54</v>
      </c>
      <c r="H132" s="70">
        <v>2007</v>
      </c>
      <c r="I132" s="69"/>
      <c r="J132" s="69" t="s">
        <v>691</v>
      </c>
      <c r="K132" s="71" t="s">
        <v>692</v>
      </c>
      <c r="L132" s="71" t="s">
        <v>693</v>
      </c>
      <c r="M132" s="71" t="s">
        <v>694</v>
      </c>
      <c r="N132" s="69" t="s">
        <v>57</v>
      </c>
      <c r="O132" s="64">
        <v>1</v>
      </c>
      <c r="P132" s="72">
        <v>13500000</v>
      </c>
      <c r="Q132" s="69" t="s">
        <v>695</v>
      </c>
      <c r="R132" s="69"/>
      <c r="S132" s="68" t="s">
        <v>41</v>
      </c>
      <c r="T132" s="56">
        <v>2</v>
      </c>
      <c r="U132" s="56">
        <v>3</v>
      </c>
    </row>
    <row r="133" spans="1:21" ht="14.25" customHeight="1" x14ac:dyDescent="0.35">
      <c r="A133" s="47">
        <v>117</v>
      </c>
      <c r="B133" s="69" t="s">
        <v>79</v>
      </c>
      <c r="C133" s="69" t="s">
        <v>80</v>
      </c>
      <c r="D133" s="70" t="s">
        <v>107</v>
      </c>
      <c r="E133" s="69" t="s">
        <v>459</v>
      </c>
      <c r="F133" s="69" t="s">
        <v>82</v>
      </c>
      <c r="G133" s="69" t="s">
        <v>54</v>
      </c>
      <c r="H133" s="70">
        <v>2007</v>
      </c>
      <c r="I133" s="69"/>
      <c r="J133" s="69" t="s">
        <v>696</v>
      </c>
      <c r="K133" s="71" t="s">
        <v>697</v>
      </c>
      <c r="L133" s="71" t="s">
        <v>698</v>
      </c>
      <c r="M133" s="71" t="s">
        <v>699</v>
      </c>
      <c r="N133" s="69" t="s">
        <v>57</v>
      </c>
      <c r="O133" s="64">
        <v>1</v>
      </c>
      <c r="P133" s="72">
        <v>13500000</v>
      </c>
      <c r="Q133" s="69" t="s">
        <v>700</v>
      </c>
      <c r="R133" s="69"/>
      <c r="S133" s="68" t="s">
        <v>41</v>
      </c>
      <c r="T133" s="56">
        <v>2</v>
      </c>
      <c r="U133" s="56">
        <v>3</v>
      </c>
    </row>
    <row r="134" spans="1:21" ht="14.25" customHeight="1" thickBot="1" x14ac:dyDescent="0.4">
      <c r="A134" s="58">
        <v>118</v>
      </c>
      <c r="B134" s="69" t="s">
        <v>79</v>
      </c>
      <c r="C134" s="69" t="s">
        <v>80</v>
      </c>
      <c r="D134" s="70" t="s">
        <v>107</v>
      </c>
      <c r="E134" s="69" t="s">
        <v>701</v>
      </c>
      <c r="F134" s="69" t="s">
        <v>82</v>
      </c>
      <c r="G134" s="69" t="s">
        <v>54</v>
      </c>
      <c r="H134" s="70">
        <v>2007</v>
      </c>
      <c r="I134" s="69"/>
      <c r="J134" s="69" t="s">
        <v>702</v>
      </c>
      <c r="K134" s="71" t="s">
        <v>703</v>
      </c>
      <c r="L134" s="71" t="s">
        <v>704</v>
      </c>
      <c r="M134" s="71" t="s">
        <v>705</v>
      </c>
      <c r="N134" s="69" t="s">
        <v>57</v>
      </c>
      <c r="O134" s="64">
        <v>1</v>
      </c>
      <c r="P134" s="72">
        <v>11750000</v>
      </c>
      <c r="Q134" s="69" t="s">
        <v>706</v>
      </c>
      <c r="R134" s="69"/>
      <c r="S134" s="68" t="s">
        <v>41</v>
      </c>
      <c r="T134" s="56">
        <v>2</v>
      </c>
      <c r="U134" s="56">
        <v>3</v>
      </c>
    </row>
    <row r="135" spans="1:21" ht="14.25" customHeight="1" x14ac:dyDescent="0.35">
      <c r="A135" s="47">
        <v>119</v>
      </c>
      <c r="B135" s="69" t="s">
        <v>79</v>
      </c>
      <c r="C135" s="69" t="s">
        <v>80</v>
      </c>
      <c r="D135" s="70" t="s">
        <v>107</v>
      </c>
      <c r="E135" s="69" t="s">
        <v>459</v>
      </c>
      <c r="F135" s="69" t="s">
        <v>82</v>
      </c>
      <c r="G135" s="69" t="s">
        <v>54</v>
      </c>
      <c r="H135" s="70">
        <v>2007</v>
      </c>
      <c r="I135" s="69"/>
      <c r="J135" s="69" t="s">
        <v>707</v>
      </c>
      <c r="K135" s="71" t="s">
        <v>708</v>
      </c>
      <c r="L135" s="71" t="s">
        <v>709</v>
      </c>
      <c r="M135" s="71" t="s">
        <v>710</v>
      </c>
      <c r="N135" s="69" t="s">
        <v>57</v>
      </c>
      <c r="O135" s="64">
        <v>1</v>
      </c>
      <c r="P135" s="72">
        <v>13500000</v>
      </c>
      <c r="Q135" s="69" t="s">
        <v>711</v>
      </c>
      <c r="R135" s="69"/>
      <c r="S135" s="68" t="s">
        <v>41</v>
      </c>
      <c r="T135" s="56">
        <v>2</v>
      </c>
      <c r="U135" s="56">
        <v>3</v>
      </c>
    </row>
    <row r="136" spans="1:21" ht="14.25" customHeight="1" thickBot="1" x14ac:dyDescent="0.4">
      <c r="A136" s="58">
        <v>120</v>
      </c>
      <c r="B136" s="69" t="s">
        <v>79</v>
      </c>
      <c r="C136" s="69" t="s">
        <v>80</v>
      </c>
      <c r="D136" s="70" t="s">
        <v>107</v>
      </c>
      <c r="E136" s="69" t="s">
        <v>459</v>
      </c>
      <c r="F136" s="69" t="s">
        <v>82</v>
      </c>
      <c r="G136" s="69" t="s">
        <v>54</v>
      </c>
      <c r="H136" s="70">
        <v>2007</v>
      </c>
      <c r="I136" s="69"/>
      <c r="J136" s="69" t="s">
        <v>713</v>
      </c>
      <c r="K136" s="71" t="s">
        <v>714</v>
      </c>
      <c r="L136" s="71" t="s">
        <v>715</v>
      </c>
      <c r="M136" s="71" t="s">
        <v>716</v>
      </c>
      <c r="N136" s="69" t="s">
        <v>57</v>
      </c>
      <c r="O136" s="64">
        <v>1</v>
      </c>
      <c r="P136" s="72">
        <v>13500000</v>
      </c>
      <c r="Q136" s="69" t="s">
        <v>717</v>
      </c>
      <c r="R136" s="69"/>
      <c r="S136" s="68" t="s">
        <v>41</v>
      </c>
      <c r="T136" s="56">
        <v>2</v>
      </c>
      <c r="U136" s="56">
        <v>3</v>
      </c>
    </row>
    <row r="137" spans="1:21" ht="14.25" customHeight="1" x14ac:dyDescent="0.35">
      <c r="A137" s="47">
        <v>121</v>
      </c>
      <c r="B137" s="69" t="s">
        <v>79</v>
      </c>
      <c r="C137" s="69" t="s">
        <v>80</v>
      </c>
      <c r="D137" s="70" t="s">
        <v>107</v>
      </c>
      <c r="E137" s="69" t="s">
        <v>465</v>
      </c>
      <c r="F137" s="69" t="s">
        <v>88</v>
      </c>
      <c r="G137" s="69" t="s">
        <v>54</v>
      </c>
      <c r="H137" s="70">
        <v>2013</v>
      </c>
      <c r="I137" s="69"/>
      <c r="J137" s="69" t="s">
        <v>718</v>
      </c>
      <c r="K137" s="71" t="s">
        <v>719</v>
      </c>
      <c r="L137" s="71" t="s">
        <v>720</v>
      </c>
      <c r="M137" s="71" t="s">
        <v>721</v>
      </c>
      <c r="N137" s="69" t="s">
        <v>57</v>
      </c>
      <c r="O137" s="64">
        <v>1</v>
      </c>
      <c r="P137" s="72">
        <v>15971437</v>
      </c>
      <c r="Q137" s="69" t="s">
        <v>722</v>
      </c>
      <c r="R137" s="69"/>
      <c r="S137" s="68" t="s">
        <v>41</v>
      </c>
      <c r="T137" s="56">
        <v>2</v>
      </c>
      <c r="U137" s="56">
        <v>3</v>
      </c>
    </row>
    <row r="138" spans="1:21" ht="14.25" customHeight="1" thickBot="1" x14ac:dyDescent="0.4">
      <c r="A138" s="58">
        <v>122</v>
      </c>
      <c r="B138" s="69" t="s">
        <v>79</v>
      </c>
      <c r="C138" s="69" t="s">
        <v>80</v>
      </c>
      <c r="D138" s="70" t="s">
        <v>107</v>
      </c>
      <c r="E138" s="69" t="s">
        <v>465</v>
      </c>
      <c r="F138" s="69" t="s">
        <v>88</v>
      </c>
      <c r="G138" s="69" t="s">
        <v>54</v>
      </c>
      <c r="H138" s="70">
        <v>2013</v>
      </c>
      <c r="I138" s="69"/>
      <c r="J138" s="69" t="s">
        <v>723</v>
      </c>
      <c r="K138" s="71" t="s">
        <v>724</v>
      </c>
      <c r="L138" s="71" t="s">
        <v>725</v>
      </c>
      <c r="M138" s="71" t="s">
        <v>726</v>
      </c>
      <c r="N138" s="69" t="s">
        <v>57</v>
      </c>
      <c r="O138" s="64">
        <v>1</v>
      </c>
      <c r="P138" s="72">
        <v>15971437</v>
      </c>
      <c r="Q138" s="69" t="s">
        <v>727</v>
      </c>
      <c r="R138" s="69"/>
      <c r="S138" s="68" t="s">
        <v>41</v>
      </c>
      <c r="T138" s="56">
        <v>2</v>
      </c>
      <c r="U138" s="56">
        <v>3</v>
      </c>
    </row>
    <row r="139" spans="1:21" ht="14.25" customHeight="1" x14ac:dyDescent="0.35">
      <c r="A139" s="47">
        <v>123</v>
      </c>
      <c r="B139" s="69" t="s">
        <v>79</v>
      </c>
      <c r="C139" s="69" t="s">
        <v>80</v>
      </c>
      <c r="D139" s="70" t="s">
        <v>107</v>
      </c>
      <c r="E139" s="69" t="s">
        <v>482</v>
      </c>
      <c r="F139" s="69" t="s">
        <v>483</v>
      </c>
      <c r="G139" s="69" t="s">
        <v>484</v>
      </c>
      <c r="H139" s="70">
        <v>2020</v>
      </c>
      <c r="I139" s="69" t="s">
        <v>63</v>
      </c>
      <c r="J139" s="69" t="s">
        <v>728</v>
      </c>
      <c r="K139" s="71" t="s">
        <v>729</v>
      </c>
      <c r="L139" s="71" t="s">
        <v>487</v>
      </c>
      <c r="M139" s="71" t="s">
        <v>485</v>
      </c>
      <c r="N139" s="69" t="s">
        <v>57</v>
      </c>
      <c r="O139" s="64">
        <v>1</v>
      </c>
      <c r="P139" s="72">
        <v>22900000</v>
      </c>
      <c r="Q139" s="69" t="s">
        <v>488</v>
      </c>
      <c r="R139" s="69"/>
      <c r="S139" s="68" t="s">
        <v>41</v>
      </c>
      <c r="T139" s="56">
        <v>2</v>
      </c>
      <c r="U139" s="56">
        <v>3</v>
      </c>
    </row>
    <row r="140" spans="1:21" ht="14.25" customHeight="1" thickBot="1" x14ac:dyDescent="0.4">
      <c r="A140" s="58">
        <v>124</v>
      </c>
      <c r="B140" s="69" t="s">
        <v>79</v>
      </c>
      <c r="C140" s="69" t="s">
        <v>80</v>
      </c>
      <c r="D140" s="70" t="s">
        <v>112</v>
      </c>
      <c r="E140" s="69" t="s">
        <v>730</v>
      </c>
      <c r="F140" s="69" t="s">
        <v>82</v>
      </c>
      <c r="G140" s="69" t="s">
        <v>54</v>
      </c>
      <c r="H140" s="70">
        <v>2004</v>
      </c>
      <c r="I140" s="69"/>
      <c r="J140" s="69" t="s">
        <v>732</v>
      </c>
      <c r="K140" s="71" t="s">
        <v>733</v>
      </c>
      <c r="L140" s="71" t="s">
        <v>734</v>
      </c>
      <c r="M140" s="71" t="s">
        <v>735</v>
      </c>
      <c r="N140" s="69" t="s">
        <v>57</v>
      </c>
      <c r="O140" s="64">
        <v>1</v>
      </c>
      <c r="P140" s="72">
        <v>14500000</v>
      </c>
      <c r="Q140" s="69" t="s">
        <v>736</v>
      </c>
      <c r="R140" s="69"/>
      <c r="S140" s="68" t="s">
        <v>41</v>
      </c>
      <c r="T140" s="56">
        <v>2</v>
      </c>
      <c r="U140" s="56">
        <v>3</v>
      </c>
    </row>
    <row r="141" spans="1:21" ht="14.25" customHeight="1" x14ac:dyDescent="0.35">
      <c r="A141" s="47">
        <v>125</v>
      </c>
      <c r="B141" s="69" t="s">
        <v>79</v>
      </c>
      <c r="C141" s="69" t="s">
        <v>80</v>
      </c>
      <c r="D141" s="70" t="s">
        <v>112</v>
      </c>
      <c r="E141" s="69" t="s">
        <v>737</v>
      </c>
      <c r="F141" s="69" t="s">
        <v>88</v>
      </c>
      <c r="G141" s="69" t="s">
        <v>54</v>
      </c>
      <c r="H141" s="70">
        <v>2006</v>
      </c>
      <c r="I141" s="69"/>
      <c r="J141" s="69" t="s">
        <v>738</v>
      </c>
      <c r="K141" s="71" t="s">
        <v>739</v>
      </c>
      <c r="L141" s="71" t="s">
        <v>740</v>
      </c>
      <c r="M141" s="71" t="s">
        <v>741</v>
      </c>
      <c r="N141" s="69" t="s">
        <v>57</v>
      </c>
      <c r="O141" s="64">
        <v>1</v>
      </c>
      <c r="P141" s="72">
        <v>14500000</v>
      </c>
      <c r="Q141" s="69" t="s">
        <v>742</v>
      </c>
      <c r="R141" s="69"/>
      <c r="S141" s="68" t="s">
        <v>41</v>
      </c>
      <c r="T141" s="56">
        <v>2</v>
      </c>
      <c r="U141" s="56">
        <v>3</v>
      </c>
    </row>
    <row r="142" spans="1:21" ht="14.25" customHeight="1" thickBot="1" x14ac:dyDescent="0.4">
      <c r="A142" s="58">
        <v>126</v>
      </c>
      <c r="B142" s="69" t="s">
        <v>79</v>
      </c>
      <c r="C142" s="69" t="s">
        <v>80</v>
      </c>
      <c r="D142" s="70" t="s">
        <v>112</v>
      </c>
      <c r="E142" s="69" t="s">
        <v>430</v>
      </c>
      <c r="F142" s="69" t="s">
        <v>82</v>
      </c>
      <c r="G142" s="69" t="s">
        <v>54</v>
      </c>
      <c r="H142" s="70">
        <v>2007</v>
      </c>
      <c r="I142" s="69"/>
      <c r="J142" s="69" t="s">
        <v>743</v>
      </c>
      <c r="K142" s="71" t="s">
        <v>744</v>
      </c>
      <c r="L142" s="71" t="s">
        <v>745</v>
      </c>
      <c r="M142" s="71" t="s">
        <v>746</v>
      </c>
      <c r="N142" s="69" t="s">
        <v>57</v>
      </c>
      <c r="O142" s="64">
        <v>1</v>
      </c>
      <c r="P142" s="72">
        <v>13500000</v>
      </c>
      <c r="Q142" s="69" t="s">
        <v>747</v>
      </c>
      <c r="R142" s="69"/>
      <c r="S142" s="68" t="s">
        <v>41</v>
      </c>
      <c r="T142" s="56">
        <v>2</v>
      </c>
      <c r="U142" s="56">
        <v>3</v>
      </c>
    </row>
    <row r="143" spans="1:21" ht="14.25" customHeight="1" x14ac:dyDescent="0.35">
      <c r="A143" s="47">
        <v>127</v>
      </c>
      <c r="B143" s="69" t="s">
        <v>79</v>
      </c>
      <c r="C143" s="69" t="s">
        <v>80</v>
      </c>
      <c r="D143" s="70" t="s">
        <v>112</v>
      </c>
      <c r="E143" s="69" t="s">
        <v>459</v>
      </c>
      <c r="F143" s="69" t="s">
        <v>82</v>
      </c>
      <c r="G143" s="69" t="s">
        <v>54</v>
      </c>
      <c r="H143" s="70">
        <v>2007</v>
      </c>
      <c r="I143" s="69"/>
      <c r="J143" s="69" t="s">
        <v>748</v>
      </c>
      <c r="K143" s="71" t="s">
        <v>749</v>
      </c>
      <c r="L143" s="71" t="s">
        <v>750</v>
      </c>
      <c r="M143" s="71" t="s">
        <v>751</v>
      </c>
      <c r="N143" s="69" t="s">
        <v>57</v>
      </c>
      <c r="O143" s="64">
        <v>1</v>
      </c>
      <c r="P143" s="72">
        <v>13500000</v>
      </c>
      <c r="Q143" s="69" t="s">
        <v>752</v>
      </c>
      <c r="R143" s="69"/>
      <c r="S143" s="68" t="s">
        <v>41</v>
      </c>
      <c r="T143" s="56">
        <v>2</v>
      </c>
      <c r="U143" s="56">
        <v>3</v>
      </c>
    </row>
    <row r="144" spans="1:21" ht="14.25" customHeight="1" thickBot="1" x14ac:dyDescent="0.4">
      <c r="A144" s="58">
        <v>128</v>
      </c>
      <c r="B144" s="69" t="s">
        <v>79</v>
      </c>
      <c r="C144" s="69" t="s">
        <v>80</v>
      </c>
      <c r="D144" s="70" t="s">
        <v>112</v>
      </c>
      <c r="E144" s="69" t="s">
        <v>737</v>
      </c>
      <c r="F144" s="69" t="s">
        <v>88</v>
      </c>
      <c r="G144" s="69" t="s">
        <v>54</v>
      </c>
      <c r="H144" s="70">
        <v>2007</v>
      </c>
      <c r="I144" s="69"/>
      <c r="J144" s="69" t="s">
        <v>753</v>
      </c>
      <c r="K144" s="71" t="s">
        <v>754</v>
      </c>
      <c r="L144" s="71" t="s">
        <v>755</v>
      </c>
      <c r="M144" s="71" t="s">
        <v>756</v>
      </c>
      <c r="N144" s="69" t="s">
        <v>57</v>
      </c>
      <c r="O144" s="64">
        <v>1</v>
      </c>
      <c r="P144" s="72">
        <v>17000000</v>
      </c>
      <c r="Q144" s="69" t="s">
        <v>757</v>
      </c>
      <c r="R144" s="69"/>
      <c r="S144" s="68" t="s">
        <v>41</v>
      </c>
      <c r="T144" s="56">
        <v>2</v>
      </c>
      <c r="U144" s="56">
        <v>3</v>
      </c>
    </row>
    <row r="145" spans="1:21" ht="14.25" customHeight="1" x14ac:dyDescent="0.35">
      <c r="A145" s="47">
        <v>129</v>
      </c>
      <c r="B145" s="69" t="s">
        <v>79</v>
      </c>
      <c r="C145" s="69" t="s">
        <v>80</v>
      </c>
      <c r="D145" s="70" t="s">
        <v>112</v>
      </c>
      <c r="E145" s="69" t="s">
        <v>459</v>
      </c>
      <c r="F145" s="69" t="s">
        <v>82</v>
      </c>
      <c r="G145" s="69" t="s">
        <v>54</v>
      </c>
      <c r="H145" s="70">
        <v>2007</v>
      </c>
      <c r="I145" s="69"/>
      <c r="J145" s="69" t="s">
        <v>759</v>
      </c>
      <c r="K145" s="71" t="s">
        <v>760</v>
      </c>
      <c r="L145" s="71" t="s">
        <v>761</v>
      </c>
      <c r="M145" s="71" t="s">
        <v>762</v>
      </c>
      <c r="N145" s="69" t="s">
        <v>57</v>
      </c>
      <c r="O145" s="64">
        <v>1</v>
      </c>
      <c r="P145" s="72">
        <v>13500000</v>
      </c>
      <c r="Q145" s="69" t="s">
        <v>763</v>
      </c>
      <c r="R145" s="69"/>
      <c r="S145" s="68" t="s">
        <v>41</v>
      </c>
      <c r="T145" s="56">
        <v>2</v>
      </c>
      <c r="U145" s="56">
        <v>3</v>
      </c>
    </row>
    <row r="146" spans="1:21" ht="14.25" customHeight="1" thickBot="1" x14ac:dyDescent="0.4">
      <c r="A146" s="58">
        <v>130</v>
      </c>
      <c r="B146" s="69" t="s">
        <v>79</v>
      </c>
      <c r="C146" s="69" t="s">
        <v>80</v>
      </c>
      <c r="D146" s="70" t="s">
        <v>112</v>
      </c>
      <c r="E146" s="69" t="s">
        <v>459</v>
      </c>
      <c r="F146" s="69" t="s">
        <v>82</v>
      </c>
      <c r="G146" s="69" t="s">
        <v>54</v>
      </c>
      <c r="H146" s="70">
        <v>2007</v>
      </c>
      <c r="I146" s="69"/>
      <c r="J146" s="69" t="s">
        <v>764</v>
      </c>
      <c r="K146" s="71" t="s">
        <v>765</v>
      </c>
      <c r="L146" s="71" t="s">
        <v>766</v>
      </c>
      <c r="M146" s="71" t="s">
        <v>767</v>
      </c>
      <c r="N146" s="69" t="s">
        <v>57</v>
      </c>
      <c r="O146" s="64">
        <v>1</v>
      </c>
      <c r="P146" s="72">
        <v>13500000</v>
      </c>
      <c r="Q146" s="69" t="s">
        <v>768</v>
      </c>
      <c r="R146" s="69"/>
      <c r="S146" s="68" t="s">
        <v>41</v>
      </c>
      <c r="T146" s="56">
        <v>2</v>
      </c>
      <c r="U146" s="56">
        <v>3</v>
      </c>
    </row>
    <row r="147" spans="1:21" ht="14.25" customHeight="1" x14ac:dyDescent="0.35">
      <c r="A147" s="47">
        <v>131</v>
      </c>
      <c r="B147" s="69" t="s">
        <v>79</v>
      </c>
      <c r="C147" s="69" t="s">
        <v>80</v>
      </c>
      <c r="D147" s="70" t="s">
        <v>112</v>
      </c>
      <c r="E147" s="69" t="s">
        <v>465</v>
      </c>
      <c r="F147" s="69" t="s">
        <v>88</v>
      </c>
      <c r="G147" s="69" t="s">
        <v>54</v>
      </c>
      <c r="H147" s="70">
        <v>2013</v>
      </c>
      <c r="I147" s="69"/>
      <c r="J147" s="69" t="s">
        <v>769</v>
      </c>
      <c r="K147" s="71" t="s">
        <v>770</v>
      </c>
      <c r="L147" s="71" t="s">
        <v>771</v>
      </c>
      <c r="M147" s="71" t="s">
        <v>772</v>
      </c>
      <c r="N147" s="69" t="s">
        <v>57</v>
      </c>
      <c r="O147" s="64">
        <v>1</v>
      </c>
      <c r="P147" s="72">
        <v>15971437</v>
      </c>
      <c r="Q147" s="69" t="s">
        <v>773</v>
      </c>
      <c r="R147" s="69"/>
      <c r="S147" s="68" t="s">
        <v>41</v>
      </c>
      <c r="T147" s="56">
        <v>2</v>
      </c>
      <c r="U147" s="56">
        <v>3</v>
      </c>
    </row>
    <row r="148" spans="1:21" ht="14.25" customHeight="1" thickBot="1" x14ac:dyDescent="0.4">
      <c r="A148" s="58">
        <v>132</v>
      </c>
      <c r="B148" s="69" t="s">
        <v>79</v>
      </c>
      <c r="C148" s="69" t="s">
        <v>80</v>
      </c>
      <c r="D148" s="70" t="s">
        <v>112</v>
      </c>
      <c r="E148" s="69" t="s">
        <v>465</v>
      </c>
      <c r="F148" s="69" t="s">
        <v>88</v>
      </c>
      <c r="G148" s="69" t="s">
        <v>54</v>
      </c>
      <c r="H148" s="70">
        <v>2013</v>
      </c>
      <c r="I148" s="69"/>
      <c r="J148" s="69" t="s">
        <v>774</v>
      </c>
      <c r="K148" s="71" t="s">
        <v>776</v>
      </c>
      <c r="L148" s="71" t="s">
        <v>777</v>
      </c>
      <c r="M148" s="71" t="s">
        <v>778</v>
      </c>
      <c r="N148" s="69" t="s">
        <v>57</v>
      </c>
      <c r="O148" s="64">
        <v>1</v>
      </c>
      <c r="P148" s="72">
        <v>15971437</v>
      </c>
      <c r="Q148" s="69" t="s">
        <v>779</v>
      </c>
      <c r="R148" s="69"/>
      <c r="S148" s="68" t="s">
        <v>41</v>
      </c>
      <c r="T148" s="56">
        <v>2</v>
      </c>
      <c r="U148" s="56">
        <v>3</v>
      </c>
    </row>
    <row r="149" spans="1:21" ht="14.25" customHeight="1" x14ac:dyDescent="0.35">
      <c r="A149" s="47">
        <v>133</v>
      </c>
      <c r="B149" s="69" t="s">
        <v>79</v>
      </c>
      <c r="C149" s="69" t="s">
        <v>80</v>
      </c>
      <c r="D149" s="70" t="s">
        <v>112</v>
      </c>
      <c r="E149" s="69" t="s">
        <v>780</v>
      </c>
      <c r="F149" s="69" t="s">
        <v>231</v>
      </c>
      <c r="G149" s="69" t="s">
        <v>54</v>
      </c>
      <c r="H149" s="70">
        <v>2013</v>
      </c>
      <c r="I149" s="69"/>
      <c r="J149" s="69" t="s">
        <v>781</v>
      </c>
      <c r="K149" s="71" t="s">
        <v>782</v>
      </c>
      <c r="L149" s="71" t="s">
        <v>783</v>
      </c>
      <c r="M149" s="71" t="s">
        <v>784</v>
      </c>
      <c r="N149" s="69" t="s">
        <v>57</v>
      </c>
      <c r="O149" s="64">
        <v>1</v>
      </c>
      <c r="P149" s="72">
        <v>17531100</v>
      </c>
      <c r="Q149" s="69" t="s">
        <v>785</v>
      </c>
      <c r="R149" s="69"/>
      <c r="S149" s="68" t="s">
        <v>41</v>
      </c>
      <c r="T149" s="56">
        <v>2</v>
      </c>
      <c r="U149" s="56">
        <v>3</v>
      </c>
    </row>
    <row r="150" spans="1:21" ht="14.25" customHeight="1" thickBot="1" x14ac:dyDescent="0.4">
      <c r="A150" s="58">
        <v>134</v>
      </c>
      <c r="B150" s="69" t="s">
        <v>79</v>
      </c>
      <c r="C150" s="69" t="s">
        <v>80</v>
      </c>
      <c r="D150" s="70" t="s">
        <v>112</v>
      </c>
      <c r="E150" s="69" t="s">
        <v>482</v>
      </c>
      <c r="F150" s="69" t="s">
        <v>483</v>
      </c>
      <c r="G150" s="69" t="s">
        <v>484</v>
      </c>
      <c r="H150" s="70">
        <v>2020</v>
      </c>
      <c r="I150" s="69" t="s">
        <v>63</v>
      </c>
      <c r="J150" s="69" t="s">
        <v>786</v>
      </c>
      <c r="K150" s="71" t="s">
        <v>787</v>
      </c>
      <c r="L150" s="71" t="s">
        <v>487</v>
      </c>
      <c r="M150" s="71" t="s">
        <v>554</v>
      </c>
      <c r="N150" s="69" t="s">
        <v>57</v>
      </c>
      <c r="O150" s="64">
        <v>1</v>
      </c>
      <c r="P150" s="72">
        <v>22900000</v>
      </c>
      <c r="Q150" s="69" t="s">
        <v>488</v>
      </c>
      <c r="R150" s="69"/>
      <c r="S150" s="68" t="s">
        <v>41</v>
      </c>
      <c r="T150" s="56">
        <v>2</v>
      </c>
      <c r="U150" s="56">
        <v>3</v>
      </c>
    </row>
    <row r="151" spans="1:21" ht="14.25" customHeight="1" x14ac:dyDescent="0.35">
      <c r="A151" s="47">
        <v>135</v>
      </c>
      <c r="B151" s="69" t="s">
        <v>79</v>
      </c>
      <c r="C151" s="69" t="s">
        <v>80</v>
      </c>
      <c r="D151" s="70" t="s">
        <v>116</v>
      </c>
      <c r="E151" s="69" t="s">
        <v>788</v>
      </c>
      <c r="F151" s="69">
        <v>135</v>
      </c>
      <c r="G151" s="69" t="s">
        <v>54</v>
      </c>
      <c r="H151" s="70">
        <v>2006</v>
      </c>
      <c r="I151" s="69"/>
      <c r="J151" s="69" t="s">
        <v>789</v>
      </c>
      <c r="K151" s="71" t="s">
        <v>790</v>
      </c>
      <c r="L151" s="71" t="s">
        <v>791</v>
      </c>
      <c r="M151" s="71" t="s">
        <v>790</v>
      </c>
      <c r="N151" s="69" t="s">
        <v>422</v>
      </c>
      <c r="O151" s="64">
        <v>1</v>
      </c>
      <c r="P151" s="72">
        <v>17000000</v>
      </c>
      <c r="Q151" s="69" t="s">
        <v>792</v>
      </c>
      <c r="R151" s="69"/>
      <c r="S151" s="68" t="s">
        <v>41</v>
      </c>
      <c r="T151" s="56">
        <v>2</v>
      </c>
      <c r="U151" s="56">
        <v>3</v>
      </c>
    </row>
    <row r="152" spans="1:21" ht="14.25" customHeight="1" thickBot="1" x14ac:dyDescent="0.4">
      <c r="A152" s="58">
        <v>136</v>
      </c>
      <c r="B152" s="69" t="s">
        <v>79</v>
      </c>
      <c r="C152" s="69" t="s">
        <v>80</v>
      </c>
      <c r="D152" s="70" t="s">
        <v>116</v>
      </c>
      <c r="E152" s="69" t="s">
        <v>459</v>
      </c>
      <c r="F152" s="69" t="s">
        <v>82</v>
      </c>
      <c r="G152" s="69" t="s">
        <v>54</v>
      </c>
      <c r="H152" s="70">
        <v>2007</v>
      </c>
      <c r="I152" s="69"/>
      <c r="J152" s="69" t="s">
        <v>793</v>
      </c>
      <c r="K152" s="71" t="s">
        <v>794</v>
      </c>
      <c r="L152" s="71" t="s">
        <v>795</v>
      </c>
      <c r="M152" s="71" t="s">
        <v>796</v>
      </c>
      <c r="N152" s="69" t="s">
        <v>57</v>
      </c>
      <c r="O152" s="64">
        <v>1</v>
      </c>
      <c r="P152" s="72">
        <v>14350000</v>
      </c>
      <c r="Q152" s="69" t="s">
        <v>798</v>
      </c>
      <c r="R152" s="69"/>
      <c r="S152" s="68" t="s">
        <v>41</v>
      </c>
      <c r="T152" s="56">
        <v>2</v>
      </c>
      <c r="U152" s="56">
        <v>3</v>
      </c>
    </row>
    <row r="153" spans="1:21" ht="14.25" customHeight="1" x14ac:dyDescent="0.35">
      <c r="A153" s="47">
        <v>137</v>
      </c>
      <c r="B153" s="69" t="s">
        <v>79</v>
      </c>
      <c r="C153" s="69" t="s">
        <v>80</v>
      </c>
      <c r="D153" s="70" t="s">
        <v>116</v>
      </c>
      <c r="E153" s="69" t="s">
        <v>430</v>
      </c>
      <c r="F153" s="69" t="s">
        <v>82</v>
      </c>
      <c r="G153" s="69" t="s">
        <v>54</v>
      </c>
      <c r="H153" s="70">
        <v>2007</v>
      </c>
      <c r="I153" s="69"/>
      <c r="J153" s="69" t="s">
        <v>632</v>
      </c>
      <c r="K153" s="71" t="s">
        <v>633</v>
      </c>
      <c r="L153" s="71" t="s">
        <v>799</v>
      </c>
      <c r="M153" s="71" t="s">
        <v>800</v>
      </c>
      <c r="N153" s="69" t="s">
        <v>57</v>
      </c>
      <c r="O153" s="64">
        <v>1</v>
      </c>
      <c r="P153" s="72">
        <v>13500000</v>
      </c>
      <c r="Q153" s="69" t="s">
        <v>801</v>
      </c>
      <c r="R153" s="69"/>
      <c r="S153" s="68" t="s">
        <v>41</v>
      </c>
      <c r="T153" s="56">
        <v>2</v>
      </c>
      <c r="U153" s="56">
        <v>3</v>
      </c>
    </row>
    <row r="154" spans="1:21" ht="14.25" customHeight="1" thickBot="1" x14ac:dyDescent="0.4">
      <c r="A154" s="58">
        <v>138</v>
      </c>
      <c r="B154" s="69" t="s">
        <v>79</v>
      </c>
      <c r="C154" s="69" t="s">
        <v>80</v>
      </c>
      <c r="D154" s="70" t="s">
        <v>116</v>
      </c>
      <c r="E154" s="69" t="s">
        <v>459</v>
      </c>
      <c r="F154" s="69" t="s">
        <v>82</v>
      </c>
      <c r="G154" s="69" t="s">
        <v>54</v>
      </c>
      <c r="H154" s="70">
        <v>2007</v>
      </c>
      <c r="I154" s="69"/>
      <c r="J154" s="69" t="s">
        <v>802</v>
      </c>
      <c r="K154" s="71" t="s">
        <v>803</v>
      </c>
      <c r="L154" s="71" t="s">
        <v>804</v>
      </c>
      <c r="M154" s="71" t="s">
        <v>805</v>
      </c>
      <c r="N154" s="69" t="s">
        <v>57</v>
      </c>
      <c r="O154" s="64">
        <v>1</v>
      </c>
      <c r="P154" s="72">
        <v>13500000</v>
      </c>
      <c r="Q154" s="69" t="s">
        <v>806</v>
      </c>
      <c r="R154" s="69"/>
      <c r="S154" s="68" t="s">
        <v>41</v>
      </c>
      <c r="T154" s="56">
        <v>2</v>
      </c>
      <c r="U154" s="56">
        <v>3</v>
      </c>
    </row>
    <row r="155" spans="1:21" ht="14.25" customHeight="1" x14ac:dyDescent="0.35">
      <c r="A155" s="47">
        <v>139</v>
      </c>
      <c r="B155" s="69" t="s">
        <v>79</v>
      </c>
      <c r="C155" s="69" t="s">
        <v>80</v>
      </c>
      <c r="D155" s="70" t="s">
        <v>116</v>
      </c>
      <c r="E155" s="69" t="s">
        <v>465</v>
      </c>
      <c r="F155" s="69" t="s">
        <v>88</v>
      </c>
      <c r="G155" s="69" t="s">
        <v>54</v>
      </c>
      <c r="H155" s="70">
        <v>2013</v>
      </c>
      <c r="I155" s="69"/>
      <c r="J155" s="69" t="s">
        <v>807</v>
      </c>
      <c r="K155" s="71" t="s">
        <v>808</v>
      </c>
      <c r="L155" s="71" t="s">
        <v>809</v>
      </c>
      <c r="M155" s="71" t="s">
        <v>810</v>
      </c>
      <c r="N155" s="69" t="s">
        <v>57</v>
      </c>
      <c r="O155" s="64">
        <v>1</v>
      </c>
      <c r="P155" s="72">
        <v>15971437</v>
      </c>
      <c r="Q155" s="69" t="s">
        <v>811</v>
      </c>
      <c r="R155" s="69"/>
      <c r="S155" s="68" t="s">
        <v>41</v>
      </c>
      <c r="T155" s="56">
        <v>2</v>
      </c>
      <c r="U155" s="56">
        <v>3</v>
      </c>
    </row>
    <row r="156" spans="1:21" ht="14.25" customHeight="1" thickBot="1" x14ac:dyDescent="0.4">
      <c r="A156" s="58">
        <v>140</v>
      </c>
      <c r="B156" s="69" t="s">
        <v>79</v>
      </c>
      <c r="C156" s="69" t="s">
        <v>80</v>
      </c>
      <c r="D156" s="70" t="s">
        <v>116</v>
      </c>
      <c r="E156" s="69" t="s">
        <v>465</v>
      </c>
      <c r="F156" s="69" t="s">
        <v>88</v>
      </c>
      <c r="G156" s="69" t="s">
        <v>54</v>
      </c>
      <c r="H156" s="70">
        <v>2013</v>
      </c>
      <c r="I156" s="69"/>
      <c r="J156" s="69" t="s">
        <v>812</v>
      </c>
      <c r="K156" s="71" t="s">
        <v>813</v>
      </c>
      <c r="L156" s="71" t="s">
        <v>814</v>
      </c>
      <c r="M156" s="71" t="s">
        <v>815</v>
      </c>
      <c r="N156" s="69" t="s">
        <v>57</v>
      </c>
      <c r="O156" s="64">
        <v>1</v>
      </c>
      <c r="P156" s="72">
        <v>15971437</v>
      </c>
      <c r="Q156" s="69" t="s">
        <v>816</v>
      </c>
      <c r="R156" s="69"/>
      <c r="S156" s="68" t="s">
        <v>41</v>
      </c>
      <c r="T156" s="56">
        <v>2</v>
      </c>
      <c r="U156" s="56">
        <v>3</v>
      </c>
    </row>
    <row r="157" spans="1:21" ht="14.25" customHeight="1" x14ac:dyDescent="0.35">
      <c r="A157" s="47">
        <v>141</v>
      </c>
      <c r="B157" s="69" t="s">
        <v>79</v>
      </c>
      <c r="C157" s="69" t="s">
        <v>80</v>
      </c>
      <c r="D157" s="70" t="s">
        <v>116</v>
      </c>
      <c r="E157" s="69" t="s">
        <v>465</v>
      </c>
      <c r="F157" s="69" t="s">
        <v>88</v>
      </c>
      <c r="G157" s="69" t="s">
        <v>54</v>
      </c>
      <c r="H157" s="70">
        <v>2013</v>
      </c>
      <c r="I157" s="69"/>
      <c r="J157" s="69" t="s">
        <v>818</v>
      </c>
      <c r="K157" s="71" t="s">
        <v>819</v>
      </c>
      <c r="L157" s="71" t="s">
        <v>820</v>
      </c>
      <c r="M157" s="71" t="s">
        <v>821</v>
      </c>
      <c r="N157" s="69" t="s">
        <v>57</v>
      </c>
      <c r="O157" s="64">
        <v>1</v>
      </c>
      <c r="P157" s="72">
        <v>15971437</v>
      </c>
      <c r="Q157" s="69" t="s">
        <v>822</v>
      </c>
      <c r="R157" s="69"/>
      <c r="S157" s="68" t="s">
        <v>41</v>
      </c>
      <c r="T157" s="56">
        <v>2</v>
      </c>
      <c r="U157" s="56">
        <v>3</v>
      </c>
    </row>
    <row r="158" spans="1:21" ht="14.25" customHeight="1" thickBot="1" x14ac:dyDescent="0.4">
      <c r="A158" s="58">
        <v>142</v>
      </c>
      <c r="B158" s="69" t="s">
        <v>79</v>
      </c>
      <c r="C158" s="69" t="s">
        <v>80</v>
      </c>
      <c r="D158" s="70" t="s">
        <v>116</v>
      </c>
      <c r="E158" s="69" t="s">
        <v>465</v>
      </c>
      <c r="F158" s="69" t="s">
        <v>88</v>
      </c>
      <c r="G158" s="69" t="s">
        <v>54</v>
      </c>
      <c r="H158" s="70">
        <v>2013</v>
      </c>
      <c r="I158" s="69"/>
      <c r="J158" s="69" t="s">
        <v>823</v>
      </c>
      <c r="K158" s="71" t="s">
        <v>824</v>
      </c>
      <c r="L158" s="71" t="s">
        <v>825</v>
      </c>
      <c r="M158" s="71" t="s">
        <v>826</v>
      </c>
      <c r="N158" s="69" t="s">
        <v>57</v>
      </c>
      <c r="O158" s="64">
        <v>1</v>
      </c>
      <c r="P158" s="72">
        <v>15971437</v>
      </c>
      <c r="Q158" s="69" t="s">
        <v>827</v>
      </c>
      <c r="R158" s="69"/>
      <c r="S158" s="68" t="s">
        <v>41</v>
      </c>
      <c r="T158" s="56">
        <v>2</v>
      </c>
      <c r="U158" s="56">
        <v>3</v>
      </c>
    </row>
    <row r="159" spans="1:21" ht="14.25" customHeight="1" x14ac:dyDescent="0.35">
      <c r="A159" s="47">
        <v>143</v>
      </c>
      <c r="B159" s="69" t="s">
        <v>79</v>
      </c>
      <c r="C159" s="69" t="s">
        <v>80</v>
      </c>
      <c r="D159" s="70" t="s">
        <v>116</v>
      </c>
      <c r="E159" s="69" t="s">
        <v>465</v>
      </c>
      <c r="F159" s="69" t="s">
        <v>88</v>
      </c>
      <c r="G159" s="69" t="s">
        <v>54</v>
      </c>
      <c r="H159" s="70">
        <v>2013</v>
      </c>
      <c r="I159" s="69"/>
      <c r="J159" s="69" t="s">
        <v>828</v>
      </c>
      <c r="K159" s="71" t="s">
        <v>829</v>
      </c>
      <c r="L159" s="71" t="s">
        <v>830</v>
      </c>
      <c r="M159" s="71" t="s">
        <v>831</v>
      </c>
      <c r="N159" s="69" t="s">
        <v>57</v>
      </c>
      <c r="O159" s="64">
        <v>1</v>
      </c>
      <c r="P159" s="72">
        <v>15971437</v>
      </c>
      <c r="Q159" s="69" t="s">
        <v>832</v>
      </c>
      <c r="R159" s="69"/>
      <c r="S159" s="68" t="s">
        <v>41</v>
      </c>
      <c r="T159" s="56">
        <v>2</v>
      </c>
      <c r="U159" s="56">
        <v>3</v>
      </c>
    </row>
    <row r="160" spans="1:21" ht="14.25" customHeight="1" thickBot="1" x14ac:dyDescent="0.4">
      <c r="A160" s="58">
        <v>144</v>
      </c>
      <c r="B160" s="69" t="s">
        <v>79</v>
      </c>
      <c r="C160" s="69" t="s">
        <v>80</v>
      </c>
      <c r="D160" s="70" t="s">
        <v>116</v>
      </c>
      <c r="E160" s="69" t="s">
        <v>780</v>
      </c>
      <c r="F160" s="69" t="s">
        <v>231</v>
      </c>
      <c r="G160" s="69" t="s">
        <v>54</v>
      </c>
      <c r="H160" s="70">
        <v>2013</v>
      </c>
      <c r="I160" s="69"/>
      <c r="J160" s="69" t="s">
        <v>833</v>
      </c>
      <c r="K160" s="71" t="s">
        <v>834</v>
      </c>
      <c r="L160" s="71" t="s">
        <v>835</v>
      </c>
      <c r="M160" s="71" t="s">
        <v>836</v>
      </c>
      <c r="N160" s="69" t="s">
        <v>57</v>
      </c>
      <c r="O160" s="64">
        <v>1</v>
      </c>
      <c r="P160" s="72">
        <v>17531100</v>
      </c>
      <c r="Q160" s="69" t="s">
        <v>837</v>
      </c>
      <c r="R160" s="69"/>
      <c r="S160" s="68" t="s">
        <v>41</v>
      </c>
      <c r="T160" s="56">
        <v>2</v>
      </c>
      <c r="U160" s="56">
        <v>3</v>
      </c>
    </row>
    <row r="161" spans="1:21" ht="14.25" customHeight="1" x14ac:dyDescent="0.35">
      <c r="A161" s="47">
        <v>145</v>
      </c>
      <c r="B161" s="69" t="s">
        <v>79</v>
      </c>
      <c r="C161" s="69" t="s">
        <v>80</v>
      </c>
      <c r="D161" s="70" t="s">
        <v>116</v>
      </c>
      <c r="E161" s="69" t="s">
        <v>482</v>
      </c>
      <c r="F161" s="69" t="s">
        <v>483</v>
      </c>
      <c r="G161" s="69" t="s">
        <v>484</v>
      </c>
      <c r="H161" s="70">
        <v>2020</v>
      </c>
      <c r="I161" s="69" t="s">
        <v>63</v>
      </c>
      <c r="J161" s="69" t="s">
        <v>839</v>
      </c>
      <c r="K161" s="71" t="s">
        <v>840</v>
      </c>
      <c r="L161" s="71" t="s">
        <v>487</v>
      </c>
      <c r="M161" s="71" t="s">
        <v>63</v>
      </c>
      <c r="N161" s="69" t="s">
        <v>57</v>
      </c>
      <c r="O161" s="64">
        <v>1</v>
      </c>
      <c r="P161" s="72">
        <v>22900000</v>
      </c>
      <c r="Q161" s="69" t="s">
        <v>488</v>
      </c>
      <c r="R161" s="69"/>
      <c r="S161" s="68" t="s">
        <v>41</v>
      </c>
      <c r="T161" s="56">
        <v>2</v>
      </c>
      <c r="U161" s="56">
        <v>3</v>
      </c>
    </row>
    <row r="162" spans="1:21" ht="14.25" customHeight="1" thickBot="1" x14ac:dyDescent="0.4">
      <c r="A162" s="58">
        <v>146</v>
      </c>
      <c r="B162" s="69" t="s">
        <v>79</v>
      </c>
      <c r="C162" s="69" t="s">
        <v>80</v>
      </c>
      <c r="D162" s="70" t="s">
        <v>841</v>
      </c>
      <c r="E162" s="69" t="s">
        <v>842</v>
      </c>
      <c r="F162" s="69" t="s">
        <v>443</v>
      </c>
      <c r="G162" s="69" t="s">
        <v>54</v>
      </c>
      <c r="H162" s="70">
        <v>2006</v>
      </c>
      <c r="I162" s="69"/>
      <c r="J162" s="69" t="s">
        <v>843</v>
      </c>
      <c r="K162" s="71" t="s">
        <v>844</v>
      </c>
      <c r="L162" s="71" t="s">
        <v>845</v>
      </c>
      <c r="M162" s="71" t="s">
        <v>846</v>
      </c>
      <c r="N162" s="69" t="s">
        <v>57</v>
      </c>
      <c r="O162" s="64">
        <v>1</v>
      </c>
      <c r="P162" s="72">
        <v>14500000</v>
      </c>
      <c r="Q162" s="69" t="s">
        <v>847</v>
      </c>
      <c r="R162" s="69"/>
      <c r="S162" s="68" t="s">
        <v>41</v>
      </c>
      <c r="T162" s="56">
        <v>2</v>
      </c>
      <c r="U162" s="56">
        <v>3</v>
      </c>
    </row>
    <row r="163" spans="1:21" ht="14.25" customHeight="1" x14ac:dyDescent="0.35">
      <c r="A163" s="47">
        <v>147</v>
      </c>
      <c r="B163" s="69" t="s">
        <v>79</v>
      </c>
      <c r="C163" s="69" t="s">
        <v>80</v>
      </c>
      <c r="D163" s="70" t="s">
        <v>841</v>
      </c>
      <c r="E163" s="69" t="s">
        <v>430</v>
      </c>
      <c r="F163" s="69" t="s">
        <v>443</v>
      </c>
      <c r="G163" s="69" t="s">
        <v>54</v>
      </c>
      <c r="H163" s="70">
        <v>2007</v>
      </c>
      <c r="I163" s="69"/>
      <c r="J163" s="69" t="s">
        <v>848</v>
      </c>
      <c r="K163" s="71" t="s">
        <v>849</v>
      </c>
      <c r="L163" s="71" t="s">
        <v>850</v>
      </c>
      <c r="M163" s="71" t="s">
        <v>582</v>
      </c>
      <c r="N163" s="69" t="s">
        <v>57</v>
      </c>
      <c r="O163" s="64">
        <v>1</v>
      </c>
      <c r="P163" s="72">
        <v>11750000</v>
      </c>
      <c r="Q163" s="69" t="s">
        <v>851</v>
      </c>
      <c r="R163" s="69"/>
      <c r="S163" s="68" t="s">
        <v>41</v>
      </c>
      <c r="T163" s="56">
        <v>2</v>
      </c>
      <c r="U163" s="56">
        <v>3</v>
      </c>
    </row>
    <row r="164" spans="1:21" ht="14.25" customHeight="1" thickBot="1" x14ac:dyDescent="0.4">
      <c r="A164" s="58">
        <v>148</v>
      </c>
      <c r="B164" s="69" t="s">
        <v>79</v>
      </c>
      <c r="C164" s="69" t="s">
        <v>80</v>
      </c>
      <c r="D164" s="70" t="s">
        <v>841</v>
      </c>
      <c r="E164" s="69" t="s">
        <v>430</v>
      </c>
      <c r="F164" s="69" t="s">
        <v>82</v>
      </c>
      <c r="G164" s="69" t="s">
        <v>54</v>
      </c>
      <c r="H164" s="70">
        <v>2007</v>
      </c>
      <c r="I164" s="69"/>
      <c r="J164" s="69" t="s">
        <v>852</v>
      </c>
      <c r="K164" s="71" t="s">
        <v>853</v>
      </c>
      <c r="L164" s="71" t="s">
        <v>854</v>
      </c>
      <c r="M164" s="71" t="s">
        <v>855</v>
      </c>
      <c r="N164" s="69" t="s">
        <v>57</v>
      </c>
      <c r="O164" s="64">
        <v>1</v>
      </c>
      <c r="P164" s="72">
        <v>13500000</v>
      </c>
      <c r="Q164" s="69" t="s">
        <v>856</v>
      </c>
      <c r="R164" s="69"/>
      <c r="S164" s="68" t="s">
        <v>41</v>
      </c>
      <c r="T164" s="56">
        <v>2</v>
      </c>
      <c r="U164" s="56">
        <v>3</v>
      </c>
    </row>
    <row r="165" spans="1:21" ht="14.25" customHeight="1" x14ac:dyDescent="0.35">
      <c r="A165" s="47">
        <v>149</v>
      </c>
      <c r="B165" s="69" t="s">
        <v>79</v>
      </c>
      <c r="C165" s="69" t="s">
        <v>80</v>
      </c>
      <c r="D165" s="70" t="s">
        <v>841</v>
      </c>
      <c r="E165" s="69" t="s">
        <v>531</v>
      </c>
      <c r="F165" s="69" t="s">
        <v>443</v>
      </c>
      <c r="G165" s="69" t="s">
        <v>54</v>
      </c>
      <c r="H165" s="70">
        <v>2010</v>
      </c>
      <c r="I165" s="69"/>
      <c r="J165" s="69" t="s">
        <v>857</v>
      </c>
      <c r="K165" s="71" t="s">
        <v>858</v>
      </c>
      <c r="L165" s="71" t="s">
        <v>860</v>
      </c>
      <c r="M165" s="71" t="s">
        <v>861</v>
      </c>
      <c r="N165" s="69" t="s">
        <v>57</v>
      </c>
      <c r="O165" s="64">
        <v>1</v>
      </c>
      <c r="P165" s="72">
        <v>13350000</v>
      </c>
      <c r="Q165" s="69" t="s">
        <v>862</v>
      </c>
      <c r="R165" s="69"/>
      <c r="S165" s="68" t="s">
        <v>41</v>
      </c>
      <c r="T165" s="56">
        <v>2</v>
      </c>
      <c r="U165" s="56">
        <v>3</v>
      </c>
    </row>
    <row r="166" spans="1:21" ht="14.25" customHeight="1" thickBot="1" x14ac:dyDescent="0.4">
      <c r="A166" s="58">
        <v>150</v>
      </c>
      <c r="B166" s="69" t="s">
        <v>79</v>
      </c>
      <c r="C166" s="69" t="s">
        <v>80</v>
      </c>
      <c r="D166" s="70" t="s">
        <v>841</v>
      </c>
      <c r="E166" s="69" t="s">
        <v>465</v>
      </c>
      <c r="F166" s="69" t="s">
        <v>88</v>
      </c>
      <c r="G166" s="69" t="s">
        <v>54</v>
      </c>
      <c r="H166" s="70">
        <v>2013</v>
      </c>
      <c r="I166" s="69"/>
      <c r="J166" s="69" t="s">
        <v>863</v>
      </c>
      <c r="K166" s="71" t="s">
        <v>864</v>
      </c>
      <c r="L166" s="71" t="s">
        <v>865</v>
      </c>
      <c r="M166" s="71" t="s">
        <v>866</v>
      </c>
      <c r="N166" s="69" t="s">
        <v>57</v>
      </c>
      <c r="O166" s="64">
        <v>1</v>
      </c>
      <c r="P166" s="72">
        <v>15971437</v>
      </c>
      <c r="Q166" s="69" t="s">
        <v>867</v>
      </c>
      <c r="R166" s="69"/>
      <c r="S166" s="68" t="s">
        <v>41</v>
      </c>
      <c r="T166" s="56">
        <v>2</v>
      </c>
      <c r="U166" s="56">
        <v>3</v>
      </c>
    </row>
    <row r="167" spans="1:21" ht="14.25" customHeight="1" x14ac:dyDescent="0.35">
      <c r="A167" s="47">
        <v>151</v>
      </c>
      <c r="B167" s="69" t="s">
        <v>79</v>
      </c>
      <c r="C167" s="69" t="s">
        <v>80</v>
      </c>
      <c r="D167" s="70" t="s">
        <v>841</v>
      </c>
      <c r="E167" s="69" t="s">
        <v>465</v>
      </c>
      <c r="F167" s="69" t="s">
        <v>88</v>
      </c>
      <c r="G167" s="69" t="s">
        <v>54</v>
      </c>
      <c r="H167" s="70">
        <v>2013</v>
      </c>
      <c r="I167" s="69"/>
      <c r="J167" s="69" t="s">
        <v>868</v>
      </c>
      <c r="K167" s="71" t="s">
        <v>869</v>
      </c>
      <c r="L167" s="71" t="s">
        <v>870</v>
      </c>
      <c r="M167" s="71" t="s">
        <v>871</v>
      </c>
      <c r="N167" s="69" t="s">
        <v>57</v>
      </c>
      <c r="O167" s="64">
        <v>1</v>
      </c>
      <c r="P167" s="72">
        <v>15971437</v>
      </c>
      <c r="Q167" s="69" t="s">
        <v>872</v>
      </c>
      <c r="R167" s="69"/>
      <c r="S167" s="68" t="s">
        <v>41</v>
      </c>
      <c r="T167" s="56">
        <v>2</v>
      </c>
      <c r="U167" s="56">
        <v>3</v>
      </c>
    </row>
    <row r="168" spans="1:21" ht="14.25" customHeight="1" thickBot="1" x14ac:dyDescent="0.4">
      <c r="A168" s="58">
        <v>152</v>
      </c>
      <c r="B168" s="69" t="s">
        <v>79</v>
      </c>
      <c r="C168" s="69" t="s">
        <v>80</v>
      </c>
      <c r="D168" s="70" t="s">
        <v>841</v>
      </c>
      <c r="E168" s="69" t="s">
        <v>465</v>
      </c>
      <c r="F168" s="69" t="s">
        <v>88</v>
      </c>
      <c r="G168" s="69" t="s">
        <v>54</v>
      </c>
      <c r="H168" s="70">
        <v>2013</v>
      </c>
      <c r="I168" s="69"/>
      <c r="J168" s="69" t="s">
        <v>873</v>
      </c>
      <c r="K168" s="71" t="s">
        <v>874</v>
      </c>
      <c r="L168" s="71" t="s">
        <v>875</v>
      </c>
      <c r="M168" s="71" t="s">
        <v>876</v>
      </c>
      <c r="N168" s="69" t="s">
        <v>57</v>
      </c>
      <c r="O168" s="64">
        <v>1</v>
      </c>
      <c r="P168" s="72">
        <v>15971437</v>
      </c>
      <c r="Q168" s="69" t="s">
        <v>877</v>
      </c>
      <c r="R168" s="69"/>
      <c r="S168" s="68" t="s">
        <v>41</v>
      </c>
      <c r="T168" s="56">
        <v>2</v>
      </c>
      <c r="U168" s="56">
        <v>3</v>
      </c>
    </row>
    <row r="169" spans="1:21" ht="14.25" customHeight="1" x14ac:dyDescent="0.35">
      <c r="A169" s="47">
        <v>153</v>
      </c>
      <c r="B169" s="69" t="s">
        <v>79</v>
      </c>
      <c r="C169" s="69" t="s">
        <v>80</v>
      </c>
      <c r="D169" s="70" t="s">
        <v>841</v>
      </c>
      <c r="E169" s="69" t="s">
        <v>465</v>
      </c>
      <c r="F169" s="69" t="s">
        <v>88</v>
      </c>
      <c r="G169" s="69" t="s">
        <v>54</v>
      </c>
      <c r="H169" s="70">
        <v>2013</v>
      </c>
      <c r="I169" s="69"/>
      <c r="J169" s="69" t="s">
        <v>878</v>
      </c>
      <c r="K169" s="71" t="s">
        <v>879</v>
      </c>
      <c r="L169" s="71" t="s">
        <v>880</v>
      </c>
      <c r="M169" s="71" t="s">
        <v>881</v>
      </c>
      <c r="N169" s="69" t="s">
        <v>57</v>
      </c>
      <c r="O169" s="64">
        <v>1</v>
      </c>
      <c r="P169" s="72">
        <v>15971437</v>
      </c>
      <c r="Q169" s="69" t="s">
        <v>883</v>
      </c>
      <c r="R169" s="69"/>
      <c r="S169" s="68" t="s">
        <v>41</v>
      </c>
      <c r="T169" s="56">
        <v>2</v>
      </c>
      <c r="U169" s="56">
        <v>3</v>
      </c>
    </row>
    <row r="170" spans="1:21" ht="14.25" customHeight="1" thickBot="1" x14ac:dyDescent="0.4">
      <c r="A170" s="58">
        <v>154</v>
      </c>
      <c r="B170" s="69" t="s">
        <v>79</v>
      </c>
      <c r="C170" s="69" t="s">
        <v>80</v>
      </c>
      <c r="D170" s="70" t="s">
        <v>841</v>
      </c>
      <c r="E170" s="69" t="s">
        <v>780</v>
      </c>
      <c r="F170" s="69" t="s">
        <v>231</v>
      </c>
      <c r="G170" s="69" t="s">
        <v>54</v>
      </c>
      <c r="H170" s="70">
        <v>2013</v>
      </c>
      <c r="I170" s="69"/>
      <c r="J170" s="69" t="s">
        <v>884</v>
      </c>
      <c r="K170" s="71" t="s">
        <v>885</v>
      </c>
      <c r="L170" s="71" t="s">
        <v>886</v>
      </c>
      <c r="M170" s="71" t="s">
        <v>887</v>
      </c>
      <c r="N170" s="69" t="s">
        <v>57</v>
      </c>
      <c r="O170" s="64">
        <v>1</v>
      </c>
      <c r="P170" s="72">
        <v>17531100</v>
      </c>
      <c r="Q170" s="69" t="s">
        <v>888</v>
      </c>
      <c r="R170" s="69"/>
      <c r="S170" s="68" t="s">
        <v>41</v>
      </c>
      <c r="T170" s="56">
        <v>2</v>
      </c>
      <c r="U170" s="56">
        <v>3</v>
      </c>
    </row>
    <row r="171" spans="1:21" ht="14.25" customHeight="1" x14ac:dyDescent="0.35">
      <c r="A171" s="47">
        <v>155</v>
      </c>
      <c r="B171" s="69" t="s">
        <v>79</v>
      </c>
      <c r="C171" s="69" t="s">
        <v>80</v>
      </c>
      <c r="D171" s="70" t="s">
        <v>841</v>
      </c>
      <c r="E171" s="69" t="s">
        <v>465</v>
      </c>
      <c r="F171" s="69" t="s">
        <v>88</v>
      </c>
      <c r="G171" s="69" t="s">
        <v>54</v>
      </c>
      <c r="H171" s="70">
        <v>2013</v>
      </c>
      <c r="I171" s="69"/>
      <c r="J171" s="69" t="s">
        <v>889</v>
      </c>
      <c r="K171" s="71" t="s">
        <v>890</v>
      </c>
      <c r="L171" s="71" t="s">
        <v>891</v>
      </c>
      <c r="M171" s="71" t="s">
        <v>892</v>
      </c>
      <c r="N171" s="69" t="s">
        <v>57</v>
      </c>
      <c r="O171" s="64">
        <v>1</v>
      </c>
      <c r="P171" s="72">
        <v>15971437</v>
      </c>
      <c r="Q171" s="69" t="s">
        <v>893</v>
      </c>
      <c r="R171" s="69"/>
      <c r="S171" s="68" t="s">
        <v>41</v>
      </c>
      <c r="T171" s="56">
        <v>2</v>
      </c>
      <c r="U171" s="56">
        <v>3</v>
      </c>
    </row>
    <row r="172" spans="1:21" ht="14.25" customHeight="1" thickBot="1" x14ac:dyDescent="0.4">
      <c r="A172" s="58">
        <v>156</v>
      </c>
      <c r="B172" s="69" t="s">
        <v>79</v>
      </c>
      <c r="C172" s="69" t="s">
        <v>80</v>
      </c>
      <c r="D172" s="70" t="s">
        <v>841</v>
      </c>
      <c r="E172" s="69" t="s">
        <v>465</v>
      </c>
      <c r="F172" s="69" t="s">
        <v>88</v>
      </c>
      <c r="G172" s="69" t="s">
        <v>54</v>
      </c>
      <c r="H172" s="70">
        <v>2013</v>
      </c>
      <c r="I172" s="69"/>
      <c r="J172" s="69" t="s">
        <v>894</v>
      </c>
      <c r="K172" s="71" t="s">
        <v>895</v>
      </c>
      <c r="L172" s="71" t="s">
        <v>896</v>
      </c>
      <c r="M172" s="71" t="s">
        <v>897</v>
      </c>
      <c r="N172" s="69" t="s">
        <v>57</v>
      </c>
      <c r="O172" s="64">
        <v>1</v>
      </c>
      <c r="P172" s="72">
        <v>15971437</v>
      </c>
      <c r="Q172" s="69" t="s">
        <v>898</v>
      </c>
      <c r="R172" s="69"/>
      <c r="S172" s="68" t="s">
        <v>41</v>
      </c>
      <c r="T172" s="56">
        <v>2</v>
      </c>
      <c r="U172" s="56">
        <v>3</v>
      </c>
    </row>
    <row r="173" spans="1:21" ht="14.25" customHeight="1" x14ac:dyDescent="0.35">
      <c r="A173" s="47">
        <v>157</v>
      </c>
      <c r="B173" s="69" t="s">
        <v>79</v>
      </c>
      <c r="C173" s="69" t="s">
        <v>80</v>
      </c>
      <c r="D173" s="70" t="s">
        <v>841</v>
      </c>
      <c r="E173" s="69" t="s">
        <v>482</v>
      </c>
      <c r="F173" s="69" t="s">
        <v>483</v>
      </c>
      <c r="G173" s="69" t="s">
        <v>484</v>
      </c>
      <c r="H173" s="70">
        <v>2020</v>
      </c>
      <c r="I173" s="69" t="s">
        <v>63</v>
      </c>
      <c r="J173" s="69" t="s">
        <v>899</v>
      </c>
      <c r="K173" s="71" t="s">
        <v>900</v>
      </c>
      <c r="L173" s="71" t="s">
        <v>901</v>
      </c>
      <c r="M173" s="71" t="s">
        <v>902</v>
      </c>
      <c r="N173" s="69" t="s">
        <v>57</v>
      </c>
      <c r="O173" s="64">
        <v>1</v>
      </c>
      <c r="P173" s="72">
        <v>22900000</v>
      </c>
      <c r="Q173" s="69" t="s">
        <v>488</v>
      </c>
      <c r="R173" s="69"/>
      <c r="S173" s="68" t="s">
        <v>41</v>
      </c>
      <c r="T173" s="56">
        <v>2</v>
      </c>
      <c r="U173" s="56">
        <v>3</v>
      </c>
    </row>
    <row r="174" spans="1:21" ht="14.25" customHeight="1" thickBot="1" x14ac:dyDescent="0.4">
      <c r="A174" s="58">
        <v>158</v>
      </c>
      <c r="B174" s="69" t="s">
        <v>79</v>
      </c>
      <c r="C174" s="69" t="s">
        <v>80</v>
      </c>
      <c r="D174" s="70" t="s">
        <v>904</v>
      </c>
      <c r="E174" s="69" t="s">
        <v>430</v>
      </c>
      <c r="F174" s="69" t="s">
        <v>82</v>
      </c>
      <c r="G174" s="69" t="s">
        <v>54</v>
      </c>
      <c r="H174" s="70">
        <v>2007</v>
      </c>
      <c r="I174" s="69"/>
      <c r="J174" s="69" t="s">
        <v>905</v>
      </c>
      <c r="K174" s="71" t="s">
        <v>906</v>
      </c>
      <c r="L174" s="71" t="s">
        <v>907</v>
      </c>
      <c r="M174" s="71" t="s">
        <v>908</v>
      </c>
      <c r="N174" s="69" t="s">
        <v>57</v>
      </c>
      <c r="O174" s="64">
        <v>1</v>
      </c>
      <c r="P174" s="72">
        <v>13500000</v>
      </c>
      <c r="Q174" s="69" t="s">
        <v>909</v>
      </c>
      <c r="R174" s="69"/>
      <c r="S174" s="68" t="s">
        <v>41</v>
      </c>
      <c r="T174" s="56">
        <v>2</v>
      </c>
      <c r="U174" s="56">
        <v>3</v>
      </c>
    </row>
    <row r="175" spans="1:21" ht="14.25" customHeight="1" x14ac:dyDescent="0.35">
      <c r="A175" s="47">
        <v>159</v>
      </c>
      <c r="B175" s="69" t="s">
        <v>79</v>
      </c>
      <c r="C175" s="69" t="s">
        <v>80</v>
      </c>
      <c r="D175" s="70" t="s">
        <v>904</v>
      </c>
      <c r="E175" s="69" t="s">
        <v>430</v>
      </c>
      <c r="F175" s="69" t="s">
        <v>82</v>
      </c>
      <c r="G175" s="69" t="s">
        <v>54</v>
      </c>
      <c r="H175" s="70">
        <v>2007</v>
      </c>
      <c r="I175" s="69"/>
      <c r="J175" s="69" t="s">
        <v>910</v>
      </c>
      <c r="K175" s="71" t="s">
        <v>911</v>
      </c>
      <c r="L175" s="71" t="s">
        <v>912</v>
      </c>
      <c r="M175" s="71" t="s">
        <v>913</v>
      </c>
      <c r="N175" s="69" t="s">
        <v>57</v>
      </c>
      <c r="O175" s="64">
        <v>1</v>
      </c>
      <c r="P175" s="72">
        <v>13500000</v>
      </c>
      <c r="Q175" s="69" t="s">
        <v>914</v>
      </c>
      <c r="R175" s="69"/>
      <c r="S175" s="68" t="s">
        <v>41</v>
      </c>
      <c r="T175" s="56">
        <v>2</v>
      </c>
      <c r="U175" s="56">
        <v>3</v>
      </c>
    </row>
    <row r="176" spans="1:21" ht="14.25" customHeight="1" thickBot="1" x14ac:dyDescent="0.4">
      <c r="A176" s="58">
        <v>160</v>
      </c>
      <c r="B176" s="69" t="s">
        <v>79</v>
      </c>
      <c r="C176" s="69" t="s">
        <v>80</v>
      </c>
      <c r="D176" s="70" t="s">
        <v>904</v>
      </c>
      <c r="E176" s="69" t="s">
        <v>465</v>
      </c>
      <c r="F176" s="69" t="s">
        <v>88</v>
      </c>
      <c r="G176" s="69" t="s">
        <v>54</v>
      </c>
      <c r="H176" s="70">
        <v>2013</v>
      </c>
      <c r="I176" s="69"/>
      <c r="J176" s="69" t="s">
        <v>915</v>
      </c>
      <c r="K176" s="71" t="s">
        <v>916</v>
      </c>
      <c r="L176" s="71" t="s">
        <v>917</v>
      </c>
      <c r="M176" s="71" t="s">
        <v>918</v>
      </c>
      <c r="N176" s="69" t="s">
        <v>57</v>
      </c>
      <c r="O176" s="64">
        <v>1</v>
      </c>
      <c r="P176" s="72">
        <v>15971437</v>
      </c>
      <c r="Q176" s="69" t="s">
        <v>919</v>
      </c>
      <c r="R176" s="69"/>
      <c r="S176" s="68" t="s">
        <v>41</v>
      </c>
      <c r="T176" s="56">
        <v>2</v>
      </c>
      <c r="U176" s="56">
        <v>3</v>
      </c>
    </row>
    <row r="177" spans="1:21" ht="14.25" customHeight="1" x14ac:dyDescent="0.35">
      <c r="A177" s="47">
        <v>161</v>
      </c>
      <c r="B177" s="69" t="s">
        <v>79</v>
      </c>
      <c r="C177" s="69" t="s">
        <v>80</v>
      </c>
      <c r="D177" s="70" t="s">
        <v>904</v>
      </c>
      <c r="E177" s="69" t="s">
        <v>465</v>
      </c>
      <c r="F177" s="69" t="s">
        <v>88</v>
      </c>
      <c r="G177" s="69" t="s">
        <v>54</v>
      </c>
      <c r="H177" s="70">
        <v>2013</v>
      </c>
      <c r="I177" s="69"/>
      <c r="J177" s="69" t="s">
        <v>920</v>
      </c>
      <c r="K177" s="71" t="s">
        <v>921</v>
      </c>
      <c r="L177" s="71" t="s">
        <v>922</v>
      </c>
      <c r="M177" s="71" t="s">
        <v>923</v>
      </c>
      <c r="N177" s="69" t="s">
        <v>57</v>
      </c>
      <c r="O177" s="64">
        <v>1</v>
      </c>
      <c r="P177" s="72">
        <v>15971437</v>
      </c>
      <c r="Q177" s="69" t="s">
        <v>924</v>
      </c>
      <c r="R177" s="69"/>
      <c r="S177" s="68" t="s">
        <v>41</v>
      </c>
      <c r="T177" s="56">
        <v>2</v>
      </c>
      <c r="U177" s="56">
        <v>3</v>
      </c>
    </row>
    <row r="178" spans="1:21" ht="14.25" customHeight="1" thickBot="1" x14ac:dyDescent="0.4">
      <c r="A178" s="58">
        <v>162</v>
      </c>
      <c r="B178" s="69" t="s">
        <v>79</v>
      </c>
      <c r="C178" s="69" t="s">
        <v>80</v>
      </c>
      <c r="D178" s="70" t="s">
        <v>904</v>
      </c>
      <c r="E178" s="69" t="s">
        <v>465</v>
      </c>
      <c r="F178" s="69" t="s">
        <v>88</v>
      </c>
      <c r="G178" s="69" t="s">
        <v>54</v>
      </c>
      <c r="H178" s="70">
        <v>2013</v>
      </c>
      <c r="I178" s="69"/>
      <c r="J178" s="69" t="s">
        <v>926</v>
      </c>
      <c r="K178" s="71" t="s">
        <v>927</v>
      </c>
      <c r="L178" s="71" t="s">
        <v>928</v>
      </c>
      <c r="M178" s="71" t="s">
        <v>929</v>
      </c>
      <c r="N178" s="69" t="s">
        <v>57</v>
      </c>
      <c r="O178" s="64">
        <v>1</v>
      </c>
      <c r="P178" s="72">
        <v>15971437</v>
      </c>
      <c r="Q178" s="69" t="s">
        <v>930</v>
      </c>
      <c r="R178" s="69"/>
      <c r="S178" s="68" t="s">
        <v>41</v>
      </c>
      <c r="T178" s="56">
        <v>2</v>
      </c>
      <c r="U178" s="56">
        <v>3</v>
      </c>
    </row>
    <row r="179" spans="1:21" ht="14.25" customHeight="1" x14ac:dyDescent="0.35">
      <c r="A179" s="47">
        <v>163</v>
      </c>
      <c r="B179" s="69" t="s">
        <v>79</v>
      </c>
      <c r="C179" s="69" t="s">
        <v>80</v>
      </c>
      <c r="D179" s="70" t="s">
        <v>904</v>
      </c>
      <c r="E179" s="69" t="s">
        <v>465</v>
      </c>
      <c r="F179" s="69" t="s">
        <v>88</v>
      </c>
      <c r="G179" s="69" t="s">
        <v>54</v>
      </c>
      <c r="H179" s="70">
        <v>2013</v>
      </c>
      <c r="I179" s="69"/>
      <c r="J179" s="69" t="s">
        <v>931</v>
      </c>
      <c r="K179" s="71" t="s">
        <v>932</v>
      </c>
      <c r="L179" s="71" t="s">
        <v>933</v>
      </c>
      <c r="M179" s="71" t="s">
        <v>934</v>
      </c>
      <c r="N179" s="69" t="s">
        <v>57</v>
      </c>
      <c r="O179" s="64">
        <v>1</v>
      </c>
      <c r="P179" s="72">
        <v>15971437</v>
      </c>
      <c r="Q179" s="69" t="s">
        <v>935</v>
      </c>
      <c r="R179" s="69"/>
      <c r="S179" s="68" t="s">
        <v>41</v>
      </c>
      <c r="T179" s="56">
        <v>2</v>
      </c>
      <c r="U179" s="56">
        <v>3</v>
      </c>
    </row>
    <row r="180" spans="1:21" ht="14.25" customHeight="1" thickBot="1" x14ac:dyDescent="0.4">
      <c r="A180" s="58">
        <v>164</v>
      </c>
      <c r="B180" s="69" t="s">
        <v>79</v>
      </c>
      <c r="C180" s="69" t="s">
        <v>80</v>
      </c>
      <c r="D180" s="70" t="s">
        <v>904</v>
      </c>
      <c r="E180" s="69" t="s">
        <v>465</v>
      </c>
      <c r="F180" s="69" t="s">
        <v>88</v>
      </c>
      <c r="G180" s="69" t="s">
        <v>54</v>
      </c>
      <c r="H180" s="70">
        <v>2013</v>
      </c>
      <c r="I180" s="69"/>
      <c r="J180" s="69" t="s">
        <v>936</v>
      </c>
      <c r="K180" s="71" t="s">
        <v>937</v>
      </c>
      <c r="L180" s="71" t="s">
        <v>938</v>
      </c>
      <c r="M180" s="71" t="s">
        <v>939</v>
      </c>
      <c r="N180" s="69" t="s">
        <v>57</v>
      </c>
      <c r="O180" s="64">
        <v>1</v>
      </c>
      <c r="P180" s="72">
        <v>15971437</v>
      </c>
      <c r="Q180" s="69" t="s">
        <v>940</v>
      </c>
      <c r="R180" s="69"/>
      <c r="S180" s="68" t="s">
        <v>41</v>
      </c>
      <c r="T180" s="56">
        <v>2</v>
      </c>
      <c r="U180" s="56">
        <v>3</v>
      </c>
    </row>
    <row r="181" spans="1:21" ht="14.25" customHeight="1" x14ac:dyDescent="0.35">
      <c r="A181" s="47">
        <v>165</v>
      </c>
      <c r="B181" s="69" t="s">
        <v>79</v>
      </c>
      <c r="C181" s="69" t="s">
        <v>80</v>
      </c>
      <c r="D181" s="70" t="s">
        <v>904</v>
      </c>
      <c r="E181" s="69" t="s">
        <v>780</v>
      </c>
      <c r="F181" s="69" t="s">
        <v>231</v>
      </c>
      <c r="G181" s="69" t="s">
        <v>54</v>
      </c>
      <c r="H181" s="70">
        <v>2013</v>
      </c>
      <c r="I181" s="69"/>
      <c r="J181" s="69" t="s">
        <v>941</v>
      </c>
      <c r="K181" s="71" t="s">
        <v>942</v>
      </c>
      <c r="L181" s="71" t="s">
        <v>943</v>
      </c>
      <c r="M181" s="71" t="s">
        <v>944</v>
      </c>
      <c r="N181" s="69" t="s">
        <v>57</v>
      </c>
      <c r="O181" s="64">
        <v>1</v>
      </c>
      <c r="P181" s="72">
        <v>17531100</v>
      </c>
      <c r="Q181" s="69" t="s">
        <v>945</v>
      </c>
      <c r="R181" s="69"/>
      <c r="S181" s="68" t="s">
        <v>41</v>
      </c>
      <c r="T181" s="56">
        <v>2</v>
      </c>
      <c r="U181" s="56">
        <v>3</v>
      </c>
    </row>
    <row r="182" spans="1:21" ht="14.25" customHeight="1" thickBot="1" x14ac:dyDescent="0.4">
      <c r="A182" s="58">
        <v>166</v>
      </c>
      <c r="B182" s="69" t="s">
        <v>79</v>
      </c>
      <c r="C182" s="69" t="s">
        <v>80</v>
      </c>
      <c r="D182" s="70" t="s">
        <v>904</v>
      </c>
      <c r="E182" s="69" t="s">
        <v>465</v>
      </c>
      <c r="F182" s="69" t="s">
        <v>88</v>
      </c>
      <c r="G182" s="69" t="s">
        <v>54</v>
      </c>
      <c r="H182" s="70">
        <v>2013</v>
      </c>
      <c r="I182" s="69"/>
      <c r="J182" s="69" t="s">
        <v>946</v>
      </c>
      <c r="K182" s="71" t="s">
        <v>947</v>
      </c>
      <c r="L182" s="71" t="s">
        <v>948</v>
      </c>
      <c r="M182" s="71" t="s">
        <v>949</v>
      </c>
      <c r="N182" s="69" t="s">
        <v>57</v>
      </c>
      <c r="O182" s="64">
        <v>1</v>
      </c>
      <c r="P182" s="72">
        <v>15971437</v>
      </c>
      <c r="Q182" s="69" t="s">
        <v>950</v>
      </c>
      <c r="R182" s="69"/>
      <c r="S182" s="68" t="s">
        <v>41</v>
      </c>
      <c r="T182" s="56">
        <v>2</v>
      </c>
      <c r="U182" s="56">
        <v>3</v>
      </c>
    </row>
    <row r="183" spans="1:21" ht="14.25" customHeight="1" x14ac:dyDescent="0.35">
      <c r="A183" s="47">
        <v>167</v>
      </c>
      <c r="B183" s="69" t="s">
        <v>79</v>
      </c>
      <c r="C183" s="69" t="s">
        <v>80</v>
      </c>
      <c r="D183" s="70" t="s">
        <v>904</v>
      </c>
      <c r="E183" s="69" t="s">
        <v>952</v>
      </c>
      <c r="F183" s="69" t="s">
        <v>231</v>
      </c>
      <c r="G183" s="69" t="s">
        <v>953</v>
      </c>
      <c r="H183" s="70">
        <v>2022</v>
      </c>
      <c r="I183" s="69" t="s">
        <v>63</v>
      </c>
      <c r="J183" s="69" t="s">
        <v>954</v>
      </c>
      <c r="K183" s="71" t="s">
        <v>955</v>
      </c>
      <c r="L183" s="71" t="s">
        <v>956</v>
      </c>
      <c r="M183" s="71" t="s">
        <v>957</v>
      </c>
      <c r="N183" s="69" t="s">
        <v>44</v>
      </c>
      <c r="O183" s="64">
        <v>1</v>
      </c>
      <c r="P183" s="72">
        <v>33511989.999999996</v>
      </c>
      <c r="Q183" s="69" t="s">
        <v>958</v>
      </c>
      <c r="R183" s="69"/>
      <c r="S183" s="68" t="s">
        <v>41</v>
      </c>
      <c r="T183" s="56">
        <v>2</v>
      </c>
      <c r="U183" s="56">
        <v>3</v>
      </c>
    </row>
    <row r="184" spans="1:21" ht="14.25" customHeight="1" thickBot="1" x14ac:dyDescent="0.4">
      <c r="A184" s="58">
        <v>168</v>
      </c>
      <c r="B184" s="69" t="s">
        <v>79</v>
      </c>
      <c r="C184" s="69" t="s">
        <v>80</v>
      </c>
      <c r="D184" s="70" t="s">
        <v>122</v>
      </c>
      <c r="E184" s="69" t="s">
        <v>730</v>
      </c>
      <c r="F184" s="69" t="s">
        <v>82</v>
      </c>
      <c r="G184" s="69" t="s">
        <v>54</v>
      </c>
      <c r="H184" s="70">
        <v>2002</v>
      </c>
      <c r="I184" s="69"/>
      <c r="J184" s="69" t="s">
        <v>959</v>
      </c>
      <c r="K184" s="71" t="s">
        <v>960</v>
      </c>
      <c r="L184" s="71" t="s">
        <v>961</v>
      </c>
      <c r="M184" s="71">
        <v>4324525</v>
      </c>
      <c r="N184" s="69" t="s">
        <v>57</v>
      </c>
      <c r="O184" s="64">
        <v>1</v>
      </c>
      <c r="P184" s="72">
        <v>13500000</v>
      </c>
      <c r="Q184" s="69" t="s">
        <v>962</v>
      </c>
      <c r="R184" s="69"/>
      <c r="S184" s="68" t="s">
        <v>41</v>
      </c>
      <c r="T184" s="56">
        <v>2</v>
      </c>
      <c r="U184" s="56">
        <v>3</v>
      </c>
    </row>
    <row r="185" spans="1:21" ht="14.25" customHeight="1" x14ac:dyDescent="0.35">
      <c r="A185" s="47">
        <v>169</v>
      </c>
      <c r="B185" s="69" t="s">
        <v>79</v>
      </c>
      <c r="C185" s="69" t="s">
        <v>80</v>
      </c>
      <c r="D185" s="70" t="s">
        <v>122</v>
      </c>
      <c r="E185" s="69" t="s">
        <v>963</v>
      </c>
      <c r="F185" s="69" t="s">
        <v>82</v>
      </c>
      <c r="G185" s="69" t="s">
        <v>54</v>
      </c>
      <c r="H185" s="70">
        <v>2003</v>
      </c>
      <c r="I185" s="69"/>
      <c r="J185" s="69" t="s">
        <v>964</v>
      </c>
      <c r="K185" s="71" t="s">
        <v>965</v>
      </c>
      <c r="L185" s="71" t="s">
        <v>966</v>
      </c>
      <c r="M185" s="71" t="s">
        <v>967</v>
      </c>
      <c r="N185" s="69" t="s">
        <v>57</v>
      </c>
      <c r="O185" s="64">
        <v>1</v>
      </c>
      <c r="P185" s="72">
        <v>13500000</v>
      </c>
      <c r="Q185" s="69" t="s">
        <v>968</v>
      </c>
      <c r="R185" s="69"/>
      <c r="S185" s="68" t="s">
        <v>41</v>
      </c>
      <c r="T185" s="56">
        <v>2</v>
      </c>
      <c r="U185" s="56">
        <v>3</v>
      </c>
    </row>
    <row r="186" spans="1:21" ht="14.25" customHeight="1" thickBot="1" x14ac:dyDescent="0.4">
      <c r="A186" s="58">
        <v>170</v>
      </c>
      <c r="B186" s="69" t="s">
        <v>79</v>
      </c>
      <c r="C186" s="69" t="s">
        <v>80</v>
      </c>
      <c r="D186" s="70" t="s">
        <v>122</v>
      </c>
      <c r="E186" s="69" t="s">
        <v>430</v>
      </c>
      <c r="F186" s="69" t="s">
        <v>82</v>
      </c>
      <c r="G186" s="69" t="s">
        <v>54</v>
      </c>
      <c r="H186" s="70">
        <v>2007</v>
      </c>
      <c r="I186" s="69"/>
      <c r="J186" s="69" t="s">
        <v>969</v>
      </c>
      <c r="K186" s="71" t="s">
        <v>970</v>
      </c>
      <c r="L186" s="71" t="s">
        <v>971</v>
      </c>
      <c r="M186" s="71" t="s">
        <v>972</v>
      </c>
      <c r="N186" s="69" t="s">
        <v>57</v>
      </c>
      <c r="O186" s="64">
        <v>1</v>
      </c>
      <c r="P186" s="72">
        <v>13500000</v>
      </c>
      <c r="Q186" s="69" t="s">
        <v>973</v>
      </c>
      <c r="R186" s="69"/>
      <c r="S186" s="68" t="s">
        <v>41</v>
      </c>
      <c r="T186" s="56">
        <v>2</v>
      </c>
      <c r="U186" s="56">
        <v>3</v>
      </c>
    </row>
    <row r="187" spans="1:21" ht="14.25" customHeight="1" x14ac:dyDescent="0.35">
      <c r="A187" s="47">
        <v>171</v>
      </c>
      <c r="B187" s="69" t="s">
        <v>79</v>
      </c>
      <c r="C187" s="69" t="s">
        <v>80</v>
      </c>
      <c r="D187" s="70" t="s">
        <v>122</v>
      </c>
      <c r="E187" s="69" t="s">
        <v>531</v>
      </c>
      <c r="F187" s="69" t="s">
        <v>443</v>
      </c>
      <c r="G187" s="69" t="s">
        <v>54</v>
      </c>
      <c r="H187" s="70">
        <v>2010</v>
      </c>
      <c r="I187" s="69"/>
      <c r="J187" s="69" t="s">
        <v>974</v>
      </c>
      <c r="K187" s="71" t="s">
        <v>975</v>
      </c>
      <c r="L187" s="71" t="s">
        <v>976</v>
      </c>
      <c r="M187" s="71" t="s">
        <v>977</v>
      </c>
      <c r="N187" s="69" t="s">
        <v>57</v>
      </c>
      <c r="O187" s="64">
        <v>1</v>
      </c>
      <c r="P187" s="72">
        <v>13350000</v>
      </c>
      <c r="Q187" s="69" t="s">
        <v>978</v>
      </c>
      <c r="R187" s="69"/>
      <c r="S187" s="68" t="s">
        <v>41</v>
      </c>
      <c r="T187" s="56">
        <v>2</v>
      </c>
      <c r="U187" s="56">
        <v>3</v>
      </c>
    </row>
    <row r="188" spans="1:21" ht="14.25" customHeight="1" thickBot="1" x14ac:dyDescent="0.4">
      <c r="A188" s="58">
        <v>172</v>
      </c>
      <c r="B188" s="69" t="s">
        <v>79</v>
      </c>
      <c r="C188" s="69" t="s">
        <v>80</v>
      </c>
      <c r="D188" s="70" t="s">
        <v>122</v>
      </c>
      <c r="E188" s="69" t="s">
        <v>465</v>
      </c>
      <c r="F188" s="69" t="s">
        <v>88</v>
      </c>
      <c r="G188" s="69" t="s">
        <v>54</v>
      </c>
      <c r="H188" s="70">
        <v>2013</v>
      </c>
      <c r="I188" s="69"/>
      <c r="J188" s="69" t="s">
        <v>979</v>
      </c>
      <c r="K188" s="71" t="s">
        <v>980</v>
      </c>
      <c r="L188" s="71" t="s">
        <v>981</v>
      </c>
      <c r="M188" s="71" t="s">
        <v>982</v>
      </c>
      <c r="N188" s="69" t="s">
        <v>57</v>
      </c>
      <c r="O188" s="64">
        <v>1</v>
      </c>
      <c r="P188" s="72">
        <v>15971437</v>
      </c>
      <c r="Q188" s="69" t="s">
        <v>983</v>
      </c>
      <c r="R188" s="69"/>
      <c r="S188" s="68" t="s">
        <v>41</v>
      </c>
      <c r="T188" s="56">
        <v>2</v>
      </c>
      <c r="U188" s="56">
        <v>3</v>
      </c>
    </row>
    <row r="189" spans="1:21" ht="14.25" customHeight="1" x14ac:dyDescent="0.35">
      <c r="A189" s="47">
        <v>173</v>
      </c>
      <c r="B189" s="69" t="s">
        <v>79</v>
      </c>
      <c r="C189" s="69" t="s">
        <v>80</v>
      </c>
      <c r="D189" s="70" t="s">
        <v>122</v>
      </c>
      <c r="E189" s="69" t="s">
        <v>465</v>
      </c>
      <c r="F189" s="69" t="s">
        <v>88</v>
      </c>
      <c r="G189" s="69" t="s">
        <v>54</v>
      </c>
      <c r="H189" s="70">
        <v>2013</v>
      </c>
      <c r="I189" s="69"/>
      <c r="J189" s="69" t="s">
        <v>984</v>
      </c>
      <c r="K189" s="71" t="s">
        <v>985</v>
      </c>
      <c r="L189" s="71" t="s">
        <v>986</v>
      </c>
      <c r="M189" s="71" t="s">
        <v>987</v>
      </c>
      <c r="N189" s="69" t="s">
        <v>57</v>
      </c>
      <c r="O189" s="64">
        <v>1</v>
      </c>
      <c r="P189" s="72">
        <v>15971437</v>
      </c>
      <c r="Q189" s="69" t="s">
        <v>988</v>
      </c>
      <c r="R189" s="69"/>
      <c r="S189" s="68" t="s">
        <v>41</v>
      </c>
      <c r="T189" s="56">
        <v>2</v>
      </c>
      <c r="U189" s="56">
        <v>3</v>
      </c>
    </row>
    <row r="190" spans="1:21" ht="14.25" customHeight="1" thickBot="1" x14ac:dyDescent="0.4">
      <c r="A190" s="58">
        <v>174</v>
      </c>
      <c r="B190" s="69" t="s">
        <v>79</v>
      </c>
      <c r="C190" s="69" t="s">
        <v>80</v>
      </c>
      <c r="D190" s="70" t="s">
        <v>122</v>
      </c>
      <c r="E190" s="69" t="s">
        <v>465</v>
      </c>
      <c r="F190" s="69" t="s">
        <v>88</v>
      </c>
      <c r="G190" s="69" t="s">
        <v>54</v>
      </c>
      <c r="H190" s="70">
        <v>2013</v>
      </c>
      <c r="I190" s="69"/>
      <c r="J190" s="69" t="s">
        <v>989</v>
      </c>
      <c r="K190" s="71" t="s">
        <v>990</v>
      </c>
      <c r="L190" s="71" t="s">
        <v>991</v>
      </c>
      <c r="M190" s="71" t="s">
        <v>992</v>
      </c>
      <c r="N190" s="69" t="s">
        <v>57</v>
      </c>
      <c r="O190" s="64">
        <v>1</v>
      </c>
      <c r="P190" s="72">
        <v>15971437</v>
      </c>
      <c r="Q190" s="69" t="s">
        <v>993</v>
      </c>
      <c r="R190" s="69"/>
      <c r="S190" s="68" t="s">
        <v>41</v>
      </c>
      <c r="T190" s="56">
        <v>2</v>
      </c>
      <c r="U190" s="56">
        <v>3</v>
      </c>
    </row>
    <row r="191" spans="1:21" ht="14.25" customHeight="1" x14ac:dyDescent="0.35">
      <c r="A191" s="47">
        <v>175</v>
      </c>
      <c r="B191" s="69" t="s">
        <v>79</v>
      </c>
      <c r="C191" s="69" t="s">
        <v>80</v>
      </c>
      <c r="D191" s="70" t="s">
        <v>122</v>
      </c>
      <c r="E191" s="69" t="s">
        <v>465</v>
      </c>
      <c r="F191" s="69" t="s">
        <v>88</v>
      </c>
      <c r="G191" s="69" t="s">
        <v>54</v>
      </c>
      <c r="H191" s="70">
        <v>2013</v>
      </c>
      <c r="I191" s="69"/>
      <c r="J191" s="69" t="s">
        <v>994</v>
      </c>
      <c r="K191" s="71" t="s">
        <v>995</v>
      </c>
      <c r="L191" s="71" t="s">
        <v>996</v>
      </c>
      <c r="M191" s="71" t="s">
        <v>997</v>
      </c>
      <c r="N191" s="69" t="s">
        <v>57</v>
      </c>
      <c r="O191" s="64">
        <v>1</v>
      </c>
      <c r="P191" s="72">
        <v>15971437</v>
      </c>
      <c r="Q191" s="69" t="s">
        <v>998</v>
      </c>
      <c r="R191" s="69"/>
      <c r="S191" s="68" t="s">
        <v>41</v>
      </c>
      <c r="T191" s="56">
        <v>2</v>
      </c>
      <c r="U191" s="56">
        <v>3</v>
      </c>
    </row>
    <row r="192" spans="1:21" ht="14.25" customHeight="1" thickBot="1" x14ac:dyDescent="0.4">
      <c r="A192" s="58">
        <v>176</v>
      </c>
      <c r="B192" s="69" t="s">
        <v>79</v>
      </c>
      <c r="C192" s="69" t="s">
        <v>80</v>
      </c>
      <c r="D192" s="70" t="s">
        <v>122</v>
      </c>
      <c r="E192" s="69" t="s">
        <v>465</v>
      </c>
      <c r="F192" s="69" t="s">
        <v>88</v>
      </c>
      <c r="G192" s="69" t="s">
        <v>54</v>
      </c>
      <c r="H192" s="70">
        <v>2013</v>
      </c>
      <c r="I192" s="69"/>
      <c r="J192" s="69" t="s">
        <v>999</v>
      </c>
      <c r="K192" s="71" t="s">
        <v>1000</v>
      </c>
      <c r="L192" s="71" t="s">
        <v>1001</v>
      </c>
      <c r="M192" s="71" t="s">
        <v>1002</v>
      </c>
      <c r="N192" s="69" t="s">
        <v>57</v>
      </c>
      <c r="O192" s="64">
        <v>1</v>
      </c>
      <c r="P192" s="72">
        <v>15971437</v>
      </c>
      <c r="Q192" s="69" t="s">
        <v>1003</v>
      </c>
      <c r="R192" s="69"/>
      <c r="S192" s="68" t="s">
        <v>41</v>
      </c>
      <c r="T192" s="56">
        <v>2</v>
      </c>
      <c r="U192" s="56">
        <v>3</v>
      </c>
    </row>
    <row r="193" spans="1:21" ht="14.25" customHeight="1" x14ac:dyDescent="0.35">
      <c r="A193" s="47">
        <v>177</v>
      </c>
      <c r="B193" s="69" t="s">
        <v>79</v>
      </c>
      <c r="C193" s="69" t="s">
        <v>80</v>
      </c>
      <c r="D193" s="70" t="s">
        <v>126</v>
      </c>
      <c r="E193" s="69" t="s">
        <v>459</v>
      </c>
      <c r="F193" s="69" t="s">
        <v>82</v>
      </c>
      <c r="G193" s="69" t="s">
        <v>54</v>
      </c>
      <c r="H193" s="70">
        <v>2004</v>
      </c>
      <c r="I193" s="69"/>
      <c r="J193" s="69" t="s">
        <v>1004</v>
      </c>
      <c r="K193" s="71" t="s">
        <v>1005</v>
      </c>
      <c r="L193" s="71" t="s">
        <v>1006</v>
      </c>
      <c r="M193" s="71" t="s">
        <v>1007</v>
      </c>
      <c r="N193" s="69" t="s">
        <v>57</v>
      </c>
      <c r="O193" s="64">
        <v>1</v>
      </c>
      <c r="P193" s="72">
        <v>14500000</v>
      </c>
      <c r="Q193" s="69" t="s">
        <v>1008</v>
      </c>
      <c r="R193" s="69"/>
      <c r="S193" s="68" t="s">
        <v>41</v>
      </c>
      <c r="T193" s="56">
        <v>2</v>
      </c>
      <c r="U193" s="56">
        <v>3</v>
      </c>
    </row>
    <row r="194" spans="1:21" ht="14.25" customHeight="1" thickBot="1" x14ac:dyDescent="0.4">
      <c r="A194" s="58">
        <v>178</v>
      </c>
      <c r="B194" s="69" t="s">
        <v>79</v>
      </c>
      <c r="C194" s="69" t="s">
        <v>80</v>
      </c>
      <c r="D194" s="70" t="s">
        <v>126</v>
      </c>
      <c r="E194" s="69" t="s">
        <v>1009</v>
      </c>
      <c r="F194" s="69" t="s">
        <v>443</v>
      </c>
      <c r="G194" s="69" t="s">
        <v>54</v>
      </c>
      <c r="H194" s="70">
        <v>2006</v>
      </c>
      <c r="I194" s="69"/>
      <c r="J194" s="69" t="s">
        <v>1010</v>
      </c>
      <c r="K194" s="71" t="s">
        <v>1011</v>
      </c>
      <c r="L194" s="71" t="s">
        <v>1012</v>
      </c>
      <c r="M194" s="71" t="s">
        <v>1013</v>
      </c>
      <c r="N194" s="69" t="s">
        <v>57</v>
      </c>
      <c r="O194" s="64">
        <v>1</v>
      </c>
      <c r="P194" s="72">
        <v>13500000</v>
      </c>
      <c r="Q194" s="69" t="s">
        <v>1014</v>
      </c>
      <c r="R194" s="69"/>
      <c r="S194" s="68" t="s">
        <v>41</v>
      </c>
      <c r="T194" s="56">
        <v>2</v>
      </c>
      <c r="U194" s="56">
        <v>3</v>
      </c>
    </row>
    <row r="195" spans="1:21" ht="14.25" customHeight="1" x14ac:dyDescent="0.35">
      <c r="A195" s="47">
        <v>179</v>
      </c>
      <c r="B195" s="69" t="s">
        <v>79</v>
      </c>
      <c r="C195" s="69" t="s">
        <v>80</v>
      </c>
      <c r="D195" s="70" t="s">
        <v>126</v>
      </c>
      <c r="E195" s="69" t="s">
        <v>430</v>
      </c>
      <c r="F195" s="69" t="s">
        <v>82</v>
      </c>
      <c r="G195" s="69" t="s">
        <v>54</v>
      </c>
      <c r="H195" s="70">
        <v>2007</v>
      </c>
      <c r="I195" s="69"/>
      <c r="J195" s="69" t="s">
        <v>1015</v>
      </c>
      <c r="K195" s="71" t="s">
        <v>1016</v>
      </c>
      <c r="L195" s="71" t="s">
        <v>1017</v>
      </c>
      <c r="M195" s="71" t="s">
        <v>1018</v>
      </c>
      <c r="N195" s="69" t="s">
        <v>57</v>
      </c>
      <c r="O195" s="64">
        <v>1</v>
      </c>
      <c r="P195" s="72">
        <v>13500000</v>
      </c>
      <c r="Q195" s="69" t="s">
        <v>1019</v>
      </c>
      <c r="R195" s="69"/>
      <c r="S195" s="68" t="s">
        <v>41</v>
      </c>
      <c r="T195" s="56">
        <v>2</v>
      </c>
      <c r="U195" s="56">
        <v>3</v>
      </c>
    </row>
    <row r="196" spans="1:21" ht="14.25" customHeight="1" thickBot="1" x14ac:dyDescent="0.4">
      <c r="A196" s="58">
        <v>180</v>
      </c>
      <c r="B196" s="69" t="s">
        <v>79</v>
      </c>
      <c r="C196" s="69" t="s">
        <v>80</v>
      </c>
      <c r="D196" s="70" t="s">
        <v>126</v>
      </c>
      <c r="E196" s="69" t="s">
        <v>465</v>
      </c>
      <c r="F196" s="69" t="s">
        <v>88</v>
      </c>
      <c r="G196" s="69" t="s">
        <v>54</v>
      </c>
      <c r="H196" s="70">
        <v>2013</v>
      </c>
      <c r="I196" s="69"/>
      <c r="J196" s="69" t="s">
        <v>1020</v>
      </c>
      <c r="K196" s="71" t="s">
        <v>1021</v>
      </c>
      <c r="L196" s="71" t="s">
        <v>1022</v>
      </c>
      <c r="M196" s="71" t="s">
        <v>1023</v>
      </c>
      <c r="N196" s="69" t="s">
        <v>57</v>
      </c>
      <c r="O196" s="64">
        <v>1</v>
      </c>
      <c r="P196" s="72">
        <v>15971437</v>
      </c>
      <c r="Q196" s="69" t="s">
        <v>1024</v>
      </c>
      <c r="R196" s="69"/>
      <c r="S196" s="68" t="s">
        <v>41</v>
      </c>
      <c r="T196" s="56">
        <v>2</v>
      </c>
      <c r="U196" s="56">
        <v>3</v>
      </c>
    </row>
    <row r="197" spans="1:21" ht="14.25" customHeight="1" x14ac:dyDescent="0.35">
      <c r="A197" s="47">
        <v>181</v>
      </c>
      <c r="B197" s="69" t="s">
        <v>79</v>
      </c>
      <c r="C197" s="69" t="s">
        <v>80</v>
      </c>
      <c r="D197" s="70" t="s">
        <v>126</v>
      </c>
      <c r="E197" s="69" t="s">
        <v>465</v>
      </c>
      <c r="F197" s="69" t="s">
        <v>88</v>
      </c>
      <c r="G197" s="69" t="s">
        <v>54</v>
      </c>
      <c r="H197" s="70">
        <v>2013</v>
      </c>
      <c r="I197" s="69"/>
      <c r="J197" s="69" t="s">
        <v>1025</v>
      </c>
      <c r="K197" s="71" t="s">
        <v>1026</v>
      </c>
      <c r="L197" s="71" t="s">
        <v>1027</v>
      </c>
      <c r="M197" s="71" t="s">
        <v>1028</v>
      </c>
      <c r="N197" s="69" t="s">
        <v>57</v>
      </c>
      <c r="O197" s="64">
        <v>1</v>
      </c>
      <c r="P197" s="72">
        <v>15971437</v>
      </c>
      <c r="Q197" s="69" t="s">
        <v>1029</v>
      </c>
      <c r="R197" s="69"/>
      <c r="S197" s="68" t="s">
        <v>41</v>
      </c>
      <c r="T197" s="56">
        <v>2</v>
      </c>
      <c r="U197" s="56">
        <v>3</v>
      </c>
    </row>
    <row r="198" spans="1:21" ht="14.25" customHeight="1" thickBot="1" x14ac:dyDescent="0.4">
      <c r="A198" s="58">
        <v>182</v>
      </c>
      <c r="B198" s="69" t="s">
        <v>79</v>
      </c>
      <c r="C198" s="69" t="s">
        <v>80</v>
      </c>
      <c r="D198" s="70" t="s">
        <v>126</v>
      </c>
      <c r="E198" s="69" t="s">
        <v>465</v>
      </c>
      <c r="F198" s="69" t="s">
        <v>88</v>
      </c>
      <c r="G198" s="69" t="s">
        <v>54</v>
      </c>
      <c r="H198" s="70">
        <v>2013</v>
      </c>
      <c r="I198" s="69"/>
      <c r="J198" s="69" t="s">
        <v>1030</v>
      </c>
      <c r="K198" s="71" t="s">
        <v>1031</v>
      </c>
      <c r="L198" s="71" t="s">
        <v>1032</v>
      </c>
      <c r="M198" s="71" t="s">
        <v>1033</v>
      </c>
      <c r="N198" s="69" t="s">
        <v>57</v>
      </c>
      <c r="O198" s="64">
        <v>1</v>
      </c>
      <c r="P198" s="72">
        <v>15971437</v>
      </c>
      <c r="Q198" s="69" t="s">
        <v>1034</v>
      </c>
      <c r="R198" s="69"/>
      <c r="S198" s="68" t="s">
        <v>41</v>
      </c>
      <c r="T198" s="56">
        <v>2</v>
      </c>
      <c r="U198" s="56">
        <v>3</v>
      </c>
    </row>
    <row r="199" spans="1:21" ht="14.25" customHeight="1" x14ac:dyDescent="0.35">
      <c r="A199" s="47">
        <v>183</v>
      </c>
      <c r="B199" s="69" t="s">
        <v>79</v>
      </c>
      <c r="C199" s="69" t="s">
        <v>80</v>
      </c>
      <c r="D199" s="70" t="s">
        <v>126</v>
      </c>
      <c r="E199" s="69" t="s">
        <v>465</v>
      </c>
      <c r="F199" s="69" t="s">
        <v>88</v>
      </c>
      <c r="G199" s="69" t="s">
        <v>54</v>
      </c>
      <c r="H199" s="70">
        <v>2013</v>
      </c>
      <c r="I199" s="69"/>
      <c r="J199" s="69" t="s">
        <v>1035</v>
      </c>
      <c r="K199" s="71" t="s">
        <v>1036</v>
      </c>
      <c r="L199" s="71" t="s">
        <v>1037</v>
      </c>
      <c r="M199" s="71" t="s">
        <v>1038</v>
      </c>
      <c r="N199" s="69" t="s">
        <v>57</v>
      </c>
      <c r="O199" s="64">
        <v>1</v>
      </c>
      <c r="P199" s="72">
        <v>15971437</v>
      </c>
      <c r="Q199" s="69" t="s">
        <v>1039</v>
      </c>
      <c r="R199" s="69"/>
      <c r="S199" s="68" t="s">
        <v>41</v>
      </c>
      <c r="T199" s="56">
        <v>2</v>
      </c>
      <c r="U199" s="56">
        <v>3</v>
      </c>
    </row>
    <row r="200" spans="1:21" ht="14.25" customHeight="1" thickBot="1" x14ac:dyDescent="0.4">
      <c r="A200" s="58">
        <v>184</v>
      </c>
      <c r="B200" s="69" t="s">
        <v>79</v>
      </c>
      <c r="C200" s="69" t="s">
        <v>80</v>
      </c>
      <c r="D200" s="70" t="s">
        <v>126</v>
      </c>
      <c r="E200" s="69" t="s">
        <v>465</v>
      </c>
      <c r="F200" s="69" t="s">
        <v>88</v>
      </c>
      <c r="G200" s="69" t="s">
        <v>54</v>
      </c>
      <c r="H200" s="70">
        <v>2013</v>
      </c>
      <c r="I200" s="69"/>
      <c r="J200" s="69" t="s">
        <v>1040</v>
      </c>
      <c r="K200" s="71" t="s">
        <v>1041</v>
      </c>
      <c r="L200" s="71" t="s">
        <v>1042</v>
      </c>
      <c r="M200" s="71" t="s">
        <v>1043</v>
      </c>
      <c r="N200" s="69" t="s">
        <v>57</v>
      </c>
      <c r="O200" s="64">
        <v>1</v>
      </c>
      <c r="P200" s="72">
        <v>15971437</v>
      </c>
      <c r="Q200" s="69" t="s">
        <v>1044</v>
      </c>
      <c r="R200" s="69"/>
      <c r="S200" s="68" t="s">
        <v>41</v>
      </c>
      <c r="T200" s="56">
        <v>2</v>
      </c>
      <c r="U200" s="56">
        <v>3</v>
      </c>
    </row>
    <row r="201" spans="1:21" ht="14.25" customHeight="1" x14ac:dyDescent="0.35">
      <c r="A201" s="47">
        <v>185</v>
      </c>
      <c r="B201" s="69" t="s">
        <v>79</v>
      </c>
      <c r="C201" s="69" t="s">
        <v>80</v>
      </c>
      <c r="D201" s="70" t="s">
        <v>126</v>
      </c>
      <c r="E201" s="69" t="s">
        <v>465</v>
      </c>
      <c r="F201" s="69" t="s">
        <v>88</v>
      </c>
      <c r="G201" s="69" t="s">
        <v>54</v>
      </c>
      <c r="H201" s="70">
        <v>2013</v>
      </c>
      <c r="I201" s="69"/>
      <c r="J201" s="69" t="s">
        <v>1045</v>
      </c>
      <c r="K201" s="71" t="s">
        <v>1046</v>
      </c>
      <c r="L201" s="71" t="s">
        <v>1047</v>
      </c>
      <c r="M201" s="71" t="s">
        <v>1048</v>
      </c>
      <c r="N201" s="69" t="s">
        <v>57</v>
      </c>
      <c r="O201" s="64">
        <v>1</v>
      </c>
      <c r="P201" s="72">
        <v>15971437</v>
      </c>
      <c r="Q201" s="69" t="s">
        <v>1049</v>
      </c>
      <c r="R201" s="69"/>
      <c r="S201" s="68" t="s">
        <v>41</v>
      </c>
      <c r="T201" s="56">
        <v>2</v>
      </c>
      <c r="U201" s="56">
        <v>3</v>
      </c>
    </row>
    <row r="202" spans="1:21" ht="14.25" customHeight="1" thickBot="1" x14ac:dyDescent="0.4">
      <c r="A202" s="58">
        <v>186</v>
      </c>
      <c r="B202" s="69" t="s">
        <v>79</v>
      </c>
      <c r="C202" s="69" t="s">
        <v>80</v>
      </c>
      <c r="D202" s="70" t="s">
        <v>132</v>
      </c>
      <c r="E202" s="69" t="s">
        <v>430</v>
      </c>
      <c r="F202" s="69" t="s">
        <v>82</v>
      </c>
      <c r="G202" s="69" t="s">
        <v>54</v>
      </c>
      <c r="H202" s="70">
        <v>2006</v>
      </c>
      <c r="I202" s="69"/>
      <c r="J202" s="69" t="s">
        <v>1050</v>
      </c>
      <c r="K202" s="71" t="s">
        <v>1051</v>
      </c>
      <c r="L202" s="71" t="s">
        <v>1052</v>
      </c>
      <c r="M202" s="71" t="s">
        <v>1053</v>
      </c>
      <c r="N202" s="69" t="s">
        <v>57</v>
      </c>
      <c r="O202" s="64">
        <v>1</v>
      </c>
      <c r="P202" s="72">
        <v>13500000</v>
      </c>
      <c r="Q202" s="69" t="s">
        <v>1054</v>
      </c>
      <c r="R202" s="69"/>
      <c r="S202" s="68" t="s">
        <v>41</v>
      </c>
      <c r="T202" s="56">
        <v>2</v>
      </c>
      <c r="U202" s="56">
        <v>3</v>
      </c>
    </row>
    <row r="203" spans="1:21" ht="14.25" customHeight="1" x14ac:dyDescent="0.35">
      <c r="A203" s="47">
        <v>187</v>
      </c>
      <c r="B203" s="69" t="s">
        <v>79</v>
      </c>
      <c r="C203" s="69" t="s">
        <v>80</v>
      </c>
      <c r="D203" s="70" t="s">
        <v>132</v>
      </c>
      <c r="E203" s="69" t="s">
        <v>594</v>
      </c>
      <c r="F203" s="69">
        <v>110</v>
      </c>
      <c r="G203" s="69" t="s">
        <v>54</v>
      </c>
      <c r="H203" s="70">
        <v>2008</v>
      </c>
      <c r="I203" s="69"/>
      <c r="J203" s="69" t="s">
        <v>1055</v>
      </c>
      <c r="K203" s="71" t="s">
        <v>1056</v>
      </c>
      <c r="L203" s="71" t="s">
        <v>1057</v>
      </c>
      <c r="M203" s="71" t="s">
        <v>1058</v>
      </c>
      <c r="N203" s="69" t="s">
        <v>57</v>
      </c>
      <c r="O203" s="64">
        <v>1</v>
      </c>
      <c r="P203" s="72">
        <v>15650000</v>
      </c>
      <c r="Q203" s="69" t="s">
        <v>1059</v>
      </c>
      <c r="R203" s="69"/>
      <c r="S203" s="68" t="s">
        <v>41</v>
      </c>
      <c r="T203" s="56">
        <v>2</v>
      </c>
      <c r="U203" s="56">
        <v>3</v>
      </c>
    </row>
    <row r="204" spans="1:21" ht="14.25" customHeight="1" thickBot="1" x14ac:dyDescent="0.4">
      <c r="A204" s="58">
        <v>188</v>
      </c>
      <c r="B204" s="69" t="s">
        <v>79</v>
      </c>
      <c r="C204" s="69" t="s">
        <v>80</v>
      </c>
      <c r="D204" s="70" t="s">
        <v>132</v>
      </c>
      <c r="E204" s="69" t="s">
        <v>531</v>
      </c>
      <c r="F204" s="69" t="s">
        <v>443</v>
      </c>
      <c r="G204" s="69" t="s">
        <v>54</v>
      </c>
      <c r="H204" s="70">
        <v>2010</v>
      </c>
      <c r="I204" s="69"/>
      <c r="J204" s="69" t="s">
        <v>1060</v>
      </c>
      <c r="K204" s="71" t="s">
        <v>1061</v>
      </c>
      <c r="L204" s="71" t="s">
        <v>1062</v>
      </c>
      <c r="M204" s="71" t="s">
        <v>1063</v>
      </c>
      <c r="N204" s="69" t="s">
        <v>57</v>
      </c>
      <c r="O204" s="64">
        <v>1</v>
      </c>
      <c r="P204" s="72">
        <v>13350000</v>
      </c>
      <c r="Q204" s="69" t="s">
        <v>1064</v>
      </c>
      <c r="R204" s="69"/>
      <c r="S204" s="68" t="s">
        <v>41</v>
      </c>
      <c r="T204" s="56">
        <v>2</v>
      </c>
      <c r="U204" s="56">
        <v>3</v>
      </c>
    </row>
    <row r="205" spans="1:21" ht="14.25" customHeight="1" x14ac:dyDescent="0.35">
      <c r="A205" s="47">
        <v>189</v>
      </c>
      <c r="B205" s="69" t="s">
        <v>79</v>
      </c>
      <c r="C205" s="69" t="s">
        <v>80</v>
      </c>
      <c r="D205" s="70" t="s">
        <v>132</v>
      </c>
      <c r="E205" s="69" t="s">
        <v>465</v>
      </c>
      <c r="F205" s="69" t="s">
        <v>88</v>
      </c>
      <c r="G205" s="69" t="s">
        <v>54</v>
      </c>
      <c r="H205" s="70">
        <v>2013</v>
      </c>
      <c r="I205" s="69"/>
      <c r="J205" s="69" t="s">
        <v>1065</v>
      </c>
      <c r="K205" s="71" t="s">
        <v>1066</v>
      </c>
      <c r="L205" s="71" t="s">
        <v>1067</v>
      </c>
      <c r="M205" s="71" t="s">
        <v>1068</v>
      </c>
      <c r="N205" s="69" t="s">
        <v>57</v>
      </c>
      <c r="O205" s="64">
        <v>1</v>
      </c>
      <c r="P205" s="72">
        <v>15971437</v>
      </c>
      <c r="Q205" s="69" t="s">
        <v>1069</v>
      </c>
      <c r="R205" s="69"/>
      <c r="S205" s="68" t="s">
        <v>41</v>
      </c>
      <c r="T205" s="56">
        <v>2</v>
      </c>
      <c r="U205" s="56">
        <v>3</v>
      </c>
    </row>
    <row r="206" spans="1:21" ht="14.25" customHeight="1" thickBot="1" x14ac:dyDescent="0.4">
      <c r="A206" s="58">
        <v>190</v>
      </c>
      <c r="B206" s="69" t="s">
        <v>79</v>
      </c>
      <c r="C206" s="69" t="s">
        <v>80</v>
      </c>
      <c r="D206" s="70" t="s">
        <v>132</v>
      </c>
      <c r="E206" s="69" t="s">
        <v>465</v>
      </c>
      <c r="F206" s="69" t="s">
        <v>88</v>
      </c>
      <c r="G206" s="69" t="s">
        <v>54</v>
      </c>
      <c r="H206" s="70">
        <v>2013</v>
      </c>
      <c r="I206" s="69"/>
      <c r="J206" s="69" t="s">
        <v>1070</v>
      </c>
      <c r="K206" s="71" t="s">
        <v>1071</v>
      </c>
      <c r="L206" s="71" t="s">
        <v>1072</v>
      </c>
      <c r="M206" s="71" t="s">
        <v>1073</v>
      </c>
      <c r="N206" s="69" t="s">
        <v>57</v>
      </c>
      <c r="O206" s="64">
        <v>1</v>
      </c>
      <c r="P206" s="72">
        <v>15971437</v>
      </c>
      <c r="Q206" s="69" t="s">
        <v>1074</v>
      </c>
      <c r="R206" s="69"/>
      <c r="S206" s="68" t="s">
        <v>41</v>
      </c>
      <c r="T206" s="56">
        <v>2</v>
      </c>
      <c r="U206" s="56">
        <v>3</v>
      </c>
    </row>
    <row r="207" spans="1:21" ht="14.25" customHeight="1" x14ac:dyDescent="0.35">
      <c r="A207" s="47">
        <v>191</v>
      </c>
      <c r="B207" s="69" t="s">
        <v>79</v>
      </c>
      <c r="C207" s="69" t="s">
        <v>80</v>
      </c>
      <c r="D207" s="70" t="s">
        <v>132</v>
      </c>
      <c r="E207" s="69" t="s">
        <v>465</v>
      </c>
      <c r="F207" s="69" t="s">
        <v>88</v>
      </c>
      <c r="G207" s="69" t="s">
        <v>54</v>
      </c>
      <c r="H207" s="70">
        <v>2013</v>
      </c>
      <c r="I207" s="69"/>
      <c r="J207" s="69" t="s">
        <v>1075</v>
      </c>
      <c r="K207" s="71" t="s">
        <v>1076</v>
      </c>
      <c r="L207" s="71" t="s">
        <v>1077</v>
      </c>
      <c r="M207" s="71" t="s">
        <v>1078</v>
      </c>
      <c r="N207" s="69" t="s">
        <v>57</v>
      </c>
      <c r="O207" s="64">
        <v>1</v>
      </c>
      <c r="P207" s="72">
        <v>15971437</v>
      </c>
      <c r="Q207" s="69" t="s">
        <v>1079</v>
      </c>
      <c r="R207" s="69"/>
      <c r="S207" s="68" t="s">
        <v>41</v>
      </c>
      <c r="T207" s="56">
        <v>2</v>
      </c>
      <c r="U207" s="56">
        <v>3</v>
      </c>
    </row>
    <row r="208" spans="1:21" ht="14.25" customHeight="1" thickBot="1" x14ac:dyDescent="0.4">
      <c r="A208" s="58">
        <v>192</v>
      </c>
      <c r="B208" s="69" t="s">
        <v>79</v>
      </c>
      <c r="C208" s="69" t="s">
        <v>80</v>
      </c>
      <c r="D208" s="70" t="s">
        <v>137</v>
      </c>
      <c r="E208" s="69" t="s">
        <v>459</v>
      </c>
      <c r="F208" s="69" t="s">
        <v>82</v>
      </c>
      <c r="G208" s="69" t="s">
        <v>54</v>
      </c>
      <c r="H208" s="70">
        <v>2006</v>
      </c>
      <c r="I208" s="69"/>
      <c r="J208" s="69" t="s">
        <v>1080</v>
      </c>
      <c r="K208" s="71" t="s">
        <v>1081</v>
      </c>
      <c r="L208" s="71" t="s">
        <v>1082</v>
      </c>
      <c r="M208" s="71" t="s">
        <v>1083</v>
      </c>
      <c r="N208" s="69" t="s">
        <v>57</v>
      </c>
      <c r="O208" s="64">
        <v>1</v>
      </c>
      <c r="P208" s="72">
        <v>13500000</v>
      </c>
      <c r="Q208" s="69" t="s">
        <v>1084</v>
      </c>
      <c r="R208" s="69"/>
      <c r="S208" s="68" t="s">
        <v>41</v>
      </c>
      <c r="T208" s="56">
        <v>2</v>
      </c>
      <c r="U208" s="56">
        <v>3</v>
      </c>
    </row>
    <row r="209" spans="1:21" ht="14.25" customHeight="1" x14ac:dyDescent="0.35">
      <c r="A209" s="47">
        <v>193</v>
      </c>
      <c r="B209" s="69" t="s">
        <v>79</v>
      </c>
      <c r="C209" s="69" t="s">
        <v>80</v>
      </c>
      <c r="D209" s="70" t="s">
        <v>137</v>
      </c>
      <c r="E209" s="69" t="s">
        <v>459</v>
      </c>
      <c r="F209" s="69" t="s">
        <v>82</v>
      </c>
      <c r="G209" s="69" t="s">
        <v>54</v>
      </c>
      <c r="H209" s="70">
        <v>2007</v>
      </c>
      <c r="I209" s="69"/>
      <c r="J209" s="69" t="s">
        <v>1085</v>
      </c>
      <c r="K209" s="71" t="s">
        <v>1086</v>
      </c>
      <c r="L209" s="71" t="s">
        <v>1087</v>
      </c>
      <c r="M209" s="71" t="s">
        <v>1088</v>
      </c>
      <c r="N209" s="69" t="s">
        <v>57</v>
      </c>
      <c r="O209" s="64">
        <v>1</v>
      </c>
      <c r="P209" s="72">
        <v>13500000</v>
      </c>
      <c r="Q209" s="69" t="s">
        <v>1089</v>
      </c>
      <c r="R209" s="69"/>
      <c r="S209" s="68" t="s">
        <v>41</v>
      </c>
      <c r="T209" s="56">
        <v>2</v>
      </c>
      <c r="U209" s="56">
        <v>3</v>
      </c>
    </row>
    <row r="210" spans="1:21" ht="14.25" customHeight="1" thickBot="1" x14ac:dyDescent="0.4">
      <c r="A210" s="58">
        <v>194</v>
      </c>
      <c r="B210" s="69" t="s">
        <v>79</v>
      </c>
      <c r="C210" s="69" t="s">
        <v>80</v>
      </c>
      <c r="D210" s="70" t="s">
        <v>137</v>
      </c>
      <c r="E210" s="69" t="s">
        <v>430</v>
      </c>
      <c r="F210" s="69" t="s">
        <v>82</v>
      </c>
      <c r="G210" s="69" t="s">
        <v>54</v>
      </c>
      <c r="H210" s="70">
        <v>2007</v>
      </c>
      <c r="I210" s="69"/>
      <c r="J210" s="69" t="s">
        <v>1090</v>
      </c>
      <c r="K210" s="71" t="s">
        <v>1091</v>
      </c>
      <c r="L210" s="71" t="s">
        <v>1092</v>
      </c>
      <c r="M210" s="71" t="s">
        <v>1093</v>
      </c>
      <c r="N210" s="69" t="s">
        <v>57</v>
      </c>
      <c r="O210" s="64">
        <v>1</v>
      </c>
      <c r="P210" s="72">
        <v>13500000</v>
      </c>
      <c r="Q210" s="69" t="s">
        <v>1094</v>
      </c>
      <c r="R210" s="69"/>
      <c r="S210" s="68" t="s">
        <v>41</v>
      </c>
      <c r="T210" s="56">
        <v>2</v>
      </c>
      <c r="U210" s="56">
        <v>3</v>
      </c>
    </row>
    <row r="211" spans="1:21" ht="14.25" customHeight="1" x14ac:dyDescent="0.35">
      <c r="A211" s="47">
        <v>195</v>
      </c>
      <c r="B211" s="69" t="s">
        <v>79</v>
      </c>
      <c r="C211" s="69" t="s">
        <v>80</v>
      </c>
      <c r="D211" s="70" t="s">
        <v>137</v>
      </c>
      <c r="E211" s="69" t="s">
        <v>780</v>
      </c>
      <c r="F211" s="69" t="s">
        <v>231</v>
      </c>
      <c r="G211" s="69" t="s">
        <v>54</v>
      </c>
      <c r="H211" s="70">
        <v>2013</v>
      </c>
      <c r="I211" s="69"/>
      <c r="J211" s="69" t="s">
        <v>1095</v>
      </c>
      <c r="K211" s="71" t="s">
        <v>1096</v>
      </c>
      <c r="L211" s="71" t="s">
        <v>1097</v>
      </c>
      <c r="M211" s="71" t="s">
        <v>1098</v>
      </c>
      <c r="N211" s="69" t="s">
        <v>57</v>
      </c>
      <c r="O211" s="64">
        <v>1</v>
      </c>
      <c r="P211" s="72">
        <v>17531100</v>
      </c>
      <c r="Q211" s="69" t="s">
        <v>1099</v>
      </c>
      <c r="R211" s="69"/>
      <c r="S211" s="68" t="s">
        <v>41</v>
      </c>
      <c r="T211" s="56">
        <v>2</v>
      </c>
      <c r="U211" s="56">
        <v>3</v>
      </c>
    </row>
    <row r="212" spans="1:21" ht="14.25" customHeight="1" thickBot="1" x14ac:dyDescent="0.4">
      <c r="A212" s="58">
        <v>196</v>
      </c>
      <c r="B212" s="69" t="s">
        <v>79</v>
      </c>
      <c r="C212" s="69" t="s">
        <v>80</v>
      </c>
      <c r="D212" s="70" t="s">
        <v>137</v>
      </c>
      <c r="E212" s="69" t="s">
        <v>465</v>
      </c>
      <c r="F212" s="69" t="s">
        <v>88</v>
      </c>
      <c r="G212" s="69" t="s">
        <v>54</v>
      </c>
      <c r="H212" s="70">
        <v>2013</v>
      </c>
      <c r="I212" s="69"/>
      <c r="J212" s="69" t="s">
        <v>1100</v>
      </c>
      <c r="K212" s="71" t="s">
        <v>1101</v>
      </c>
      <c r="L212" s="71" t="s">
        <v>1102</v>
      </c>
      <c r="M212" s="71" t="s">
        <v>1103</v>
      </c>
      <c r="N212" s="69" t="s">
        <v>57</v>
      </c>
      <c r="O212" s="64">
        <v>1</v>
      </c>
      <c r="P212" s="72">
        <v>15971437</v>
      </c>
      <c r="Q212" s="69" t="s">
        <v>1104</v>
      </c>
      <c r="R212" s="69"/>
      <c r="S212" s="68" t="s">
        <v>41</v>
      </c>
      <c r="T212" s="56">
        <v>2</v>
      </c>
      <c r="U212" s="56">
        <v>3</v>
      </c>
    </row>
    <row r="213" spans="1:21" ht="14.25" customHeight="1" x14ac:dyDescent="0.35">
      <c r="A213" s="47">
        <v>197</v>
      </c>
      <c r="B213" s="69" t="s">
        <v>79</v>
      </c>
      <c r="C213" s="69" t="s">
        <v>80</v>
      </c>
      <c r="D213" s="70" t="s">
        <v>137</v>
      </c>
      <c r="E213" s="69" t="s">
        <v>465</v>
      </c>
      <c r="F213" s="69" t="s">
        <v>88</v>
      </c>
      <c r="G213" s="69" t="s">
        <v>54</v>
      </c>
      <c r="H213" s="70">
        <v>2013</v>
      </c>
      <c r="I213" s="69"/>
      <c r="J213" s="69" t="s">
        <v>1105</v>
      </c>
      <c r="K213" s="71" t="s">
        <v>1106</v>
      </c>
      <c r="L213" s="71" t="s">
        <v>1107</v>
      </c>
      <c r="M213" s="71" t="s">
        <v>1108</v>
      </c>
      <c r="N213" s="69" t="s">
        <v>57</v>
      </c>
      <c r="O213" s="64">
        <v>1</v>
      </c>
      <c r="P213" s="72">
        <v>15971437</v>
      </c>
      <c r="Q213" s="69" t="s">
        <v>1109</v>
      </c>
      <c r="R213" s="69"/>
      <c r="S213" s="68" t="s">
        <v>41</v>
      </c>
      <c r="T213" s="56">
        <v>2</v>
      </c>
      <c r="U213" s="56">
        <v>3</v>
      </c>
    </row>
    <row r="214" spans="1:21" ht="14.25" customHeight="1" thickBot="1" x14ac:dyDescent="0.4">
      <c r="A214" s="58">
        <v>198</v>
      </c>
      <c r="B214" s="69" t="s">
        <v>79</v>
      </c>
      <c r="C214" s="69" t="s">
        <v>80</v>
      </c>
      <c r="D214" s="70" t="s">
        <v>137</v>
      </c>
      <c r="E214" s="69" t="s">
        <v>1110</v>
      </c>
      <c r="F214" s="69" t="s">
        <v>163</v>
      </c>
      <c r="G214" s="69" t="s">
        <v>140</v>
      </c>
      <c r="H214" s="70">
        <v>2017</v>
      </c>
      <c r="I214" s="69" t="s">
        <v>63</v>
      </c>
      <c r="J214" s="69" t="s">
        <v>1111</v>
      </c>
      <c r="K214" s="71" t="s">
        <v>1112</v>
      </c>
      <c r="L214" s="71" t="s">
        <v>1113</v>
      </c>
      <c r="M214" s="71" t="s">
        <v>1114</v>
      </c>
      <c r="N214" s="69" t="s">
        <v>57</v>
      </c>
      <c r="O214" s="64">
        <v>1</v>
      </c>
      <c r="P214" s="72">
        <v>15846600</v>
      </c>
      <c r="Q214" s="69" t="s">
        <v>1115</v>
      </c>
      <c r="R214" s="69"/>
      <c r="S214" s="68" t="s">
        <v>41</v>
      </c>
      <c r="T214" s="56">
        <v>2</v>
      </c>
      <c r="U214" s="56">
        <v>3</v>
      </c>
    </row>
    <row r="215" spans="1:21" ht="14.25" customHeight="1" x14ac:dyDescent="0.35">
      <c r="A215" s="47">
        <v>199</v>
      </c>
      <c r="B215" s="69" t="s">
        <v>79</v>
      </c>
      <c r="C215" s="69" t="s">
        <v>80</v>
      </c>
      <c r="D215" s="70" t="s">
        <v>146</v>
      </c>
      <c r="E215" s="69" t="s">
        <v>563</v>
      </c>
      <c r="F215" s="69" t="s">
        <v>443</v>
      </c>
      <c r="G215" s="69" t="s">
        <v>54</v>
      </c>
      <c r="H215" s="70">
        <v>2006</v>
      </c>
      <c r="I215" s="69"/>
      <c r="J215" s="69" t="s">
        <v>1116</v>
      </c>
      <c r="K215" s="71" t="s">
        <v>1117</v>
      </c>
      <c r="L215" s="71" t="s">
        <v>1118</v>
      </c>
      <c r="M215" s="71" t="s">
        <v>1119</v>
      </c>
      <c r="N215" s="69" t="s">
        <v>57</v>
      </c>
      <c r="O215" s="64">
        <v>1</v>
      </c>
      <c r="P215" s="72">
        <v>14500000</v>
      </c>
      <c r="Q215" s="69" t="s">
        <v>1120</v>
      </c>
      <c r="R215" s="69"/>
      <c r="S215" s="68" t="s">
        <v>41</v>
      </c>
      <c r="T215" s="56">
        <v>2</v>
      </c>
      <c r="U215" s="56">
        <v>3</v>
      </c>
    </row>
    <row r="216" spans="1:21" ht="14.25" customHeight="1" thickBot="1" x14ac:dyDescent="0.4">
      <c r="A216" s="58">
        <v>200</v>
      </c>
      <c r="B216" s="69" t="s">
        <v>79</v>
      </c>
      <c r="C216" s="69" t="s">
        <v>80</v>
      </c>
      <c r="D216" s="70" t="s">
        <v>146</v>
      </c>
      <c r="E216" s="69" t="s">
        <v>1121</v>
      </c>
      <c r="F216" s="69" t="s">
        <v>1122</v>
      </c>
      <c r="G216" s="69" t="s">
        <v>54</v>
      </c>
      <c r="H216" s="70">
        <v>2006</v>
      </c>
      <c r="I216" s="69"/>
      <c r="J216" s="69" t="s">
        <v>1123</v>
      </c>
      <c r="K216" s="71" t="s">
        <v>1124</v>
      </c>
      <c r="L216" s="71" t="s">
        <v>1125</v>
      </c>
      <c r="M216" s="71" t="s">
        <v>1126</v>
      </c>
      <c r="N216" s="69" t="s">
        <v>422</v>
      </c>
      <c r="O216" s="64">
        <v>1</v>
      </c>
      <c r="P216" s="72">
        <v>14500000</v>
      </c>
      <c r="Q216" s="69" t="s">
        <v>1127</v>
      </c>
      <c r="R216" s="69"/>
      <c r="S216" s="68" t="s">
        <v>41</v>
      </c>
      <c r="T216" s="56">
        <v>2</v>
      </c>
      <c r="U216" s="56">
        <v>3</v>
      </c>
    </row>
    <row r="217" spans="1:21" ht="14.25" customHeight="1" x14ac:dyDescent="0.35">
      <c r="A217" s="47">
        <v>201</v>
      </c>
      <c r="B217" s="69" t="s">
        <v>79</v>
      </c>
      <c r="C217" s="69" t="s">
        <v>80</v>
      </c>
      <c r="D217" s="70" t="s">
        <v>146</v>
      </c>
      <c r="E217" s="69" t="s">
        <v>737</v>
      </c>
      <c r="F217" s="69" t="s">
        <v>88</v>
      </c>
      <c r="G217" s="69" t="s">
        <v>54</v>
      </c>
      <c r="H217" s="70">
        <v>2007</v>
      </c>
      <c r="I217" s="69"/>
      <c r="J217" s="69" t="s">
        <v>1128</v>
      </c>
      <c r="K217" s="71" t="s">
        <v>1129</v>
      </c>
      <c r="L217" s="71" t="s">
        <v>1130</v>
      </c>
      <c r="M217" s="71" t="s">
        <v>1131</v>
      </c>
      <c r="N217" s="69" t="s">
        <v>57</v>
      </c>
      <c r="O217" s="64">
        <v>1</v>
      </c>
      <c r="P217" s="72">
        <v>17000000</v>
      </c>
      <c r="Q217" s="69" t="s">
        <v>1132</v>
      </c>
      <c r="R217" s="69"/>
      <c r="S217" s="68" t="s">
        <v>41</v>
      </c>
      <c r="T217" s="56">
        <v>2</v>
      </c>
      <c r="U217" s="56">
        <v>3</v>
      </c>
    </row>
    <row r="218" spans="1:21" ht="14.25" customHeight="1" thickBot="1" x14ac:dyDescent="0.4">
      <c r="A218" s="58">
        <v>202</v>
      </c>
      <c r="B218" s="69" t="s">
        <v>79</v>
      </c>
      <c r="C218" s="69" t="s">
        <v>80</v>
      </c>
      <c r="D218" s="70" t="s">
        <v>146</v>
      </c>
      <c r="E218" s="69" t="s">
        <v>531</v>
      </c>
      <c r="F218" s="69" t="s">
        <v>443</v>
      </c>
      <c r="G218" s="69" t="s">
        <v>54</v>
      </c>
      <c r="H218" s="70">
        <v>2010</v>
      </c>
      <c r="I218" s="69"/>
      <c r="J218" s="69" t="s">
        <v>1133</v>
      </c>
      <c r="K218" s="71" t="s">
        <v>1134</v>
      </c>
      <c r="L218" s="71" t="s">
        <v>1135</v>
      </c>
      <c r="M218" s="71" t="s">
        <v>1136</v>
      </c>
      <c r="N218" s="69" t="s">
        <v>57</v>
      </c>
      <c r="O218" s="64">
        <v>1</v>
      </c>
      <c r="P218" s="72">
        <v>13350000</v>
      </c>
      <c r="Q218" s="69" t="s">
        <v>1137</v>
      </c>
      <c r="R218" s="69"/>
      <c r="S218" s="68" t="s">
        <v>41</v>
      </c>
      <c r="T218" s="56">
        <v>2</v>
      </c>
      <c r="U218" s="56">
        <v>3</v>
      </c>
    </row>
    <row r="219" spans="1:21" ht="14.25" customHeight="1" x14ac:dyDescent="0.35">
      <c r="A219" s="47">
        <v>203</v>
      </c>
      <c r="B219" s="69" t="s">
        <v>79</v>
      </c>
      <c r="C219" s="69" t="s">
        <v>80</v>
      </c>
      <c r="D219" s="70" t="s">
        <v>146</v>
      </c>
      <c r="E219" s="69" t="s">
        <v>465</v>
      </c>
      <c r="F219" s="69" t="s">
        <v>88</v>
      </c>
      <c r="G219" s="69" t="s">
        <v>54</v>
      </c>
      <c r="H219" s="70">
        <v>2013</v>
      </c>
      <c r="I219" s="69"/>
      <c r="J219" s="69" t="s">
        <v>1138</v>
      </c>
      <c r="K219" s="71" t="s">
        <v>1139</v>
      </c>
      <c r="L219" s="71" t="s">
        <v>1140</v>
      </c>
      <c r="M219" s="71" t="s">
        <v>1141</v>
      </c>
      <c r="N219" s="69" t="s">
        <v>57</v>
      </c>
      <c r="O219" s="64">
        <v>1</v>
      </c>
      <c r="P219" s="72">
        <v>15971437</v>
      </c>
      <c r="Q219" s="69" t="s">
        <v>1142</v>
      </c>
      <c r="R219" s="69"/>
      <c r="S219" s="68" t="s">
        <v>41</v>
      </c>
      <c r="T219" s="56">
        <v>2</v>
      </c>
      <c r="U219" s="56">
        <v>3</v>
      </c>
    </row>
    <row r="220" spans="1:21" ht="14.25" customHeight="1" thickBot="1" x14ac:dyDescent="0.4">
      <c r="A220" s="58">
        <v>204</v>
      </c>
      <c r="B220" s="69" t="s">
        <v>79</v>
      </c>
      <c r="C220" s="69" t="s">
        <v>80</v>
      </c>
      <c r="D220" s="70" t="s">
        <v>146</v>
      </c>
      <c r="E220" s="69" t="s">
        <v>1143</v>
      </c>
      <c r="F220" s="69" t="s">
        <v>231</v>
      </c>
      <c r="G220" s="69" t="s">
        <v>1144</v>
      </c>
      <c r="H220" s="70">
        <v>2022</v>
      </c>
      <c r="I220" s="69" t="s">
        <v>63</v>
      </c>
      <c r="J220" s="69" t="s">
        <v>1145</v>
      </c>
      <c r="K220" s="71" t="s">
        <v>1146</v>
      </c>
      <c r="L220" s="71" t="s">
        <v>1147</v>
      </c>
      <c r="M220" s="71" t="s">
        <v>1148</v>
      </c>
      <c r="N220" s="69" t="s">
        <v>44</v>
      </c>
      <c r="O220" s="64">
        <v>1</v>
      </c>
      <c r="P220" s="72">
        <v>33016535.000000004</v>
      </c>
      <c r="Q220" s="69" t="s">
        <v>1149</v>
      </c>
      <c r="R220" s="69"/>
      <c r="S220" s="68" t="s">
        <v>41</v>
      </c>
      <c r="T220" s="56">
        <v>2</v>
      </c>
      <c r="U220" s="56">
        <v>3</v>
      </c>
    </row>
    <row r="221" spans="1:21" ht="14.25" customHeight="1" x14ac:dyDescent="0.35">
      <c r="A221" s="47">
        <v>205</v>
      </c>
      <c r="B221" s="69" t="s">
        <v>79</v>
      </c>
      <c r="C221" s="69" t="s">
        <v>80</v>
      </c>
      <c r="D221" s="70" t="s">
        <v>154</v>
      </c>
      <c r="E221" s="69" t="s">
        <v>563</v>
      </c>
      <c r="F221" s="69" t="s">
        <v>443</v>
      </c>
      <c r="G221" s="69" t="s">
        <v>54</v>
      </c>
      <c r="H221" s="70">
        <v>2006</v>
      </c>
      <c r="I221" s="69"/>
      <c r="J221" s="69" t="s">
        <v>1150</v>
      </c>
      <c r="K221" s="71" t="s">
        <v>1151</v>
      </c>
      <c r="L221" s="71" t="s">
        <v>1152</v>
      </c>
      <c r="M221" s="71" t="s">
        <v>1153</v>
      </c>
      <c r="N221" s="69" t="s">
        <v>57</v>
      </c>
      <c r="O221" s="64">
        <v>1</v>
      </c>
      <c r="P221" s="72">
        <v>14500000</v>
      </c>
      <c r="Q221" s="69" t="s">
        <v>1154</v>
      </c>
      <c r="R221" s="69"/>
      <c r="S221" s="68" t="s">
        <v>41</v>
      </c>
      <c r="T221" s="56">
        <v>2</v>
      </c>
      <c r="U221" s="56">
        <v>3</v>
      </c>
    </row>
    <row r="222" spans="1:21" ht="14.25" customHeight="1" thickBot="1" x14ac:dyDescent="0.4">
      <c r="A222" s="58">
        <v>206</v>
      </c>
      <c r="B222" s="69" t="s">
        <v>79</v>
      </c>
      <c r="C222" s="69" t="s">
        <v>80</v>
      </c>
      <c r="D222" s="70" t="s">
        <v>154</v>
      </c>
      <c r="E222" s="69" t="s">
        <v>556</v>
      </c>
      <c r="F222" s="69" t="s">
        <v>443</v>
      </c>
      <c r="G222" s="69" t="s">
        <v>54</v>
      </c>
      <c r="H222" s="70">
        <v>2006</v>
      </c>
      <c r="I222" s="69"/>
      <c r="J222" s="69" t="s">
        <v>1155</v>
      </c>
      <c r="K222" s="71" t="s">
        <v>1156</v>
      </c>
      <c r="L222" s="71" t="s">
        <v>1157</v>
      </c>
      <c r="M222" s="71" t="s">
        <v>1158</v>
      </c>
      <c r="N222" s="69" t="s">
        <v>57</v>
      </c>
      <c r="O222" s="64">
        <v>1</v>
      </c>
      <c r="P222" s="72">
        <v>13500000</v>
      </c>
      <c r="Q222" s="69" t="s">
        <v>1159</v>
      </c>
      <c r="R222" s="69"/>
      <c r="S222" s="68" t="s">
        <v>41</v>
      </c>
      <c r="T222" s="56">
        <v>2</v>
      </c>
      <c r="U222" s="56">
        <v>3</v>
      </c>
    </row>
    <row r="223" spans="1:21" ht="14.25" customHeight="1" x14ac:dyDescent="0.35">
      <c r="A223" s="47">
        <v>207</v>
      </c>
      <c r="B223" s="69" t="s">
        <v>79</v>
      </c>
      <c r="C223" s="69" t="s">
        <v>80</v>
      </c>
      <c r="D223" s="70" t="s">
        <v>154</v>
      </c>
      <c r="E223" s="69" t="s">
        <v>1160</v>
      </c>
      <c r="F223" s="69" t="s">
        <v>88</v>
      </c>
      <c r="G223" s="69" t="s">
        <v>54</v>
      </c>
      <c r="H223" s="70">
        <v>2006</v>
      </c>
      <c r="I223" s="69"/>
      <c r="J223" s="69" t="s">
        <v>1161</v>
      </c>
      <c r="K223" s="71" t="s">
        <v>1162</v>
      </c>
      <c r="L223" s="71" t="s">
        <v>1163</v>
      </c>
      <c r="M223" s="71" t="s">
        <v>1164</v>
      </c>
      <c r="N223" s="69" t="s">
        <v>57</v>
      </c>
      <c r="O223" s="64">
        <v>1</v>
      </c>
      <c r="P223" s="72">
        <v>14500000</v>
      </c>
      <c r="Q223" s="69" t="s">
        <v>1165</v>
      </c>
      <c r="R223" s="69"/>
      <c r="S223" s="68" t="s">
        <v>41</v>
      </c>
      <c r="T223" s="56">
        <v>2</v>
      </c>
      <c r="U223" s="56">
        <v>3</v>
      </c>
    </row>
    <row r="224" spans="1:21" ht="14.25" customHeight="1" thickBot="1" x14ac:dyDescent="0.4">
      <c r="A224" s="58">
        <v>208</v>
      </c>
      <c r="B224" s="69" t="s">
        <v>79</v>
      </c>
      <c r="C224" s="69" t="s">
        <v>80</v>
      </c>
      <c r="D224" s="70" t="s">
        <v>154</v>
      </c>
      <c r="E224" s="69" t="s">
        <v>430</v>
      </c>
      <c r="F224" s="69" t="s">
        <v>82</v>
      </c>
      <c r="G224" s="69" t="s">
        <v>54</v>
      </c>
      <c r="H224" s="70">
        <v>2007</v>
      </c>
      <c r="I224" s="69"/>
      <c r="J224" s="69" t="s">
        <v>1166</v>
      </c>
      <c r="K224" s="71" t="s">
        <v>1167</v>
      </c>
      <c r="L224" s="71" t="s">
        <v>1168</v>
      </c>
      <c r="M224" s="71" t="s">
        <v>1169</v>
      </c>
      <c r="N224" s="69" t="s">
        <v>57</v>
      </c>
      <c r="O224" s="64">
        <v>1</v>
      </c>
      <c r="P224" s="72">
        <v>13500000</v>
      </c>
      <c r="Q224" s="69" t="s">
        <v>1170</v>
      </c>
      <c r="R224" s="69"/>
      <c r="S224" s="68" t="s">
        <v>41</v>
      </c>
      <c r="T224" s="56">
        <v>2</v>
      </c>
      <c r="U224" s="56">
        <v>3</v>
      </c>
    </row>
    <row r="225" spans="1:21" ht="14.25" customHeight="1" x14ac:dyDescent="0.35">
      <c r="A225" s="47">
        <v>209</v>
      </c>
      <c r="B225" s="69" t="s">
        <v>79</v>
      </c>
      <c r="C225" s="69" t="s">
        <v>80</v>
      </c>
      <c r="D225" s="70" t="s">
        <v>154</v>
      </c>
      <c r="E225" s="69" t="s">
        <v>465</v>
      </c>
      <c r="F225" s="69" t="s">
        <v>88</v>
      </c>
      <c r="G225" s="69" t="s">
        <v>54</v>
      </c>
      <c r="H225" s="70">
        <v>2013</v>
      </c>
      <c r="I225" s="69"/>
      <c r="J225" s="69" t="s">
        <v>1171</v>
      </c>
      <c r="K225" s="71" t="s">
        <v>1172</v>
      </c>
      <c r="L225" s="71" t="s">
        <v>1173</v>
      </c>
      <c r="M225" s="71" t="s">
        <v>1174</v>
      </c>
      <c r="N225" s="69" t="s">
        <v>57</v>
      </c>
      <c r="O225" s="64">
        <v>1</v>
      </c>
      <c r="P225" s="72">
        <v>15971437</v>
      </c>
      <c r="Q225" s="69" t="s">
        <v>1175</v>
      </c>
      <c r="R225" s="69"/>
      <c r="S225" s="68" t="s">
        <v>41</v>
      </c>
      <c r="T225" s="56">
        <v>2</v>
      </c>
      <c r="U225" s="56">
        <v>3</v>
      </c>
    </row>
    <row r="226" spans="1:21" ht="14.25" customHeight="1" thickBot="1" x14ac:dyDescent="0.4">
      <c r="A226" s="58">
        <v>210</v>
      </c>
      <c r="B226" s="69" t="s">
        <v>79</v>
      </c>
      <c r="C226" s="69" t="s">
        <v>80</v>
      </c>
      <c r="D226" s="70" t="s">
        <v>161</v>
      </c>
      <c r="E226" s="69" t="s">
        <v>1176</v>
      </c>
      <c r="F226" s="69" t="s">
        <v>1177</v>
      </c>
      <c r="G226" s="69" t="s">
        <v>54</v>
      </c>
      <c r="H226" s="70">
        <v>2006</v>
      </c>
      <c r="I226" s="69"/>
      <c r="J226" s="69" t="s">
        <v>1178</v>
      </c>
      <c r="K226" s="71" t="s">
        <v>1179</v>
      </c>
      <c r="L226" s="71" t="s">
        <v>1180</v>
      </c>
      <c r="M226" s="71" t="s">
        <v>1181</v>
      </c>
      <c r="N226" s="69" t="s">
        <v>57</v>
      </c>
      <c r="O226" s="64">
        <v>1</v>
      </c>
      <c r="P226" s="72">
        <v>14500000</v>
      </c>
      <c r="Q226" s="69" t="s">
        <v>1182</v>
      </c>
      <c r="R226" s="69"/>
      <c r="S226" s="68" t="s">
        <v>41</v>
      </c>
      <c r="T226" s="56">
        <v>2</v>
      </c>
      <c r="U226" s="56">
        <v>3</v>
      </c>
    </row>
    <row r="227" spans="1:21" ht="14.25" customHeight="1" x14ac:dyDescent="0.35">
      <c r="A227" s="47">
        <v>211</v>
      </c>
      <c r="B227" s="69" t="s">
        <v>79</v>
      </c>
      <c r="C227" s="69" t="s">
        <v>80</v>
      </c>
      <c r="D227" s="70" t="s">
        <v>161</v>
      </c>
      <c r="E227" s="69" t="s">
        <v>701</v>
      </c>
      <c r="F227" s="69" t="s">
        <v>82</v>
      </c>
      <c r="G227" s="69" t="s">
        <v>54</v>
      </c>
      <c r="H227" s="70">
        <v>2007</v>
      </c>
      <c r="I227" s="69"/>
      <c r="J227" s="69" t="s">
        <v>1183</v>
      </c>
      <c r="K227" s="71" t="s">
        <v>1184</v>
      </c>
      <c r="L227" s="71" t="s">
        <v>1185</v>
      </c>
      <c r="M227" s="71" t="s">
        <v>1186</v>
      </c>
      <c r="N227" s="69" t="s">
        <v>57</v>
      </c>
      <c r="O227" s="64">
        <v>1</v>
      </c>
      <c r="P227" s="72">
        <v>13500000</v>
      </c>
      <c r="Q227" s="69" t="s">
        <v>1187</v>
      </c>
      <c r="R227" s="69"/>
      <c r="S227" s="68" t="s">
        <v>41</v>
      </c>
      <c r="T227" s="56">
        <v>2</v>
      </c>
      <c r="U227" s="56">
        <v>3</v>
      </c>
    </row>
    <row r="228" spans="1:21" ht="14.25" customHeight="1" thickBot="1" x14ac:dyDescent="0.4">
      <c r="A228" s="58">
        <v>212</v>
      </c>
      <c r="B228" s="69" t="s">
        <v>79</v>
      </c>
      <c r="C228" s="69" t="s">
        <v>80</v>
      </c>
      <c r="D228" s="70" t="s">
        <v>161</v>
      </c>
      <c r="E228" s="69" t="s">
        <v>465</v>
      </c>
      <c r="F228" s="69" t="s">
        <v>88</v>
      </c>
      <c r="G228" s="69" t="s">
        <v>54</v>
      </c>
      <c r="H228" s="70">
        <v>2013</v>
      </c>
      <c r="I228" s="69"/>
      <c r="J228" s="69" t="s">
        <v>1188</v>
      </c>
      <c r="K228" s="71" t="s">
        <v>1189</v>
      </c>
      <c r="L228" s="71" t="s">
        <v>1190</v>
      </c>
      <c r="M228" s="71" t="s">
        <v>1191</v>
      </c>
      <c r="N228" s="69" t="s">
        <v>57</v>
      </c>
      <c r="O228" s="64">
        <v>1</v>
      </c>
      <c r="P228" s="72">
        <v>15971437</v>
      </c>
      <c r="Q228" s="69" t="s">
        <v>1192</v>
      </c>
      <c r="R228" s="69"/>
      <c r="S228" s="68" t="s">
        <v>41</v>
      </c>
      <c r="T228" s="56">
        <v>2</v>
      </c>
      <c r="U228" s="56">
        <v>3</v>
      </c>
    </row>
    <row r="229" spans="1:21" ht="14.25" customHeight="1" x14ac:dyDescent="0.35">
      <c r="A229" s="47">
        <v>213</v>
      </c>
      <c r="B229" s="69" t="s">
        <v>79</v>
      </c>
      <c r="C229" s="69" t="s">
        <v>80</v>
      </c>
      <c r="D229" s="70" t="s">
        <v>169</v>
      </c>
      <c r="E229" s="69" t="s">
        <v>1193</v>
      </c>
      <c r="F229" s="69">
        <v>100</v>
      </c>
      <c r="G229" s="69" t="s">
        <v>54</v>
      </c>
      <c r="H229" s="70">
        <v>2006</v>
      </c>
      <c r="I229" s="69"/>
      <c r="J229" s="69" t="s">
        <v>1194</v>
      </c>
      <c r="K229" s="71" t="s">
        <v>1195</v>
      </c>
      <c r="L229" s="71" t="s">
        <v>1196</v>
      </c>
      <c r="M229" s="71" t="s">
        <v>1197</v>
      </c>
      <c r="N229" s="69" t="s">
        <v>57</v>
      </c>
      <c r="O229" s="64">
        <v>1</v>
      </c>
      <c r="P229" s="72">
        <v>15650000</v>
      </c>
      <c r="Q229" s="69" t="s">
        <v>1198</v>
      </c>
      <c r="R229" s="69"/>
      <c r="S229" s="68" t="s">
        <v>41</v>
      </c>
      <c r="T229" s="56">
        <v>2</v>
      </c>
      <c r="U229" s="56">
        <v>3</v>
      </c>
    </row>
    <row r="230" spans="1:21" ht="14.25" customHeight="1" thickBot="1" x14ac:dyDescent="0.4">
      <c r="A230" s="58">
        <v>214</v>
      </c>
      <c r="B230" s="69" t="s">
        <v>79</v>
      </c>
      <c r="C230" s="69" t="s">
        <v>80</v>
      </c>
      <c r="D230" s="70" t="s">
        <v>169</v>
      </c>
      <c r="E230" s="69" t="s">
        <v>1199</v>
      </c>
      <c r="F230" s="69" t="s">
        <v>82</v>
      </c>
      <c r="G230" s="69" t="s">
        <v>54</v>
      </c>
      <c r="H230" s="70">
        <v>2006</v>
      </c>
      <c r="I230" s="69"/>
      <c r="J230" s="69" t="s">
        <v>1200</v>
      </c>
      <c r="K230" s="71" t="s">
        <v>1201</v>
      </c>
      <c r="L230" s="71" t="s">
        <v>1202</v>
      </c>
      <c r="M230" s="71" t="s">
        <v>1203</v>
      </c>
      <c r="N230" s="69" t="s">
        <v>57</v>
      </c>
      <c r="O230" s="64">
        <v>1</v>
      </c>
      <c r="P230" s="72">
        <v>14500000</v>
      </c>
      <c r="Q230" s="69" t="s">
        <v>1204</v>
      </c>
      <c r="R230" s="69"/>
      <c r="S230" s="68" t="s">
        <v>41</v>
      </c>
      <c r="T230" s="56">
        <v>2</v>
      </c>
      <c r="U230" s="56">
        <v>3</v>
      </c>
    </row>
    <row r="231" spans="1:21" ht="14.25" customHeight="1" x14ac:dyDescent="0.35">
      <c r="A231" s="47">
        <v>215</v>
      </c>
      <c r="B231" s="69" t="s">
        <v>79</v>
      </c>
      <c r="C231" s="69" t="s">
        <v>80</v>
      </c>
      <c r="D231" s="70" t="s">
        <v>169</v>
      </c>
      <c r="E231" s="69" t="s">
        <v>430</v>
      </c>
      <c r="F231" s="69" t="s">
        <v>82</v>
      </c>
      <c r="G231" s="69" t="s">
        <v>54</v>
      </c>
      <c r="H231" s="70">
        <v>2007</v>
      </c>
      <c r="I231" s="69"/>
      <c r="J231" s="69" t="s">
        <v>1205</v>
      </c>
      <c r="K231" s="71" t="s">
        <v>1206</v>
      </c>
      <c r="L231" s="71" t="s">
        <v>1207</v>
      </c>
      <c r="M231" s="71" t="s">
        <v>1208</v>
      </c>
      <c r="N231" s="69" t="s">
        <v>57</v>
      </c>
      <c r="O231" s="64">
        <v>1</v>
      </c>
      <c r="P231" s="72">
        <v>13500000</v>
      </c>
      <c r="Q231" s="69" t="s">
        <v>1209</v>
      </c>
      <c r="R231" s="69"/>
      <c r="S231" s="68" t="s">
        <v>41</v>
      </c>
      <c r="T231" s="56">
        <v>2</v>
      </c>
      <c r="U231" s="56">
        <v>3</v>
      </c>
    </row>
    <row r="232" spans="1:21" ht="14.25" customHeight="1" thickBot="1" x14ac:dyDescent="0.4">
      <c r="A232" s="58">
        <v>216</v>
      </c>
      <c r="B232" s="69" t="s">
        <v>79</v>
      </c>
      <c r="C232" s="69" t="s">
        <v>80</v>
      </c>
      <c r="D232" s="70" t="s">
        <v>169</v>
      </c>
      <c r="E232" s="69" t="s">
        <v>780</v>
      </c>
      <c r="F232" s="69" t="s">
        <v>231</v>
      </c>
      <c r="G232" s="69" t="s">
        <v>54</v>
      </c>
      <c r="H232" s="70">
        <v>2013</v>
      </c>
      <c r="I232" s="69"/>
      <c r="J232" s="69" t="s">
        <v>1210</v>
      </c>
      <c r="K232" s="71" t="s">
        <v>1211</v>
      </c>
      <c r="L232" s="71" t="s">
        <v>1212</v>
      </c>
      <c r="M232" s="71" t="s">
        <v>1213</v>
      </c>
      <c r="N232" s="69" t="s">
        <v>57</v>
      </c>
      <c r="O232" s="64">
        <v>1</v>
      </c>
      <c r="P232" s="72">
        <v>17531100</v>
      </c>
      <c r="Q232" s="69" t="s">
        <v>1214</v>
      </c>
      <c r="R232" s="69"/>
      <c r="S232" s="68" t="s">
        <v>41</v>
      </c>
      <c r="T232" s="56">
        <v>2</v>
      </c>
      <c r="U232" s="56">
        <v>3</v>
      </c>
    </row>
    <row r="233" spans="1:21" ht="14.25" customHeight="1" x14ac:dyDescent="0.35">
      <c r="A233" s="47">
        <v>217</v>
      </c>
      <c r="B233" s="69" t="s">
        <v>79</v>
      </c>
      <c r="C233" s="69" t="s">
        <v>80</v>
      </c>
      <c r="D233" s="70" t="s">
        <v>176</v>
      </c>
      <c r="E233" s="69" t="s">
        <v>1215</v>
      </c>
      <c r="F233" s="69" t="s">
        <v>443</v>
      </c>
      <c r="G233" s="69" t="s">
        <v>54</v>
      </c>
      <c r="H233" s="70">
        <v>2006</v>
      </c>
      <c r="I233" s="69"/>
      <c r="J233" s="69" t="s">
        <v>1216</v>
      </c>
      <c r="K233" s="71" t="s">
        <v>1217</v>
      </c>
      <c r="L233" s="71" t="s">
        <v>1218</v>
      </c>
      <c r="M233" s="71" t="s">
        <v>1219</v>
      </c>
      <c r="N233" s="69" t="s">
        <v>57</v>
      </c>
      <c r="O233" s="64">
        <v>1</v>
      </c>
      <c r="P233" s="72">
        <v>17500000</v>
      </c>
      <c r="Q233" s="69" t="s">
        <v>1220</v>
      </c>
      <c r="R233" s="69"/>
      <c r="S233" s="68" t="s">
        <v>41</v>
      </c>
      <c r="T233" s="56">
        <v>2</v>
      </c>
      <c r="U233" s="56">
        <v>3</v>
      </c>
    </row>
    <row r="234" spans="1:21" ht="14.25" customHeight="1" thickBot="1" x14ac:dyDescent="0.4">
      <c r="A234" s="58">
        <v>218</v>
      </c>
      <c r="B234" s="69" t="s">
        <v>79</v>
      </c>
      <c r="C234" s="69" t="s">
        <v>80</v>
      </c>
      <c r="D234" s="70" t="s">
        <v>176</v>
      </c>
      <c r="E234" s="69" t="s">
        <v>430</v>
      </c>
      <c r="F234" s="69" t="s">
        <v>82</v>
      </c>
      <c r="G234" s="69" t="s">
        <v>54</v>
      </c>
      <c r="H234" s="70">
        <v>2006</v>
      </c>
      <c r="I234" s="69"/>
      <c r="J234" s="69" t="s">
        <v>1221</v>
      </c>
      <c r="K234" s="71" t="s">
        <v>1222</v>
      </c>
      <c r="L234" s="71" t="s">
        <v>1223</v>
      </c>
      <c r="M234" s="71" t="s">
        <v>1224</v>
      </c>
      <c r="N234" s="69" t="s">
        <v>57</v>
      </c>
      <c r="O234" s="64">
        <v>1</v>
      </c>
      <c r="P234" s="72">
        <v>13500000</v>
      </c>
      <c r="Q234" s="69" t="s">
        <v>1225</v>
      </c>
      <c r="R234" s="69"/>
      <c r="S234" s="68" t="s">
        <v>41</v>
      </c>
      <c r="T234" s="56">
        <v>2</v>
      </c>
      <c r="U234" s="56">
        <v>3</v>
      </c>
    </row>
    <row r="235" spans="1:21" ht="14.25" customHeight="1" x14ac:dyDescent="0.35">
      <c r="A235" s="47">
        <v>219</v>
      </c>
      <c r="B235" s="69" t="s">
        <v>79</v>
      </c>
      <c r="C235" s="69" t="s">
        <v>80</v>
      </c>
      <c r="D235" s="70" t="s">
        <v>176</v>
      </c>
      <c r="E235" s="69" t="s">
        <v>737</v>
      </c>
      <c r="F235" s="69">
        <v>125</v>
      </c>
      <c r="G235" s="69" t="s">
        <v>54</v>
      </c>
      <c r="H235" s="70">
        <v>2006</v>
      </c>
      <c r="I235" s="69"/>
      <c r="J235" s="69" t="s">
        <v>1226</v>
      </c>
      <c r="K235" s="71" t="s">
        <v>1227</v>
      </c>
      <c r="L235" s="71" t="s">
        <v>1228</v>
      </c>
      <c r="M235" s="71" t="s">
        <v>1229</v>
      </c>
      <c r="N235" s="69" t="s">
        <v>57</v>
      </c>
      <c r="O235" s="64">
        <v>1</v>
      </c>
      <c r="P235" s="72">
        <v>17000000</v>
      </c>
      <c r="Q235" s="69" t="s">
        <v>1230</v>
      </c>
      <c r="R235" s="69"/>
      <c r="S235" s="68" t="s">
        <v>41</v>
      </c>
      <c r="T235" s="56">
        <v>2</v>
      </c>
      <c r="U235" s="56">
        <v>3</v>
      </c>
    </row>
    <row r="236" spans="1:21" ht="14.25" customHeight="1" thickBot="1" x14ac:dyDescent="0.4">
      <c r="A236" s="58">
        <v>220</v>
      </c>
      <c r="B236" s="69" t="s">
        <v>79</v>
      </c>
      <c r="C236" s="69" t="s">
        <v>80</v>
      </c>
      <c r="D236" s="70" t="s">
        <v>176</v>
      </c>
      <c r="E236" s="69" t="s">
        <v>430</v>
      </c>
      <c r="F236" s="69" t="s">
        <v>82</v>
      </c>
      <c r="G236" s="69" t="s">
        <v>54</v>
      </c>
      <c r="H236" s="70">
        <v>2007</v>
      </c>
      <c r="I236" s="69"/>
      <c r="J236" s="69" t="s">
        <v>1231</v>
      </c>
      <c r="K236" s="71" t="s">
        <v>1232</v>
      </c>
      <c r="L236" s="71" t="s">
        <v>1233</v>
      </c>
      <c r="M236" s="71" t="s">
        <v>1234</v>
      </c>
      <c r="N236" s="69" t="s">
        <v>57</v>
      </c>
      <c r="O236" s="64">
        <v>1</v>
      </c>
      <c r="P236" s="72">
        <v>13500000</v>
      </c>
      <c r="Q236" s="69" t="s">
        <v>1235</v>
      </c>
      <c r="R236" s="69"/>
      <c r="S236" s="68" t="s">
        <v>41</v>
      </c>
      <c r="T236" s="56">
        <v>2</v>
      </c>
      <c r="U236" s="56">
        <v>3</v>
      </c>
    </row>
    <row r="237" spans="1:21" ht="14.25" customHeight="1" x14ac:dyDescent="0.35">
      <c r="A237" s="47">
        <v>221</v>
      </c>
      <c r="B237" s="69" t="s">
        <v>79</v>
      </c>
      <c r="C237" s="69" t="s">
        <v>80</v>
      </c>
      <c r="D237" s="70" t="s">
        <v>1236</v>
      </c>
      <c r="E237" s="69" t="s">
        <v>1237</v>
      </c>
      <c r="F237" s="69" t="s">
        <v>443</v>
      </c>
      <c r="G237" s="69" t="s">
        <v>54</v>
      </c>
      <c r="H237" s="70">
        <v>2006</v>
      </c>
      <c r="I237" s="69"/>
      <c r="J237" s="69" t="s">
        <v>1238</v>
      </c>
      <c r="K237" s="71" t="s">
        <v>1239</v>
      </c>
      <c r="L237" s="71" t="s">
        <v>1240</v>
      </c>
      <c r="M237" s="71" t="s">
        <v>1241</v>
      </c>
      <c r="N237" s="69" t="s">
        <v>57</v>
      </c>
      <c r="O237" s="64">
        <v>1</v>
      </c>
      <c r="P237" s="72">
        <v>14500000</v>
      </c>
      <c r="Q237" s="69" t="s">
        <v>1242</v>
      </c>
      <c r="R237" s="69"/>
      <c r="S237" s="68" t="s">
        <v>41</v>
      </c>
      <c r="T237" s="56">
        <v>2</v>
      </c>
      <c r="U237" s="56">
        <v>3</v>
      </c>
    </row>
    <row r="238" spans="1:21" ht="14.25" customHeight="1" thickBot="1" x14ac:dyDescent="0.4">
      <c r="A238" s="58">
        <v>222</v>
      </c>
      <c r="B238" s="69" t="s">
        <v>79</v>
      </c>
      <c r="C238" s="69" t="s">
        <v>80</v>
      </c>
      <c r="D238" s="70" t="s">
        <v>1236</v>
      </c>
      <c r="E238" s="69" t="s">
        <v>430</v>
      </c>
      <c r="F238" s="69" t="s">
        <v>82</v>
      </c>
      <c r="G238" s="69" t="s">
        <v>54</v>
      </c>
      <c r="H238" s="70">
        <v>2007</v>
      </c>
      <c r="I238" s="69"/>
      <c r="J238" s="69" t="s">
        <v>1243</v>
      </c>
      <c r="K238" s="71" t="s">
        <v>1244</v>
      </c>
      <c r="L238" s="71" t="s">
        <v>1245</v>
      </c>
      <c r="M238" s="71" t="s">
        <v>1246</v>
      </c>
      <c r="N238" s="69" t="s">
        <v>57</v>
      </c>
      <c r="O238" s="64">
        <v>1</v>
      </c>
      <c r="P238" s="72">
        <v>13500000</v>
      </c>
      <c r="Q238" s="69" t="s">
        <v>1247</v>
      </c>
      <c r="R238" s="69"/>
      <c r="S238" s="68" t="s">
        <v>41</v>
      </c>
      <c r="T238" s="56">
        <v>2</v>
      </c>
      <c r="U238" s="56">
        <v>3</v>
      </c>
    </row>
    <row r="239" spans="1:21" ht="14.25" customHeight="1" x14ac:dyDescent="0.35">
      <c r="A239" s="47">
        <v>223</v>
      </c>
      <c r="B239" s="69" t="s">
        <v>79</v>
      </c>
      <c r="C239" s="69" t="s">
        <v>80</v>
      </c>
      <c r="D239" s="70" t="s">
        <v>181</v>
      </c>
      <c r="E239" s="69" t="s">
        <v>1009</v>
      </c>
      <c r="F239" s="69" t="s">
        <v>443</v>
      </c>
      <c r="G239" s="69" t="s">
        <v>54</v>
      </c>
      <c r="H239" s="70">
        <v>2006</v>
      </c>
      <c r="I239" s="69"/>
      <c r="J239" s="69" t="s">
        <v>1248</v>
      </c>
      <c r="K239" s="71" t="s">
        <v>1249</v>
      </c>
      <c r="L239" s="71" t="s">
        <v>1250</v>
      </c>
      <c r="M239" s="71" t="s">
        <v>1251</v>
      </c>
      <c r="N239" s="69" t="s">
        <v>57</v>
      </c>
      <c r="O239" s="64">
        <v>1</v>
      </c>
      <c r="P239" s="72">
        <v>14500000</v>
      </c>
      <c r="Q239" s="69" t="s">
        <v>1252</v>
      </c>
      <c r="R239" s="69"/>
      <c r="S239" s="68" t="s">
        <v>41</v>
      </c>
      <c r="T239" s="56">
        <v>2</v>
      </c>
      <c r="U239" s="56">
        <v>3</v>
      </c>
    </row>
    <row r="240" spans="1:21" ht="14.25" customHeight="1" thickBot="1" x14ac:dyDescent="0.4">
      <c r="A240" s="58">
        <v>224</v>
      </c>
      <c r="B240" s="69" t="s">
        <v>79</v>
      </c>
      <c r="C240" s="69" t="s">
        <v>80</v>
      </c>
      <c r="D240" s="70" t="s">
        <v>181</v>
      </c>
      <c r="E240" s="69" t="s">
        <v>594</v>
      </c>
      <c r="F240" s="69"/>
      <c r="G240" s="69" t="s">
        <v>54</v>
      </c>
      <c r="H240" s="70">
        <v>2008</v>
      </c>
      <c r="I240" s="69"/>
      <c r="J240" s="69" t="s">
        <v>1253</v>
      </c>
      <c r="K240" s="71" t="s">
        <v>1254</v>
      </c>
      <c r="L240" s="71" t="s">
        <v>1255</v>
      </c>
      <c r="M240" s="71"/>
      <c r="N240" s="69" t="s">
        <v>57</v>
      </c>
      <c r="O240" s="64">
        <v>1</v>
      </c>
      <c r="P240" s="72">
        <v>15650000</v>
      </c>
      <c r="Q240" s="69" t="s">
        <v>1256</v>
      </c>
      <c r="R240" s="69"/>
      <c r="S240" s="68" t="s">
        <v>41</v>
      </c>
      <c r="T240" s="56">
        <v>2</v>
      </c>
      <c r="U240" s="56">
        <v>3</v>
      </c>
    </row>
    <row r="241" spans="1:21" ht="14.25" customHeight="1" x14ac:dyDescent="0.35">
      <c r="A241" s="47">
        <v>225</v>
      </c>
      <c r="B241" s="69" t="s">
        <v>79</v>
      </c>
      <c r="C241" s="69" t="s">
        <v>80</v>
      </c>
      <c r="D241" s="70" t="s">
        <v>181</v>
      </c>
      <c r="E241" s="69" t="s">
        <v>1257</v>
      </c>
      <c r="F241" s="69" t="s">
        <v>483</v>
      </c>
      <c r="G241" s="69" t="s">
        <v>553</v>
      </c>
      <c r="H241" s="70">
        <v>2020</v>
      </c>
      <c r="I241" s="69" t="s">
        <v>63</v>
      </c>
      <c r="J241" s="69" t="s">
        <v>1258</v>
      </c>
      <c r="K241" s="71" t="s">
        <v>1259</v>
      </c>
      <c r="L241" s="71" t="s">
        <v>1260</v>
      </c>
      <c r="M241" s="71" t="s">
        <v>1261</v>
      </c>
      <c r="N241" s="69" t="s">
        <v>57</v>
      </c>
      <c r="O241" s="64">
        <v>1</v>
      </c>
      <c r="P241" s="72">
        <v>23800000</v>
      </c>
      <c r="Q241" s="69" t="s">
        <v>488</v>
      </c>
      <c r="R241" s="69"/>
      <c r="S241" s="68" t="s">
        <v>41</v>
      </c>
      <c r="T241" s="56">
        <v>2</v>
      </c>
      <c r="U241" s="56">
        <v>3</v>
      </c>
    </row>
    <row r="242" spans="1:21" ht="14.25" customHeight="1" thickBot="1" x14ac:dyDescent="0.4">
      <c r="A242" s="58">
        <v>226</v>
      </c>
      <c r="B242" s="69" t="s">
        <v>79</v>
      </c>
      <c r="C242" s="69" t="s">
        <v>80</v>
      </c>
      <c r="D242" s="70" t="s">
        <v>187</v>
      </c>
      <c r="E242" s="69" t="s">
        <v>459</v>
      </c>
      <c r="F242" s="69" t="s">
        <v>82</v>
      </c>
      <c r="G242" s="69" t="s">
        <v>54</v>
      </c>
      <c r="H242" s="70">
        <v>2007</v>
      </c>
      <c r="I242" s="69"/>
      <c r="J242" s="69" t="s">
        <v>1262</v>
      </c>
      <c r="K242" s="71" t="s">
        <v>1263</v>
      </c>
      <c r="L242" s="71" t="s">
        <v>1264</v>
      </c>
      <c r="M242" s="71" t="s">
        <v>1265</v>
      </c>
      <c r="N242" s="69" t="s">
        <v>57</v>
      </c>
      <c r="O242" s="64">
        <v>1</v>
      </c>
      <c r="P242" s="72">
        <v>13500000</v>
      </c>
      <c r="Q242" s="69" t="s">
        <v>1266</v>
      </c>
      <c r="R242" s="69"/>
      <c r="S242" s="68" t="s">
        <v>41</v>
      </c>
      <c r="T242" s="56">
        <v>2</v>
      </c>
      <c r="U242" s="56">
        <v>3</v>
      </c>
    </row>
    <row r="243" spans="1:21" ht="14.25" customHeight="1" x14ac:dyDescent="0.35">
      <c r="A243" s="47">
        <v>227</v>
      </c>
      <c r="B243" s="69" t="s">
        <v>79</v>
      </c>
      <c r="C243" s="69" t="s">
        <v>80</v>
      </c>
      <c r="D243" s="70" t="s">
        <v>187</v>
      </c>
      <c r="E243" s="69" t="s">
        <v>594</v>
      </c>
      <c r="F243" s="69"/>
      <c r="G243" s="69" t="s">
        <v>54</v>
      </c>
      <c r="H243" s="70">
        <v>2008</v>
      </c>
      <c r="I243" s="69"/>
      <c r="J243" s="69" t="s">
        <v>1267</v>
      </c>
      <c r="K243" s="71" t="s">
        <v>1268</v>
      </c>
      <c r="L243" s="71" t="s">
        <v>1269</v>
      </c>
      <c r="M243" s="71" t="s">
        <v>1270</v>
      </c>
      <c r="N243" s="69" t="s">
        <v>57</v>
      </c>
      <c r="O243" s="64">
        <v>1</v>
      </c>
      <c r="P243" s="72">
        <v>15650000</v>
      </c>
      <c r="Q243" s="69" t="s">
        <v>1271</v>
      </c>
      <c r="R243" s="69"/>
      <c r="S243" s="68" t="s">
        <v>41</v>
      </c>
      <c r="T243" s="56">
        <v>2</v>
      </c>
      <c r="U243" s="56">
        <v>3</v>
      </c>
    </row>
    <row r="244" spans="1:21" ht="14.25" customHeight="1" thickBot="1" x14ac:dyDescent="0.4">
      <c r="A244" s="58">
        <v>228</v>
      </c>
      <c r="B244" s="69" t="s">
        <v>79</v>
      </c>
      <c r="C244" s="69" t="s">
        <v>80</v>
      </c>
      <c r="D244" s="70" t="s">
        <v>187</v>
      </c>
      <c r="E244" s="69" t="s">
        <v>465</v>
      </c>
      <c r="F244" s="69" t="s">
        <v>88</v>
      </c>
      <c r="G244" s="69" t="s">
        <v>54</v>
      </c>
      <c r="H244" s="70">
        <v>2013</v>
      </c>
      <c r="I244" s="69"/>
      <c r="J244" s="69" t="s">
        <v>1272</v>
      </c>
      <c r="K244" s="71" t="s">
        <v>1273</v>
      </c>
      <c r="L244" s="71" t="s">
        <v>1274</v>
      </c>
      <c r="M244" s="71" t="s">
        <v>1275</v>
      </c>
      <c r="N244" s="69" t="s">
        <v>57</v>
      </c>
      <c r="O244" s="64">
        <v>1</v>
      </c>
      <c r="P244" s="72">
        <v>15971437</v>
      </c>
      <c r="Q244" s="69" t="s">
        <v>1276</v>
      </c>
      <c r="R244" s="69"/>
      <c r="S244" s="68" t="s">
        <v>41</v>
      </c>
      <c r="T244" s="56">
        <v>2</v>
      </c>
      <c r="U244" s="56">
        <v>3</v>
      </c>
    </row>
    <row r="245" spans="1:21" ht="14.25" customHeight="1" x14ac:dyDescent="0.35">
      <c r="A245" s="47">
        <v>229</v>
      </c>
      <c r="B245" s="69" t="s">
        <v>79</v>
      </c>
      <c r="C245" s="69" t="s">
        <v>80</v>
      </c>
      <c r="D245" s="70" t="s">
        <v>187</v>
      </c>
      <c r="E245" s="69" t="s">
        <v>1257</v>
      </c>
      <c r="F245" s="69" t="s">
        <v>483</v>
      </c>
      <c r="G245" s="69" t="s">
        <v>553</v>
      </c>
      <c r="H245" s="70">
        <v>2020</v>
      </c>
      <c r="I245" s="69" t="s">
        <v>63</v>
      </c>
      <c r="J245" s="69" t="s">
        <v>1277</v>
      </c>
      <c r="K245" s="71" t="s">
        <v>1278</v>
      </c>
      <c r="L245" s="71" t="s">
        <v>1279</v>
      </c>
      <c r="M245" s="71" t="s">
        <v>1280</v>
      </c>
      <c r="N245" s="69" t="s">
        <v>57</v>
      </c>
      <c r="O245" s="64">
        <v>1</v>
      </c>
      <c r="P245" s="72">
        <v>23800000</v>
      </c>
      <c r="Q245" s="69" t="s">
        <v>488</v>
      </c>
      <c r="R245" s="69"/>
      <c r="S245" s="68" t="s">
        <v>41</v>
      </c>
      <c r="T245" s="56">
        <v>2</v>
      </c>
      <c r="U245" s="56">
        <v>3</v>
      </c>
    </row>
    <row r="246" spans="1:21" ht="14.25" customHeight="1" thickBot="1" x14ac:dyDescent="0.4">
      <c r="A246" s="58">
        <v>230</v>
      </c>
      <c r="B246" s="69" t="s">
        <v>79</v>
      </c>
      <c r="C246" s="69" t="s">
        <v>80</v>
      </c>
      <c r="D246" s="70" t="s">
        <v>190</v>
      </c>
      <c r="E246" s="69" t="s">
        <v>780</v>
      </c>
      <c r="F246" s="69" t="s">
        <v>231</v>
      </c>
      <c r="G246" s="69" t="s">
        <v>54</v>
      </c>
      <c r="H246" s="70">
        <v>2013</v>
      </c>
      <c r="I246" s="69"/>
      <c r="J246" s="69" t="s">
        <v>1281</v>
      </c>
      <c r="K246" s="71" t="s">
        <v>1282</v>
      </c>
      <c r="L246" s="71" t="s">
        <v>1283</v>
      </c>
      <c r="M246" s="71" t="s">
        <v>1284</v>
      </c>
      <c r="N246" s="69" t="s">
        <v>57</v>
      </c>
      <c r="O246" s="64">
        <v>1</v>
      </c>
      <c r="P246" s="72">
        <v>17531100</v>
      </c>
      <c r="Q246" s="69" t="s">
        <v>1285</v>
      </c>
      <c r="R246" s="69"/>
      <c r="S246" s="68" t="s">
        <v>41</v>
      </c>
      <c r="T246" s="56">
        <v>2</v>
      </c>
      <c r="U246" s="56">
        <v>3</v>
      </c>
    </row>
    <row r="247" spans="1:21" ht="14.25" customHeight="1" x14ac:dyDescent="0.35">
      <c r="A247" s="47">
        <v>231</v>
      </c>
      <c r="B247" s="69" t="s">
        <v>79</v>
      </c>
      <c r="C247" s="69" t="s">
        <v>80</v>
      </c>
      <c r="D247" s="70" t="s">
        <v>190</v>
      </c>
      <c r="E247" s="69" t="s">
        <v>1257</v>
      </c>
      <c r="F247" s="69" t="s">
        <v>483</v>
      </c>
      <c r="G247" s="69" t="s">
        <v>484</v>
      </c>
      <c r="H247" s="70">
        <v>2020</v>
      </c>
      <c r="I247" s="69" t="s">
        <v>63</v>
      </c>
      <c r="J247" s="69" t="s">
        <v>1286</v>
      </c>
      <c r="K247" s="71" t="s">
        <v>1287</v>
      </c>
      <c r="L247" s="71" t="s">
        <v>1288</v>
      </c>
      <c r="M247" s="71" t="s">
        <v>1289</v>
      </c>
      <c r="N247" s="69" t="s">
        <v>57</v>
      </c>
      <c r="O247" s="64">
        <v>1</v>
      </c>
      <c r="P247" s="72">
        <v>23800000</v>
      </c>
      <c r="Q247" s="69" t="s">
        <v>488</v>
      </c>
      <c r="R247" s="69"/>
      <c r="S247" s="68" t="s">
        <v>41</v>
      </c>
      <c r="T247" s="56">
        <v>2</v>
      </c>
      <c r="U247" s="56">
        <v>3</v>
      </c>
    </row>
    <row r="248" spans="1:21" ht="14.25" customHeight="1" thickBot="1" x14ac:dyDescent="0.4">
      <c r="A248" s="58">
        <v>232</v>
      </c>
      <c r="B248" s="69" t="s">
        <v>79</v>
      </c>
      <c r="C248" s="69" t="s">
        <v>80</v>
      </c>
      <c r="D248" s="70" t="s">
        <v>194</v>
      </c>
      <c r="E248" s="69" t="s">
        <v>963</v>
      </c>
      <c r="F248" s="69"/>
      <c r="G248" s="69" t="s">
        <v>54</v>
      </c>
      <c r="H248" s="70">
        <v>2003</v>
      </c>
      <c r="I248" s="69"/>
      <c r="J248" s="69" t="s">
        <v>1290</v>
      </c>
      <c r="K248" s="71" t="s">
        <v>1291</v>
      </c>
      <c r="L248" s="71" t="s">
        <v>1292</v>
      </c>
      <c r="M248" s="71" t="s">
        <v>63</v>
      </c>
      <c r="N248" s="69" t="s">
        <v>57</v>
      </c>
      <c r="O248" s="64">
        <v>1</v>
      </c>
      <c r="P248" s="72">
        <v>13500000</v>
      </c>
      <c r="Q248" s="69" t="s">
        <v>1293</v>
      </c>
      <c r="R248" s="69"/>
      <c r="S248" s="68" t="s">
        <v>41</v>
      </c>
      <c r="T248" s="56">
        <v>2</v>
      </c>
      <c r="U248" s="56">
        <v>3</v>
      </c>
    </row>
    <row r="249" spans="1:21" ht="14.25" customHeight="1" x14ac:dyDescent="0.35">
      <c r="A249" s="47">
        <v>233</v>
      </c>
      <c r="B249" s="69" t="s">
        <v>79</v>
      </c>
      <c r="C249" s="69" t="s">
        <v>80</v>
      </c>
      <c r="D249" s="70" t="s">
        <v>195</v>
      </c>
      <c r="E249" s="69" t="s">
        <v>1294</v>
      </c>
      <c r="F249" s="69" t="s">
        <v>82</v>
      </c>
      <c r="G249" s="69" t="s">
        <v>54</v>
      </c>
      <c r="H249" s="70">
        <v>2003</v>
      </c>
      <c r="I249" s="69"/>
      <c r="J249" s="69" t="s">
        <v>1295</v>
      </c>
      <c r="K249" s="71" t="s">
        <v>1296</v>
      </c>
      <c r="L249" s="71" t="s">
        <v>1297</v>
      </c>
      <c r="M249" s="71" t="s">
        <v>1298</v>
      </c>
      <c r="N249" s="69" t="s">
        <v>57</v>
      </c>
      <c r="O249" s="64">
        <v>1</v>
      </c>
      <c r="P249" s="72">
        <v>13500000</v>
      </c>
      <c r="Q249" s="69" t="s">
        <v>1299</v>
      </c>
      <c r="R249" s="69"/>
      <c r="S249" s="68" t="s">
        <v>41</v>
      </c>
      <c r="T249" s="56">
        <v>2</v>
      </c>
      <c r="U249" s="56">
        <v>3</v>
      </c>
    </row>
    <row r="250" spans="1:21" ht="14.25" customHeight="1" thickBot="1" x14ac:dyDescent="0.4">
      <c r="A250" s="58">
        <v>234</v>
      </c>
      <c r="B250" s="69" t="s">
        <v>79</v>
      </c>
      <c r="C250" s="69" t="s">
        <v>80</v>
      </c>
      <c r="D250" s="70" t="s">
        <v>199</v>
      </c>
      <c r="E250" s="69" t="s">
        <v>430</v>
      </c>
      <c r="F250" s="69"/>
      <c r="G250" s="69" t="s">
        <v>54</v>
      </c>
      <c r="H250" s="70">
        <v>2007</v>
      </c>
      <c r="I250" s="69"/>
      <c r="J250" s="69" t="s">
        <v>1300</v>
      </c>
      <c r="K250" s="71" t="s">
        <v>1301</v>
      </c>
      <c r="L250" s="71" t="s">
        <v>698</v>
      </c>
      <c r="M250" s="71" t="s">
        <v>1302</v>
      </c>
      <c r="N250" s="69" t="s">
        <v>57</v>
      </c>
      <c r="O250" s="64">
        <v>1</v>
      </c>
      <c r="P250" s="72">
        <v>13500000</v>
      </c>
      <c r="Q250" s="69" t="s">
        <v>1303</v>
      </c>
      <c r="R250" s="69"/>
      <c r="S250" s="68" t="s">
        <v>41</v>
      </c>
      <c r="T250" s="56">
        <v>2</v>
      </c>
      <c r="U250" s="56">
        <v>3</v>
      </c>
    </row>
    <row r="251" spans="1:21" ht="14.25" customHeight="1" x14ac:dyDescent="0.35">
      <c r="A251" s="47">
        <v>235</v>
      </c>
      <c r="B251" s="69" t="s">
        <v>79</v>
      </c>
      <c r="C251" s="69" t="s">
        <v>80</v>
      </c>
      <c r="D251" s="70" t="s">
        <v>238</v>
      </c>
      <c r="E251" s="69" t="s">
        <v>1304</v>
      </c>
      <c r="F251" s="69" t="s">
        <v>88</v>
      </c>
      <c r="G251" s="69" t="s">
        <v>54</v>
      </c>
      <c r="H251" s="70">
        <v>2016</v>
      </c>
      <c r="I251" s="69"/>
      <c r="J251" s="69" t="s">
        <v>1305</v>
      </c>
      <c r="K251" s="71" t="s">
        <v>1306</v>
      </c>
      <c r="L251" s="71" t="s">
        <v>1307</v>
      </c>
      <c r="M251" s="71" t="s">
        <v>1308</v>
      </c>
      <c r="N251" s="69" t="s">
        <v>57</v>
      </c>
      <c r="O251" s="64">
        <v>1</v>
      </c>
      <c r="P251" s="72">
        <v>18114400</v>
      </c>
      <c r="Q251" s="69" t="s">
        <v>1309</v>
      </c>
      <c r="R251" s="69"/>
      <c r="S251" s="68" t="s">
        <v>41</v>
      </c>
      <c r="T251" s="56">
        <v>2</v>
      </c>
      <c r="U251" s="56">
        <v>3</v>
      </c>
    </row>
    <row r="252" spans="1:21" ht="14.25" customHeight="1" thickBot="1" x14ac:dyDescent="0.4">
      <c r="A252" s="58">
        <v>236</v>
      </c>
      <c r="B252" s="69" t="s">
        <v>79</v>
      </c>
      <c r="C252" s="69" t="s">
        <v>80</v>
      </c>
      <c r="D252" s="70" t="s">
        <v>244</v>
      </c>
      <c r="E252" s="69" t="s">
        <v>1304</v>
      </c>
      <c r="F252" s="69" t="s">
        <v>88</v>
      </c>
      <c r="G252" s="69" t="s">
        <v>54</v>
      </c>
      <c r="H252" s="70">
        <v>2016</v>
      </c>
      <c r="I252" s="69"/>
      <c r="J252" s="69" t="s">
        <v>1310</v>
      </c>
      <c r="K252" s="71" t="s">
        <v>1311</v>
      </c>
      <c r="L252" s="71" t="s">
        <v>1312</v>
      </c>
      <c r="M252" s="71" t="s">
        <v>1313</v>
      </c>
      <c r="N252" s="69" t="s">
        <v>57</v>
      </c>
      <c r="O252" s="64">
        <v>1</v>
      </c>
      <c r="P252" s="72">
        <v>18114400</v>
      </c>
      <c r="Q252" s="69" t="s">
        <v>1314</v>
      </c>
      <c r="R252" s="69"/>
      <c r="S252" s="68" t="s">
        <v>41</v>
      </c>
      <c r="T252" s="56">
        <v>2</v>
      </c>
      <c r="U252" s="56">
        <v>3</v>
      </c>
    </row>
    <row r="253" spans="1:21" ht="14.25" customHeight="1" x14ac:dyDescent="0.35">
      <c r="A253" s="47">
        <v>237</v>
      </c>
      <c r="B253" s="69" t="s">
        <v>79</v>
      </c>
      <c r="C253" s="69" t="s">
        <v>80</v>
      </c>
      <c r="D253" s="70" t="s">
        <v>253</v>
      </c>
      <c r="E253" s="69" t="s">
        <v>1304</v>
      </c>
      <c r="F253" s="69" t="s">
        <v>88</v>
      </c>
      <c r="G253" s="69" t="s">
        <v>54</v>
      </c>
      <c r="H253" s="70">
        <v>2016</v>
      </c>
      <c r="I253" s="69"/>
      <c r="J253" s="69" t="s">
        <v>1315</v>
      </c>
      <c r="K253" s="71" t="s">
        <v>1316</v>
      </c>
      <c r="L253" s="71" t="s">
        <v>1317</v>
      </c>
      <c r="M253" s="71" t="s">
        <v>1318</v>
      </c>
      <c r="N253" s="69" t="s">
        <v>57</v>
      </c>
      <c r="O253" s="64">
        <v>1</v>
      </c>
      <c r="P253" s="72">
        <v>18114400</v>
      </c>
      <c r="Q253" s="69" t="s">
        <v>1319</v>
      </c>
      <c r="R253" s="69"/>
      <c r="S253" s="68" t="s">
        <v>41</v>
      </c>
      <c r="T253" s="56">
        <v>2</v>
      </c>
      <c r="U253" s="56">
        <v>3</v>
      </c>
    </row>
    <row r="254" spans="1:21" ht="14.25" customHeight="1" thickBot="1" x14ac:dyDescent="0.4">
      <c r="A254" s="58">
        <v>238</v>
      </c>
      <c r="B254" s="69" t="s">
        <v>79</v>
      </c>
      <c r="C254" s="69" t="s">
        <v>80</v>
      </c>
      <c r="D254" s="70" t="s">
        <v>259</v>
      </c>
      <c r="E254" s="69" t="s">
        <v>147</v>
      </c>
      <c r="F254" s="69" t="s">
        <v>148</v>
      </c>
      <c r="G254" s="69" t="s">
        <v>140</v>
      </c>
      <c r="H254" s="70">
        <v>2015</v>
      </c>
      <c r="I254" s="69"/>
      <c r="J254" s="69" t="s">
        <v>1320</v>
      </c>
      <c r="K254" s="71" t="s">
        <v>1321</v>
      </c>
      <c r="L254" s="71" t="s">
        <v>1322</v>
      </c>
      <c r="M254" s="71" t="s">
        <v>1323</v>
      </c>
      <c r="N254" s="69" t="s">
        <v>57</v>
      </c>
      <c r="O254" s="64">
        <v>1</v>
      </c>
      <c r="P254" s="72">
        <v>19430000</v>
      </c>
      <c r="Q254" s="69" t="s">
        <v>1324</v>
      </c>
      <c r="R254" s="69"/>
      <c r="S254" s="68" t="s">
        <v>41</v>
      </c>
      <c r="T254" s="56">
        <v>2</v>
      </c>
      <c r="U254" s="56">
        <v>3</v>
      </c>
    </row>
    <row r="255" spans="1:21" ht="14.25" customHeight="1" x14ac:dyDescent="0.35">
      <c r="A255" s="47">
        <v>239</v>
      </c>
      <c r="B255" s="69" t="s">
        <v>79</v>
      </c>
      <c r="C255" s="69" t="s">
        <v>80</v>
      </c>
      <c r="D255" s="70" t="s">
        <v>264</v>
      </c>
      <c r="E255" s="69" t="s">
        <v>1304</v>
      </c>
      <c r="F255" s="69" t="s">
        <v>88</v>
      </c>
      <c r="G255" s="69" t="s">
        <v>54</v>
      </c>
      <c r="H255" s="70">
        <v>2016</v>
      </c>
      <c r="I255" s="69"/>
      <c r="J255" s="69" t="s">
        <v>1325</v>
      </c>
      <c r="K255" s="71" t="s">
        <v>1316</v>
      </c>
      <c r="L255" s="71" t="s">
        <v>1326</v>
      </c>
      <c r="M255" s="71" t="s">
        <v>1327</v>
      </c>
      <c r="N255" s="69" t="s">
        <v>57</v>
      </c>
      <c r="O255" s="64">
        <v>1</v>
      </c>
      <c r="P255" s="72">
        <v>18114400</v>
      </c>
      <c r="Q255" s="69" t="s">
        <v>1328</v>
      </c>
      <c r="R255" s="69"/>
      <c r="S255" s="68" t="s">
        <v>41</v>
      </c>
      <c r="T255" s="56">
        <v>2</v>
      </c>
      <c r="U255" s="56">
        <v>3</v>
      </c>
    </row>
    <row r="256" spans="1:21" ht="14.25" customHeight="1" thickBot="1" x14ac:dyDescent="0.4">
      <c r="A256" s="58">
        <v>240</v>
      </c>
      <c r="B256" s="69" t="s">
        <v>79</v>
      </c>
      <c r="C256" s="69" t="s">
        <v>80</v>
      </c>
      <c r="D256" s="70" t="s">
        <v>269</v>
      </c>
      <c r="E256" s="69" t="s">
        <v>1304</v>
      </c>
      <c r="F256" s="69" t="s">
        <v>88</v>
      </c>
      <c r="G256" s="69" t="s">
        <v>54</v>
      </c>
      <c r="H256" s="70">
        <v>2016</v>
      </c>
      <c r="I256" s="69"/>
      <c r="J256" s="69" t="s">
        <v>1329</v>
      </c>
      <c r="K256" s="71" t="s">
        <v>1330</v>
      </c>
      <c r="L256" s="71" t="s">
        <v>1331</v>
      </c>
      <c r="M256" s="71" t="s">
        <v>1332</v>
      </c>
      <c r="N256" s="69" t="s">
        <v>57</v>
      </c>
      <c r="O256" s="64">
        <v>1</v>
      </c>
      <c r="P256" s="72">
        <v>18114400</v>
      </c>
      <c r="Q256" s="69" t="s">
        <v>1333</v>
      </c>
      <c r="R256" s="69"/>
      <c r="S256" s="68" t="s">
        <v>41</v>
      </c>
      <c r="T256" s="56">
        <v>2</v>
      </c>
      <c r="U256" s="56">
        <v>3</v>
      </c>
    </row>
    <row r="257" spans="1:21" ht="14.25" customHeight="1" x14ac:dyDescent="0.35">
      <c r="A257" s="47">
        <v>241</v>
      </c>
      <c r="B257" s="69" t="s">
        <v>79</v>
      </c>
      <c r="C257" s="69" t="s">
        <v>80</v>
      </c>
      <c r="D257" s="70" t="s">
        <v>274</v>
      </c>
      <c r="E257" s="69" t="s">
        <v>1304</v>
      </c>
      <c r="F257" s="69" t="s">
        <v>88</v>
      </c>
      <c r="G257" s="69" t="s">
        <v>54</v>
      </c>
      <c r="H257" s="70">
        <v>2016</v>
      </c>
      <c r="I257" s="69"/>
      <c r="J257" s="69" t="s">
        <v>1334</v>
      </c>
      <c r="K257" s="71" t="s">
        <v>1335</v>
      </c>
      <c r="L257" s="71" t="s">
        <v>1336</v>
      </c>
      <c r="M257" s="71" t="s">
        <v>1337</v>
      </c>
      <c r="N257" s="69" t="s">
        <v>57</v>
      </c>
      <c r="O257" s="64">
        <v>1</v>
      </c>
      <c r="P257" s="72">
        <v>18114400</v>
      </c>
      <c r="Q257" s="69" t="s">
        <v>1338</v>
      </c>
      <c r="R257" s="69"/>
      <c r="S257" s="68" t="s">
        <v>41</v>
      </c>
      <c r="T257" s="56">
        <v>2</v>
      </c>
      <c r="U257" s="56">
        <v>3</v>
      </c>
    </row>
    <row r="258" spans="1:21" ht="14.25" customHeight="1" thickBot="1" x14ac:dyDescent="0.4">
      <c r="A258" s="58">
        <v>242</v>
      </c>
      <c r="B258" s="69" t="s">
        <v>79</v>
      </c>
      <c r="C258" s="69" t="s">
        <v>80</v>
      </c>
      <c r="D258" s="70" t="s">
        <v>280</v>
      </c>
      <c r="E258" s="69" t="s">
        <v>1304</v>
      </c>
      <c r="F258" s="69" t="s">
        <v>88</v>
      </c>
      <c r="G258" s="69" t="s">
        <v>54</v>
      </c>
      <c r="H258" s="70">
        <v>2016</v>
      </c>
      <c r="I258" s="69"/>
      <c r="J258" s="69" t="s">
        <v>1339</v>
      </c>
      <c r="K258" s="71" t="s">
        <v>1340</v>
      </c>
      <c r="L258" s="71" t="s">
        <v>1341</v>
      </c>
      <c r="M258" s="71" t="s">
        <v>1342</v>
      </c>
      <c r="N258" s="69" t="s">
        <v>57</v>
      </c>
      <c r="O258" s="64">
        <v>1</v>
      </c>
      <c r="P258" s="72">
        <v>18114400</v>
      </c>
      <c r="Q258" s="69" t="s">
        <v>1343</v>
      </c>
      <c r="R258" s="69"/>
      <c r="S258" s="68" t="s">
        <v>41</v>
      </c>
      <c r="T258" s="56">
        <v>2</v>
      </c>
      <c r="U258" s="56">
        <v>3</v>
      </c>
    </row>
    <row r="259" spans="1:21" ht="14.25" customHeight="1" x14ac:dyDescent="0.35">
      <c r="A259" s="47">
        <v>243</v>
      </c>
      <c r="B259" s="69" t="s">
        <v>79</v>
      </c>
      <c r="C259" s="69" t="s">
        <v>80</v>
      </c>
      <c r="D259" s="70" t="s">
        <v>286</v>
      </c>
      <c r="E259" s="69" t="s">
        <v>1304</v>
      </c>
      <c r="F259" s="69" t="s">
        <v>88</v>
      </c>
      <c r="G259" s="69" t="s">
        <v>54</v>
      </c>
      <c r="H259" s="70">
        <v>2016</v>
      </c>
      <c r="I259" s="69"/>
      <c r="J259" s="69" t="s">
        <v>1344</v>
      </c>
      <c r="K259" s="71" t="s">
        <v>1345</v>
      </c>
      <c r="L259" s="71" t="s">
        <v>1346</v>
      </c>
      <c r="M259" s="71" t="s">
        <v>1347</v>
      </c>
      <c r="N259" s="69" t="s">
        <v>57</v>
      </c>
      <c r="O259" s="64">
        <v>1</v>
      </c>
      <c r="P259" s="72">
        <v>18114400</v>
      </c>
      <c r="Q259" s="69" t="s">
        <v>1348</v>
      </c>
      <c r="R259" s="69"/>
      <c r="S259" s="68" t="s">
        <v>41</v>
      </c>
      <c r="T259" s="56">
        <v>2</v>
      </c>
      <c r="U259" s="56">
        <v>3</v>
      </c>
    </row>
    <row r="260" spans="1:21" ht="14.25" customHeight="1" thickBot="1" x14ac:dyDescent="0.4">
      <c r="A260" s="58">
        <v>244</v>
      </c>
      <c r="B260" s="69" t="s">
        <v>79</v>
      </c>
      <c r="C260" s="69" t="s">
        <v>80</v>
      </c>
      <c r="D260" s="70" t="s">
        <v>291</v>
      </c>
      <c r="E260" s="69" t="s">
        <v>1304</v>
      </c>
      <c r="F260" s="69" t="s">
        <v>88</v>
      </c>
      <c r="G260" s="69" t="s">
        <v>54</v>
      </c>
      <c r="H260" s="70">
        <v>2016</v>
      </c>
      <c r="I260" s="69"/>
      <c r="J260" s="69" t="s">
        <v>1349</v>
      </c>
      <c r="K260" s="71" t="s">
        <v>1350</v>
      </c>
      <c r="L260" s="71" t="s">
        <v>1351</v>
      </c>
      <c r="M260" s="71" t="s">
        <v>1352</v>
      </c>
      <c r="N260" s="69" t="s">
        <v>57</v>
      </c>
      <c r="O260" s="64">
        <v>1</v>
      </c>
      <c r="P260" s="72">
        <v>18114400</v>
      </c>
      <c r="Q260" s="69" t="s">
        <v>1353</v>
      </c>
      <c r="R260" s="69"/>
      <c r="S260" s="68" t="s">
        <v>41</v>
      </c>
      <c r="T260" s="56">
        <v>2</v>
      </c>
      <c r="U260" s="56">
        <v>3</v>
      </c>
    </row>
    <row r="261" spans="1:21" ht="14.25" customHeight="1" x14ac:dyDescent="0.35">
      <c r="A261" s="47">
        <v>245</v>
      </c>
      <c r="B261" s="69" t="s">
        <v>79</v>
      </c>
      <c r="C261" s="69" t="s">
        <v>80</v>
      </c>
      <c r="D261" s="70" t="s">
        <v>298</v>
      </c>
      <c r="E261" s="69" t="s">
        <v>1304</v>
      </c>
      <c r="F261" s="69" t="s">
        <v>88</v>
      </c>
      <c r="G261" s="69" t="s">
        <v>54</v>
      </c>
      <c r="H261" s="70">
        <v>2016</v>
      </c>
      <c r="I261" s="69"/>
      <c r="J261" s="69" t="s">
        <v>1354</v>
      </c>
      <c r="K261" s="71" t="s">
        <v>1355</v>
      </c>
      <c r="L261" s="71" t="s">
        <v>1356</v>
      </c>
      <c r="M261" s="71" t="s">
        <v>1357</v>
      </c>
      <c r="N261" s="69" t="s">
        <v>57</v>
      </c>
      <c r="O261" s="64">
        <v>1</v>
      </c>
      <c r="P261" s="72">
        <v>18114400</v>
      </c>
      <c r="Q261" s="69" t="s">
        <v>1358</v>
      </c>
      <c r="R261" s="69"/>
      <c r="S261" s="68" t="s">
        <v>41</v>
      </c>
      <c r="T261" s="56">
        <v>2</v>
      </c>
      <c r="U261" s="56">
        <v>3</v>
      </c>
    </row>
    <row r="262" spans="1:21" ht="14.25" customHeight="1" thickBot="1" x14ac:dyDescent="0.4">
      <c r="A262" s="58">
        <v>246</v>
      </c>
      <c r="B262" s="69" t="s">
        <v>79</v>
      </c>
      <c r="C262" s="69" t="s">
        <v>80</v>
      </c>
      <c r="D262" s="70" t="s">
        <v>304</v>
      </c>
      <c r="E262" s="69" t="s">
        <v>1304</v>
      </c>
      <c r="F262" s="69" t="s">
        <v>88</v>
      </c>
      <c r="G262" s="69" t="s">
        <v>54</v>
      </c>
      <c r="H262" s="70">
        <v>2016</v>
      </c>
      <c r="I262" s="69"/>
      <c r="J262" s="69" t="s">
        <v>1359</v>
      </c>
      <c r="K262" s="71" t="s">
        <v>1360</v>
      </c>
      <c r="L262" s="71" t="s">
        <v>1361</v>
      </c>
      <c r="M262" s="71" t="s">
        <v>1362</v>
      </c>
      <c r="N262" s="69" t="s">
        <v>57</v>
      </c>
      <c r="O262" s="64">
        <v>1</v>
      </c>
      <c r="P262" s="72">
        <v>18114400</v>
      </c>
      <c r="Q262" s="69" t="s">
        <v>1363</v>
      </c>
      <c r="R262" s="69"/>
      <c r="S262" s="68" t="s">
        <v>41</v>
      </c>
      <c r="T262" s="56">
        <v>2</v>
      </c>
      <c r="U262" s="56">
        <v>3</v>
      </c>
    </row>
    <row r="263" spans="1:21" ht="14.25" customHeight="1" x14ac:dyDescent="0.35">
      <c r="A263" s="47">
        <v>247</v>
      </c>
      <c r="B263" s="69" t="s">
        <v>79</v>
      </c>
      <c r="C263" s="69" t="s">
        <v>80</v>
      </c>
      <c r="D263" s="70" t="s">
        <v>310</v>
      </c>
      <c r="E263" s="69" t="s">
        <v>1304</v>
      </c>
      <c r="F263" s="69" t="s">
        <v>88</v>
      </c>
      <c r="G263" s="69" t="s">
        <v>54</v>
      </c>
      <c r="H263" s="70">
        <v>2016</v>
      </c>
      <c r="I263" s="69"/>
      <c r="J263" s="69" t="s">
        <v>1364</v>
      </c>
      <c r="K263" s="71" t="s">
        <v>1365</v>
      </c>
      <c r="L263" s="71" t="s">
        <v>1366</v>
      </c>
      <c r="M263" s="71" t="s">
        <v>1367</v>
      </c>
      <c r="N263" s="69" t="s">
        <v>57</v>
      </c>
      <c r="O263" s="64">
        <v>1</v>
      </c>
      <c r="P263" s="72">
        <v>18114400</v>
      </c>
      <c r="Q263" s="69" t="s">
        <v>1368</v>
      </c>
      <c r="R263" s="69"/>
      <c r="S263" s="68" t="s">
        <v>41</v>
      </c>
      <c r="T263" s="56">
        <v>2</v>
      </c>
      <c r="U263" s="56">
        <v>3</v>
      </c>
    </row>
    <row r="264" spans="1:21" ht="14.25" customHeight="1" thickBot="1" x14ac:dyDescent="0.4">
      <c r="A264" s="58">
        <v>248</v>
      </c>
      <c r="B264" s="69" t="s">
        <v>79</v>
      </c>
      <c r="C264" s="69" t="s">
        <v>80</v>
      </c>
      <c r="D264" s="70" t="s">
        <v>319</v>
      </c>
      <c r="E264" s="69" t="s">
        <v>1369</v>
      </c>
      <c r="F264" s="69" t="s">
        <v>1370</v>
      </c>
      <c r="G264" s="69" t="s">
        <v>1371</v>
      </c>
      <c r="H264" s="70">
        <v>2014</v>
      </c>
      <c r="I264" s="69"/>
      <c r="J264" s="69" t="s">
        <v>1372</v>
      </c>
      <c r="K264" s="71" t="s">
        <v>1373</v>
      </c>
      <c r="L264" s="71" t="s">
        <v>1374</v>
      </c>
      <c r="M264" s="71" t="s">
        <v>1375</v>
      </c>
      <c r="N264" s="69" t="s">
        <v>57</v>
      </c>
      <c r="O264" s="64">
        <v>1</v>
      </c>
      <c r="P264" s="72">
        <v>14366000</v>
      </c>
      <c r="Q264" s="69" t="s">
        <v>1376</v>
      </c>
      <c r="R264" s="69"/>
      <c r="S264" s="68" t="s">
        <v>41</v>
      </c>
      <c r="T264" s="56">
        <v>2</v>
      </c>
      <c r="U264" s="56">
        <v>3</v>
      </c>
    </row>
    <row r="265" spans="1:21" ht="14.25" customHeight="1" x14ac:dyDescent="0.35">
      <c r="A265" s="47">
        <v>249</v>
      </c>
      <c r="B265" s="69" t="s">
        <v>79</v>
      </c>
      <c r="C265" s="69" t="s">
        <v>80</v>
      </c>
      <c r="D265" s="70" t="s">
        <v>332</v>
      </c>
      <c r="E265" s="69" t="s">
        <v>1377</v>
      </c>
      <c r="F265" s="69" t="s">
        <v>1378</v>
      </c>
      <c r="G265" s="69" t="s">
        <v>140</v>
      </c>
      <c r="H265" s="70">
        <v>2014</v>
      </c>
      <c r="I265" s="69"/>
      <c r="J265" s="69" t="s">
        <v>1379</v>
      </c>
      <c r="K265" s="71" t="s">
        <v>1380</v>
      </c>
      <c r="L265" s="71" t="s">
        <v>1381</v>
      </c>
      <c r="M265" s="71" t="s">
        <v>1382</v>
      </c>
      <c r="N265" s="69" t="s">
        <v>57</v>
      </c>
      <c r="O265" s="64">
        <v>1</v>
      </c>
      <c r="P265" s="72">
        <v>19189533</v>
      </c>
      <c r="Q265" s="69" t="s">
        <v>1115</v>
      </c>
      <c r="R265" s="69"/>
      <c r="S265" s="68" t="s">
        <v>41</v>
      </c>
      <c r="T265" s="56">
        <v>2</v>
      </c>
      <c r="U265" s="56">
        <v>3</v>
      </c>
    </row>
    <row r="266" spans="1:21" ht="14.25" customHeight="1" thickBot="1" x14ac:dyDescent="0.4">
      <c r="A266" s="58">
        <v>250</v>
      </c>
      <c r="B266" s="69" t="s">
        <v>79</v>
      </c>
      <c r="C266" s="69" t="s">
        <v>80</v>
      </c>
      <c r="D266" s="70" t="s">
        <v>338</v>
      </c>
      <c r="E266" s="69" t="s">
        <v>1383</v>
      </c>
      <c r="F266" s="69" t="s">
        <v>163</v>
      </c>
      <c r="G266" s="69" t="s">
        <v>140</v>
      </c>
      <c r="H266" s="70">
        <v>2015</v>
      </c>
      <c r="I266" s="69"/>
      <c r="J266" s="69" t="s">
        <v>1384</v>
      </c>
      <c r="K266" s="71" t="s">
        <v>1385</v>
      </c>
      <c r="L266" s="71" t="s">
        <v>1386</v>
      </c>
      <c r="M266" s="71" t="s">
        <v>1387</v>
      </c>
      <c r="N266" s="69" t="s">
        <v>57</v>
      </c>
      <c r="O266" s="64">
        <v>1</v>
      </c>
      <c r="P266" s="72">
        <v>14962333</v>
      </c>
      <c r="Q266" s="69" t="s">
        <v>1388</v>
      </c>
      <c r="R266" s="69"/>
      <c r="S266" s="68" t="s">
        <v>41</v>
      </c>
      <c r="T266" s="56">
        <v>2</v>
      </c>
      <c r="U266" s="56">
        <v>3</v>
      </c>
    </row>
    <row r="267" spans="1:21" ht="14.25" customHeight="1" x14ac:dyDescent="0.35">
      <c r="A267" s="47">
        <v>251</v>
      </c>
      <c r="B267" s="69" t="s">
        <v>79</v>
      </c>
      <c r="C267" s="69" t="s">
        <v>80</v>
      </c>
      <c r="D267" s="70" t="s">
        <v>343</v>
      </c>
      <c r="E267" s="69" t="s">
        <v>1257</v>
      </c>
      <c r="F267" s="69" t="s">
        <v>483</v>
      </c>
      <c r="G267" s="69" t="s">
        <v>484</v>
      </c>
      <c r="H267" s="70">
        <v>2020</v>
      </c>
      <c r="I267" s="69" t="s">
        <v>63</v>
      </c>
      <c r="J267" s="69" t="s">
        <v>1389</v>
      </c>
      <c r="K267" s="71" t="s">
        <v>1390</v>
      </c>
      <c r="L267" s="71" t="s">
        <v>1391</v>
      </c>
      <c r="M267" s="71" t="s">
        <v>1392</v>
      </c>
      <c r="N267" s="69" t="s">
        <v>57</v>
      </c>
      <c r="O267" s="64">
        <v>1</v>
      </c>
      <c r="P267" s="72">
        <v>23800000</v>
      </c>
      <c r="Q267" s="69" t="s">
        <v>488</v>
      </c>
      <c r="R267" s="69"/>
      <c r="S267" s="68" t="s">
        <v>41</v>
      </c>
      <c r="T267" s="56">
        <v>2</v>
      </c>
      <c r="U267" s="56">
        <v>3</v>
      </c>
    </row>
    <row r="268" spans="1:21" ht="14.25" customHeight="1" thickBot="1" x14ac:dyDescent="0.4">
      <c r="A268" s="58">
        <v>252</v>
      </c>
      <c r="B268" s="69" t="s">
        <v>79</v>
      </c>
      <c r="C268" s="69" t="s">
        <v>80</v>
      </c>
      <c r="D268" s="70" t="s">
        <v>348</v>
      </c>
      <c r="E268" s="69" t="s">
        <v>1257</v>
      </c>
      <c r="F268" s="69" t="s">
        <v>483</v>
      </c>
      <c r="G268" s="69" t="s">
        <v>484</v>
      </c>
      <c r="H268" s="70">
        <v>2020</v>
      </c>
      <c r="I268" s="69" t="s">
        <v>63</v>
      </c>
      <c r="J268" s="69" t="s">
        <v>1393</v>
      </c>
      <c r="K268" s="71" t="s">
        <v>1394</v>
      </c>
      <c r="L268" s="71" t="s">
        <v>1395</v>
      </c>
      <c r="M268" s="71" t="s">
        <v>1396</v>
      </c>
      <c r="N268" s="69" t="s">
        <v>57</v>
      </c>
      <c r="O268" s="64">
        <v>1</v>
      </c>
      <c r="P268" s="72">
        <v>23800000</v>
      </c>
      <c r="Q268" s="69" t="s">
        <v>1397</v>
      </c>
      <c r="R268" s="69"/>
      <c r="S268" s="68" t="s">
        <v>41</v>
      </c>
      <c r="T268" s="56">
        <v>2</v>
      </c>
      <c r="U268" s="56">
        <v>3</v>
      </c>
    </row>
    <row r="269" spans="1:21" ht="14.25" customHeight="1" x14ac:dyDescent="0.35">
      <c r="A269" s="47">
        <v>253</v>
      </c>
      <c r="B269" s="69" t="s">
        <v>79</v>
      </c>
      <c r="C269" s="69" t="s">
        <v>80</v>
      </c>
      <c r="D269" s="70" t="s">
        <v>353</v>
      </c>
      <c r="E269" s="69" t="s">
        <v>1257</v>
      </c>
      <c r="F269" s="69" t="s">
        <v>483</v>
      </c>
      <c r="G269" s="69" t="s">
        <v>484</v>
      </c>
      <c r="H269" s="70">
        <v>2020</v>
      </c>
      <c r="I269" s="69" t="s">
        <v>63</v>
      </c>
      <c r="J269" s="69" t="s">
        <v>1398</v>
      </c>
      <c r="K269" s="71" t="s">
        <v>1399</v>
      </c>
      <c r="L269" s="71" t="s">
        <v>1400</v>
      </c>
      <c r="M269" s="71" t="s">
        <v>1401</v>
      </c>
      <c r="N269" s="69" t="s">
        <v>57</v>
      </c>
      <c r="O269" s="64">
        <v>1</v>
      </c>
      <c r="P269" s="72">
        <v>23800000</v>
      </c>
      <c r="Q269" s="69" t="s">
        <v>488</v>
      </c>
      <c r="R269" s="69"/>
      <c r="S269" s="68" t="s">
        <v>41</v>
      </c>
      <c r="T269" s="56">
        <v>2</v>
      </c>
      <c r="U269" s="56">
        <v>3</v>
      </c>
    </row>
    <row r="270" spans="1:21" ht="14.25" customHeight="1" thickBot="1" x14ac:dyDescent="0.4">
      <c r="A270" s="58">
        <v>254</v>
      </c>
      <c r="B270" s="69" t="s">
        <v>79</v>
      </c>
      <c r="C270" s="69" t="s">
        <v>80</v>
      </c>
      <c r="D270" s="70" t="s">
        <v>359</v>
      </c>
      <c r="E270" s="69" t="s">
        <v>1257</v>
      </c>
      <c r="F270" s="69" t="s">
        <v>483</v>
      </c>
      <c r="G270" s="69" t="s">
        <v>484</v>
      </c>
      <c r="H270" s="70">
        <v>2020</v>
      </c>
      <c r="I270" s="69" t="s">
        <v>63</v>
      </c>
      <c r="J270" s="69" t="s">
        <v>1402</v>
      </c>
      <c r="K270" s="71" t="s">
        <v>1403</v>
      </c>
      <c r="L270" s="71" t="s">
        <v>1404</v>
      </c>
      <c r="M270" s="71" t="s">
        <v>1405</v>
      </c>
      <c r="N270" s="69" t="s">
        <v>57</v>
      </c>
      <c r="O270" s="64">
        <v>1</v>
      </c>
      <c r="P270" s="72">
        <v>23800000</v>
      </c>
      <c r="Q270" s="69" t="s">
        <v>488</v>
      </c>
      <c r="R270" s="69"/>
      <c r="S270" s="68" t="s">
        <v>41</v>
      </c>
      <c r="T270" s="56">
        <v>2</v>
      </c>
      <c r="U270" s="56">
        <v>3</v>
      </c>
    </row>
    <row r="271" spans="1:21" ht="14.25" customHeight="1" x14ac:dyDescent="0.35">
      <c r="A271" s="47">
        <v>255</v>
      </c>
      <c r="B271" s="69" t="s">
        <v>79</v>
      </c>
      <c r="C271" s="69" t="s">
        <v>80</v>
      </c>
      <c r="D271" s="70" t="s">
        <v>366</v>
      </c>
      <c r="E271" s="69" t="s">
        <v>1257</v>
      </c>
      <c r="F271" s="69" t="s">
        <v>483</v>
      </c>
      <c r="G271" s="69" t="s">
        <v>484</v>
      </c>
      <c r="H271" s="70">
        <v>2020</v>
      </c>
      <c r="I271" s="69" t="s">
        <v>63</v>
      </c>
      <c r="J271" s="69" t="s">
        <v>1406</v>
      </c>
      <c r="K271" s="71" t="s">
        <v>1407</v>
      </c>
      <c r="L271" s="71" t="s">
        <v>1408</v>
      </c>
      <c r="M271" s="71" t="s">
        <v>1409</v>
      </c>
      <c r="N271" s="69" t="s">
        <v>57</v>
      </c>
      <c r="O271" s="64">
        <v>1</v>
      </c>
      <c r="P271" s="72">
        <v>23800000</v>
      </c>
      <c r="Q271" s="69" t="s">
        <v>1410</v>
      </c>
      <c r="R271" s="69"/>
      <c r="S271" s="68" t="s">
        <v>41</v>
      </c>
      <c r="T271" s="56">
        <v>2</v>
      </c>
      <c r="U271" s="56">
        <v>3</v>
      </c>
    </row>
    <row r="272" spans="1:21" ht="14.25" customHeight="1" thickBot="1" x14ac:dyDescent="0.4">
      <c r="A272" s="58">
        <v>256</v>
      </c>
      <c r="B272" s="69" t="s">
        <v>79</v>
      </c>
      <c r="C272" s="69" t="s">
        <v>80</v>
      </c>
      <c r="D272" s="70" t="s">
        <v>371</v>
      </c>
      <c r="E272" s="69" t="s">
        <v>1257</v>
      </c>
      <c r="F272" s="69" t="s">
        <v>483</v>
      </c>
      <c r="G272" s="69" t="s">
        <v>484</v>
      </c>
      <c r="H272" s="70">
        <v>2020</v>
      </c>
      <c r="I272" s="69" t="s">
        <v>63</v>
      </c>
      <c r="J272" s="69" t="s">
        <v>1411</v>
      </c>
      <c r="K272" s="71" t="s">
        <v>1412</v>
      </c>
      <c r="L272" s="71" t="s">
        <v>1413</v>
      </c>
      <c r="M272" s="71" t="s">
        <v>1414</v>
      </c>
      <c r="N272" s="69" t="s">
        <v>57</v>
      </c>
      <c r="O272" s="64">
        <v>1</v>
      </c>
      <c r="P272" s="72">
        <v>23800000</v>
      </c>
      <c r="Q272" s="69" t="s">
        <v>488</v>
      </c>
      <c r="R272" s="69"/>
      <c r="S272" s="68" t="s">
        <v>41</v>
      </c>
      <c r="T272" s="56">
        <v>2</v>
      </c>
      <c r="U272" s="56">
        <v>3</v>
      </c>
    </row>
    <row r="273" spans="1:21" ht="14.25" customHeight="1" x14ac:dyDescent="0.35">
      <c r="A273" s="47">
        <v>257</v>
      </c>
      <c r="B273" s="69" t="s">
        <v>79</v>
      </c>
      <c r="C273" s="69" t="s">
        <v>80</v>
      </c>
      <c r="D273" s="70" t="s">
        <v>376</v>
      </c>
      <c r="E273" s="69" t="s">
        <v>1257</v>
      </c>
      <c r="F273" s="69" t="s">
        <v>483</v>
      </c>
      <c r="G273" s="69" t="s">
        <v>484</v>
      </c>
      <c r="H273" s="70">
        <v>2020</v>
      </c>
      <c r="I273" s="69" t="s">
        <v>63</v>
      </c>
      <c r="J273" s="69" t="s">
        <v>1415</v>
      </c>
      <c r="K273" s="71" t="s">
        <v>1416</v>
      </c>
      <c r="L273" s="71" t="s">
        <v>1417</v>
      </c>
      <c r="M273" s="71" t="s">
        <v>1418</v>
      </c>
      <c r="N273" s="69" t="s">
        <v>57</v>
      </c>
      <c r="O273" s="64">
        <v>1</v>
      </c>
      <c r="P273" s="72">
        <v>23800000</v>
      </c>
      <c r="Q273" s="69" t="s">
        <v>488</v>
      </c>
      <c r="R273" s="69"/>
      <c r="S273" s="68" t="s">
        <v>41</v>
      </c>
      <c r="T273" s="56">
        <v>2</v>
      </c>
      <c r="U273" s="56">
        <v>3</v>
      </c>
    </row>
    <row r="274" spans="1:21" ht="14.25" customHeight="1" thickBot="1" x14ac:dyDescent="0.4">
      <c r="A274" s="58">
        <v>258</v>
      </c>
      <c r="B274" s="69" t="s">
        <v>79</v>
      </c>
      <c r="C274" s="69" t="s">
        <v>80</v>
      </c>
      <c r="D274" s="70" t="s">
        <v>382</v>
      </c>
      <c r="E274" s="69" t="s">
        <v>1257</v>
      </c>
      <c r="F274" s="69" t="s">
        <v>483</v>
      </c>
      <c r="G274" s="69" t="s">
        <v>484</v>
      </c>
      <c r="H274" s="70">
        <v>2020</v>
      </c>
      <c r="I274" s="69" t="s">
        <v>63</v>
      </c>
      <c r="J274" s="69" t="s">
        <v>1419</v>
      </c>
      <c r="K274" s="71" t="s">
        <v>1420</v>
      </c>
      <c r="L274" s="71" t="s">
        <v>1421</v>
      </c>
      <c r="M274" s="71" t="s">
        <v>1422</v>
      </c>
      <c r="N274" s="69" t="s">
        <v>57</v>
      </c>
      <c r="O274" s="64">
        <v>1</v>
      </c>
      <c r="P274" s="72">
        <v>23800000</v>
      </c>
      <c r="Q274" s="69" t="s">
        <v>488</v>
      </c>
      <c r="R274" s="69"/>
      <c r="S274" s="68" t="s">
        <v>41</v>
      </c>
      <c r="T274" s="56">
        <v>2</v>
      </c>
      <c r="U274" s="56">
        <v>3</v>
      </c>
    </row>
    <row r="275" spans="1:21" ht="14.25" customHeight="1" x14ac:dyDescent="0.35">
      <c r="A275" s="47">
        <v>259</v>
      </c>
      <c r="B275" s="69" t="s">
        <v>79</v>
      </c>
      <c r="C275" s="69" t="s">
        <v>80</v>
      </c>
      <c r="D275" s="70" t="s">
        <v>387</v>
      </c>
      <c r="E275" s="69" t="s">
        <v>1257</v>
      </c>
      <c r="F275" s="69" t="s">
        <v>483</v>
      </c>
      <c r="G275" s="69" t="s">
        <v>553</v>
      </c>
      <c r="H275" s="70">
        <v>2020</v>
      </c>
      <c r="I275" s="69" t="s">
        <v>63</v>
      </c>
      <c r="J275" s="69" t="s">
        <v>1423</v>
      </c>
      <c r="K275" s="71" t="s">
        <v>1424</v>
      </c>
      <c r="L275" s="71" t="s">
        <v>1425</v>
      </c>
      <c r="M275" s="71" t="s">
        <v>1426</v>
      </c>
      <c r="N275" s="69" t="s">
        <v>57</v>
      </c>
      <c r="O275" s="64">
        <v>1</v>
      </c>
      <c r="P275" s="72">
        <v>23800000</v>
      </c>
      <c r="Q275" s="69" t="s">
        <v>488</v>
      </c>
      <c r="R275" s="69"/>
      <c r="S275" s="68" t="s">
        <v>41</v>
      </c>
      <c r="T275" s="56">
        <v>2</v>
      </c>
      <c r="U275" s="56">
        <v>3</v>
      </c>
    </row>
    <row r="276" spans="1:21" ht="14.25" customHeight="1" thickBot="1" x14ac:dyDescent="0.4">
      <c r="A276" s="58">
        <v>260</v>
      </c>
      <c r="B276" s="69" t="s">
        <v>79</v>
      </c>
      <c r="C276" s="69" t="s">
        <v>80</v>
      </c>
      <c r="D276" s="70" t="s">
        <v>392</v>
      </c>
      <c r="E276" s="69" t="s">
        <v>430</v>
      </c>
      <c r="F276" s="69" t="s">
        <v>82</v>
      </c>
      <c r="G276" s="69" t="s">
        <v>54</v>
      </c>
      <c r="H276" s="70">
        <v>2007</v>
      </c>
      <c r="I276" s="69"/>
      <c r="J276" s="69" t="s">
        <v>1427</v>
      </c>
      <c r="K276" s="71" t="s">
        <v>1428</v>
      </c>
      <c r="L276" s="71" t="s">
        <v>1429</v>
      </c>
      <c r="M276" s="71" t="s">
        <v>1430</v>
      </c>
      <c r="N276" s="69" t="s">
        <v>57</v>
      </c>
      <c r="O276" s="64">
        <v>1</v>
      </c>
      <c r="P276" s="72">
        <v>13500000</v>
      </c>
      <c r="Q276" s="69" t="s">
        <v>1431</v>
      </c>
      <c r="R276" s="69"/>
      <c r="S276" s="68" t="s">
        <v>41</v>
      </c>
      <c r="T276" s="56">
        <v>2</v>
      </c>
      <c r="U276" s="56">
        <v>3</v>
      </c>
    </row>
    <row r="277" spans="1:21" ht="14.25" customHeight="1" x14ac:dyDescent="0.35">
      <c r="A277" s="47">
        <v>261</v>
      </c>
      <c r="B277" s="69" t="s">
        <v>79</v>
      </c>
      <c r="C277" s="69" t="s">
        <v>80</v>
      </c>
      <c r="D277" s="70" t="s">
        <v>398</v>
      </c>
      <c r="E277" s="69" t="s">
        <v>1432</v>
      </c>
      <c r="F277" s="69" t="s">
        <v>1433</v>
      </c>
      <c r="G277" s="69" t="s">
        <v>54</v>
      </c>
      <c r="H277" s="70">
        <v>2009</v>
      </c>
      <c r="I277" s="69"/>
      <c r="J277" s="69" t="s">
        <v>1434</v>
      </c>
      <c r="K277" s="71" t="s">
        <v>1435</v>
      </c>
      <c r="L277" s="71" t="s">
        <v>1436</v>
      </c>
      <c r="M277" s="71" t="s">
        <v>1437</v>
      </c>
      <c r="N277" s="69" t="s">
        <v>57</v>
      </c>
      <c r="O277" s="64">
        <v>1</v>
      </c>
      <c r="P277" s="72">
        <v>24750000</v>
      </c>
      <c r="Q277" s="69" t="s">
        <v>1438</v>
      </c>
      <c r="R277" s="69"/>
      <c r="S277" s="68" t="s">
        <v>41</v>
      </c>
      <c r="T277" s="56">
        <v>2</v>
      </c>
      <c r="U277" s="56">
        <v>3</v>
      </c>
    </row>
    <row r="278" spans="1:21" ht="14.25" customHeight="1" thickBot="1" x14ac:dyDescent="0.4">
      <c r="A278" s="58">
        <v>262</v>
      </c>
      <c r="B278" s="69" t="s">
        <v>79</v>
      </c>
      <c r="C278" s="69" t="s">
        <v>80</v>
      </c>
      <c r="D278" s="70" t="s">
        <v>408</v>
      </c>
      <c r="E278" s="69" t="s">
        <v>1439</v>
      </c>
      <c r="F278" s="69" t="s">
        <v>82</v>
      </c>
      <c r="G278" s="69" t="s">
        <v>54</v>
      </c>
      <c r="H278" s="70">
        <v>2008</v>
      </c>
      <c r="I278" s="69"/>
      <c r="J278" s="69" t="s">
        <v>1440</v>
      </c>
      <c r="K278" s="71" t="s">
        <v>1441</v>
      </c>
      <c r="L278" s="71" t="s">
        <v>1442</v>
      </c>
      <c r="M278" s="71" t="s">
        <v>1443</v>
      </c>
      <c r="N278" s="69" t="s">
        <v>57</v>
      </c>
      <c r="O278" s="64">
        <v>1</v>
      </c>
      <c r="P278" s="72">
        <v>13920000</v>
      </c>
      <c r="Q278" s="69" t="s">
        <v>1444</v>
      </c>
      <c r="R278" s="69"/>
      <c r="S278" s="68" t="s">
        <v>41</v>
      </c>
      <c r="T278" s="56">
        <v>2</v>
      </c>
      <c r="U278" s="56">
        <v>3</v>
      </c>
    </row>
    <row r="279" spans="1:21" ht="14.25" customHeight="1" x14ac:dyDescent="0.35">
      <c r="A279" s="47">
        <v>263</v>
      </c>
      <c r="B279" s="69" t="s">
        <v>79</v>
      </c>
      <c r="C279" s="69" t="s">
        <v>80</v>
      </c>
      <c r="D279" s="70" t="s">
        <v>413</v>
      </c>
      <c r="E279" s="69" t="s">
        <v>1439</v>
      </c>
      <c r="F279" s="69" t="s">
        <v>82</v>
      </c>
      <c r="G279" s="69" t="s">
        <v>54</v>
      </c>
      <c r="H279" s="70">
        <v>2008</v>
      </c>
      <c r="I279" s="69"/>
      <c r="J279" s="69" t="s">
        <v>1445</v>
      </c>
      <c r="K279" s="71" t="s">
        <v>1446</v>
      </c>
      <c r="L279" s="71" t="s">
        <v>1447</v>
      </c>
      <c r="M279" s="71" t="s">
        <v>1448</v>
      </c>
      <c r="N279" s="69" t="s">
        <v>57</v>
      </c>
      <c r="O279" s="64">
        <v>1</v>
      </c>
      <c r="P279" s="72">
        <v>13920000</v>
      </c>
      <c r="Q279" s="69" t="s">
        <v>1449</v>
      </c>
      <c r="R279" s="69"/>
      <c r="S279" s="68" t="s">
        <v>41</v>
      </c>
      <c r="T279" s="56">
        <v>2</v>
      </c>
      <c r="U279" s="56">
        <v>3</v>
      </c>
    </row>
    <row r="280" spans="1:21" ht="14.25" customHeight="1" thickBot="1" x14ac:dyDescent="0.4">
      <c r="A280" s="58">
        <v>264</v>
      </c>
      <c r="B280" s="69" t="s">
        <v>79</v>
      </c>
      <c r="C280" s="69" t="s">
        <v>80</v>
      </c>
      <c r="D280" s="70" t="s">
        <v>1450</v>
      </c>
      <c r="E280" s="69" t="s">
        <v>1439</v>
      </c>
      <c r="F280" s="69" t="s">
        <v>82</v>
      </c>
      <c r="G280" s="69" t="s">
        <v>54</v>
      </c>
      <c r="H280" s="70">
        <v>2008</v>
      </c>
      <c r="I280" s="69"/>
      <c r="J280" s="69" t="s">
        <v>1451</v>
      </c>
      <c r="K280" s="71" t="s">
        <v>1452</v>
      </c>
      <c r="L280" s="71" t="s">
        <v>1453</v>
      </c>
      <c r="M280" s="71" t="s">
        <v>1454</v>
      </c>
      <c r="N280" s="69" t="s">
        <v>57</v>
      </c>
      <c r="O280" s="64">
        <v>1</v>
      </c>
      <c r="P280" s="72">
        <v>13920000</v>
      </c>
      <c r="Q280" s="69" t="s">
        <v>1455</v>
      </c>
      <c r="R280" s="69"/>
      <c r="S280" s="68" t="s">
        <v>41</v>
      </c>
      <c r="T280" s="56">
        <v>2</v>
      </c>
      <c r="U280" s="56">
        <v>3</v>
      </c>
    </row>
    <row r="281" spans="1:21" ht="14.25" customHeight="1" x14ac:dyDescent="0.35">
      <c r="A281" s="47">
        <v>265</v>
      </c>
      <c r="B281" s="69" t="s">
        <v>79</v>
      </c>
      <c r="C281" s="69" t="s">
        <v>80</v>
      </c>
      <c r="D281" s="70" t="s">
        <v>1456</v>
      </c>
      <c r="E281" s="69" t="s">
        <v>1439</v>
      </c>
      <c r="F281" s="69" t="s">
        <v>82</v>
      </c>
      <c r="G281" s="69" t="s">
        <v>54</v>
      </c>
      <c r="H281" s="70">
        <v>2008</v>
      </c>
      <c r="I281" s="69"/>
      <c r="J281" s="69" t="s">
        <v>1457</v>
      </c>
      <c r="K281" s="71" t="s">
        <v>1458</v>
      </c>
      <c r="L281" s="71" t="s">
        <v>1459</v>
      </c>
      <c r="M281" s="71" t="s">
        <v>1460</v>
      </c>
      <c r="N281" s="69" t="s">
        <v>57</v>
      </c>
      <c r="O281" s="64">
        <v>1</v>
      </c>
      <c r="P281" s="72">
        <v>13920000</v>
      </c>
      <c r="Q281" s="69" t="s">
        <v>1461</v>
      </c>
      <c r="R281" s="69"/>
      <c r="S281" s="68" t="s">
        <v>41</v>
      </c>
      <c r="T281" s="56">
        <v>2</v>
      </c>
      <c r="U281" s="56">
        <v>3</v>
      </c>
    </row>
    <row r="282" spans="1:21" ht="14.25" customHeight="1" thickBot="1" x14ac:dyDescent="0.4">
      <c r="A282" s="58">
        <v>266</v>
      </c>
      <c r="B282" s="69" t="s">
        <v>79</v>
      </c>
      <c r="C282" s="69" t="s">
        <v>80</v>
      </c>
      <c r="D282" s="70" t="s">
        <v>1462</v>
      </c>
      <c r="E282" s="69" t="s">
        <v>1463</v>
      </c>
      <c r="F282" s="69" t="s">
        <v>88</v>
      </c>
      <c r="G282" s="69" t="s">
        <v>54</v>
      </c>
      <c r="H282" s="70">
        <v>2009</v>
      </c>
      <c r="I282" s="69"/>
      <c r="J282" s="69" t="s">
        <v>1464</v>
      </c>
      <c r="K282" s="71" t="s">
        <v>1465</v>
      </c>
      <c r="L282" s="71" t="s">
        <v>1466</v>
      </c>
      <c r="M282" s="71" t="s">
        <v>1467</v>
      </c>
      <c r="N282" s="69" t="s">
        <v>57</v>
      </c>
      <c r="O282" s="64">
        <v>1</v>
      </c>
      <c r="P282" s="72">
        <v>18860000</v>
      </c>
      <c r="Q282" s="69" t="s">
        <v>1468</v>
      </c>
      <c r="R282" s="69"/>
      <c r="S282" s="68" t="s">
        <v>41</v>
      </c>
      <c r="T282" s="56">
        <v>2</v>
      </c>
      <c r="U282" s="56">
        <v>3</v>
      </c>
    </row>
    <row r="283" spans="1:21" ht="14.25" customHeight="1" x14ac:dyDescent="0.35">
      <c r="A283" s="47">
        <v>267</v>
      </c>
      <c r="B283" s="69" t="s">
        <v>79</v>
      </c>
      <c r="C283" s="69" t="s">
        <v>80</v>
      </c>
      <c r="D283" s="70" t="s">
        <v>1469</v>
      </c>
      <c r="E283" s="69" t="s">
        <v>1369</v>
      </c>
      <c r="F283" s="69" t="s">
        <v>1370</v>
      </c>
      <c r="G283" s="69" t="s">
        <v>1371</v>
      </c>
      <c r="H283" s="70">
        <v>2014</v>
      </c>
      <c r="I283" s="69"/>
      <c r="J283" s="69" t="s">
        <v>1470</v>
      </c>
      <c r="K283" s="71" t="s">
        <v>1471</v>
      </c>
      <c r="L283" s="71" t="s">
        <v>1472</v>
      </c>
      <c r="M283" s="71" t="s">
        <v>1473</v>
      </c>
      <c r="N283" s="69" t="s">
        <v>57</v>
      </c>
      <c r="O283" s="64">
        <v>1</v>
      </c>
      <c r="P283" s="72">
        <v>14366000</v>
      </c>
      <c r="Q283" s="69" t="s">
        <v>1474</v>
      </c>
      <c r="R283" s="69"/>
      <c r="S283" s="68" t="s">
        <v>41</v>
      </c>
      <c r="T283" s="56">
        <v>2</v>
      </c>
      <c r="U283" s="56">
        <v>3</v>
      </c>
    </row>
    <row r="284" spans="1:21" ht="14.25" customHeight="1" thickBot="1" x14ac:dyDescent="0.4">
      <c r="A284" s="58">
        <v>268</v>
      </c>
      <c r="B284" s="69" t="s">
        <v>79</v>
      </c>
      <c r="C284" s="69" t="s">
        <v>80</v>
      </c>
      <c r="D284" s="70" t="s">
        <v>1475</v>
      </c>
      <c r="E284" s="69" t="s">
        <v>1377</v>
      </c>
      <c r="F284" s="69" t="s">
        <v>1378</v>
      </c>
      <c r="G284" s="69" t="s">
        <v>140</v>
      </c>
      <c r="H284" s="70">
        <v>2014</v>
      </c>
      <c r="I284" s="69"/>
      <c r="J284" s="69" t="s">
        <v>1476</v>
      </c>
      <c r="K284" s="71" t="s">
        <v>1477</v>
      </c>
      <c r="L284" s="71" t="s">
        <v>1478</v>
      </c>
      <c r="M284" s="71" t="s">
        <v>1479</v>
      </c>
      <c r="N284" s="69" t="s">
        <v>57</v>
      </c>
      <c r="O284" s="64">
        <v>1</v>
      </c>
      <c r="P284" s="72">
        <v>19189533</v>
      </c>
      <c r="Q284" s="69" t="s">
        <v>1115</v>
      </c>
      <c r="R284" s="69"/>
      <c r="S284" s="68" t="s">
        <v>41</v>
      </c>
      <c r="T284" s="56">
        <v>2</v>
      </c>
      <c r="U284" s="56">
        <v>3</v>
      </c>
    </row>
    <row r="285" spans="1:21" ht="14.25" customHeight="1" x14ac:dyDescent="0.35">
      <c r="A285" s="47">
        <v>269</v>
      </c>
      <c r="B285" s="69" t="s">
        <v>79</v>
      </c>
      <c r="C285" s="69" t="s">
        <v>80</v>
      </c>
      <c r="D285" s="70" t="s">
        <v>1480</v>
      </c>
      <c r="E285" s="69" t="s">
        <v>1377</v>
      </c>
      <c r="F285" s="69" t="s">
        <v>1378</v>
      </c>
      <c r="G285" s="69" t="s">
        <v>140</v>
      </c>
      <c r="H285" s="70">
        <v>2014</v>
      </c>
      <c r="I285" s="69"/>
      <c r="J285" s="69" t="s">
        <v>1481</v>
      </c>
      <c r="K285" s="71" t="s">
        <v>1482</v>
      </c>
      <c r="L285" s="71" t="s">
        <v>1483</v>
      </c>
      <c r="M285" s="71" t="s">
        <v>1484</v>
      </c>
      <c r="N285" s="69" t="s">
        <v>57</v>
      </c>
      <c r="O285" s="64">
        <v>1</v>
      </c>
      <c r="P285" s="72">
        <v>19189533</v>
      </c>
      <c r="Q285" s="69" t="s">
        <v>1115</v>
      </c>
      <c r="R285" s="69"/>
      <c r="S285" s="68" t="s">
        <v>41</v>
      </c>
      <c r="T285" s="56">
        <v>2</v>
      </c>
      <c r="U285" s="56">
        <v>3</v>
      </c>
    </row>
    <row r="286" spans="1:21" ht="14.25" customHeight="1" thickBot="1" x14ac:dyDescent="0.4">
      <c r="A286" s="58">
        <v>270</v>
      </c>
      <c r="B286" s="69" t="s">
        <v>79</v>
      </c>
      <c r="C286" s="69" t="s">
        <v>80</v>
      </c>
      <c r="D286" s="70" t="s">
        <v>1485</v>
      </c>
      <c r="E286" s="69" t="s">
        <v>1377</v>
      </c>
      <c r="F286" s="69" t="s">
        <v>1378</v>
      </c>
      <c r="G286" s="69" t="s">
        <v>140</v>
      </c>
      <c r="H286" s="70">
        <v>2014</v>
      </c>
      <c r="I286" s="69"/>
      <c r="J286" s="69" t="s">
        <v>1486</v>
      </c>
      <c r="K286" s="71" t="s">
        <v>1487</v>
      </c>
      <c r="L286" s="71" t="s">
        <v>1488</v>
      </c>
      <c r="M286" s="71" t="s">
        <v>1489</v>
      </c>
      <c r="N286" s="69" t="s">
        <v>57</v>
      </c>
      <c r="O286" s="64">
        <v>1</v>
      </c>
      <c r="P286" s="72">
        <v>19189533</v>
      </c>
      <c r="Q286" s="69" t="s">
        <v>1115</v>
      </c>
      <c r="R286" s="69"/>
      <c r="S286" s="68" t="s">
        <v>41</v>
      </c>
      <c r="T286" s="56">
        <v>2</v>
      </c>
      <c r="U286" s="56">
        <v>3</v>
      </c>
    </row>
    <row r="287" spans="1:21" ht="14.25" customHeight="1" x14ac:dyDescent="0.35">
      <c r="A287" s="47">
        <v>271</v>
      </c>
      <c r="B287" s="69" t="s">
        <v>79</v>
      </c>
      <c r="C287" s="69" t="s">
        <v>80</v>
      </c>
      <c r="D287" s="70" t="s">
        <v>1490</v>
      </c>
      <c r="E287" s="69" t="s">
        <v>1491</v>
      </c>
      <c r="F287" s="69" t="s">
        <v>88</v>
      </c>
      <c r="G287" s="69" t="s">
        <v>1492</v>
      </c>
      <c r="H287" s="70">
        <v>2016</v>
      </c>
      <c r="I287" s="69" t="s">
        <v>63</v>
      </c>
      <c r="J287" s="69" t="s">
        <v>1493</v>
      </c>
      <c r="K287" s="71" t="s">
        <v>1494</v>
      </c>
      <c r="L287" s="71" t="s">
        <v>1495</v>
      </c>
      <c r="M287" s="71" t="s">
        <v>1496</v>
      </c>
      <c r="N287" s="69" t="s">
        <v>44</v>
      </c>
      <c r="O287" s="64">
        <v>1</v>
      </c>
      <c r="P287" s="72">
        <v>14550000</v>
      </c>
      <c r="Q287" s="69" t="s">
        <v>1497</v>
      </c>
      <c r="R287" s="69"/>
      <c r="S287" s="68" t="s">
        <v>41</v>
      </c>
      <c r="T287" s="56">
        <v>2</v>
      </c>
      <c r="U287" s="56">
        <v>3</v>
      </c>
    </row>
    <row r="288" spans="1:21" ht="14.25" customHeight="1" thickBot="1" x14ac:dyDescent="0.4">
      <c r="A288" s="58">
        <v>272</v>
      </c>
      <c r="B288" s="69" t="s">
        <v>79</v>
      </c>
      <c r="C288" s="69" t="s">
        <v>80</v>
      </c>
      <c r="D288" s="70" t="s">
        <v>1498</v>
      </c>
      <c r="E288" s="69" t="s">
        <v>1499</v>
      </c>
      <c r="F288" s="69" t="s">
        <v>1500</v>
      </c>
      <c r="G288" s="69" t="s">
        <v>1492</v>
      </c>
      <c r="H288" s="70">
        <v>2024</v>
      </c>
      <c r="I288" s="69" t="s">
        <v>63</v>
      </c>
      <c r="J288" s="69" t="s">
        <v>1501</v>
      </c>
      <c r="K288" s="71" t="s">
        <v>1502</v>
      </c>
      <c r="L288" s="71" t="s">
        <v>1503</v>
      </c>
      <c r="M288" s="71" t="s">
        <v>1504</v>
      </c>
      <c r="N288" s="69" t="s">
        <v>44</v>
      </c>
      <c r="O288" s="64">
        <v>1</v>
      </c>
      <c r="P288" s="72">
        <v>23479000</v>
      </c>
      <c r="Q288" s="69" t="s">
        <v>1505</v>
      </c>
      <c r="R288" s="69"/>
      <c r="S288" s="68" t="s">
        <v>41</v>
      </c>
      <c r="T288" s="56">
        <v>2</v>
      </c>
      <c r="U288" s="56">
        <v>3</v>
      </c>
    </row>
    <row r="289" spans="1:21" ht="14.25" customHeight="1" x14ac:dyDescent="0.35">
      <c r="A289" s="47">
        <v>273</v>
      </c>
      <c r="B289" s="69" t="s">
        <v>79</v>
      </c>
      <c r="C289" s="69" t="s">
        <v>80</v>
      </c>
      <c r="D289" s="70" t="s">
        <v>1506</v>
      </c>
      <c r="E289" s="69" t="s">
        <v>1499</v>
      </c>
      <c r="F289" s="69" t="s">
        <v>1500</v>
      </c>
      <c r="G289" s="69" t="s">
        <v>1492</v>
      </c>
      <c r="H289" s="70">
        <v>2024</v>
      </c>
      <c r="I289" s="69" t="s">
        <v>63</v>
      </c>
      <c r="J289" s="69" t="s">
        <v>1507</v>
      </c>
      <c r="K289" s="71" t="s">
        <v>1508</v>
      </c>
      <c r="L289" s="71" t="s">
        <v>1509</v>
      </c>
      <c r="M289" s="71" t="s">
        <v>1510</v>
      </c>
      <c r="N289" s="69" t="s">
        <v>44</v>
      </c>
      <c r="O289" s="64">
        <v>1</v>
      </c>
      <c r="P289" s="72">
        <v>23479000</v>
      </c>
      <c r="Q289" s="69" t="s">
        <v>1505</v>
      </c>
      <c r="R289" s="69"/>
      <c r="S289" s="68" t="s">
        <v>41</v>
      </c>
      <c r="T289" s="56">
        <v>2</v>
      </c>
      <c r="U289" s="56">
        <v>3</v>
      </c>
    </row>
    <row r="290" spans="1:21" ht="14.25" customHeight="1" thickBot="1" x14ac:dyDescent="0.4">
      <c r="A290" s="58">
        <v>274</v>
      </c>
      <c r="B290" s="69" t="s">
        <v>79</v>
      </c>
      <c r="C290" s="69" t="s">
        <v>80</v>
      </c>
      <c r="D290" s="70" t="s">
        <v>1511</v>
      </c>
      <c r="E290" s="69" t="s">
        <v>1512</v>
      </c>
      <c r="F290" s="69" t="s">
        <v>1513</v>
      </c>
      <c r="G290" s="69" t="s">
        <v>1514</v>
      </c>
      <c r="H290" s="70">
        <v>2024</v>
      </c>
      <c r="I290" s="69" t="s">
        <v>63</v>
      </c>
      <c r="J290" s="69" t="s">
        <v>1515</v>
      </c>
      <c r="K290" s="71" t="s">
        <v>1516</v>
      </c>
      <c r="L290" s="71" t="s">
        <v>1517</v>
      </c>
      <c r="M290" s="71" t="s">
        <v>1518</v>
      </c>
      <c r="N290" s="69" t="s">
        <v>44</v>
      </c>
      <c r="O290" s="64">
        <v>1</v>
      </c>
      <c r="P290" s="72">
        <v>25900000</v>
      </c>
      <c r="Q290" s="69" t="s">
        <v>1519</v>
      </c>
      <c r="R290" s="69"/>
      <c r="S290" s="68" t="s">
        <v>41</v>
      </c>
      <c r="T290" s="56">
        <v>2</v>
      </c>
      <c r="U290" s="56">
        <v>3</v>
      </c>
    </row>
    <row r="291" spans="1:21" ht="14.25" customHeight="1" x14ac:dyDescent="0.35">
      <c r="A291" s="47">
        <v>275</v>
      </c>
      <c r="B291" s="69" t="s">
        <v>79</v>
      </c>
      <c r="C291" s="69" t="s">
        <v>80</v>
      </c>
      <c r="D291" s="70" t="s">
        <v>1520</v>
      </c>
      <c r="E291" s="69" t="s">
        <v>1512</v>
      </c>
      <c r="F291" s="69" t="s">
        <v>1513</v>
      </c>
      <c r="G291" s="69" t="s">
        <v>1514</v>
      </c>
      <c r="H291" s="70">
        <v>2024</v>
      </c>
      <c r="I291" s="69" t="s">
        <v>63</v>
      </c>
      <c r="J291" s="69" t="s">
        <v>1521</v>
      </c>
      <c r="K291" s="71" t="s">
        <v>1522</v>
      </c>
      <c r="L291" s="71" t="s">
        <v>1523</v>
      </c>
      <c r="M291" s="71" t="s">
        <v>1524</v>
      </c>
      <c r="N291" s="69" t="s">
        <v>44</v>
      </c>
      <c r="O291" s="64">
        <v>1</v>
      </c>
      <c r="P291" s="72">
        <v>25900000</v>
      </c>
      <c r="Q291" s="69" t="s">
        <v>1525</v>
      </c>
      <c r="R291" s="69"/>
      <c r="S291" s="68" t="s">
        <v>41</v>
      </c>
      <c r="T291" s="56">
        <v>2</v>
      </c>
      <c r="U291" s="56">
        <v>3</v>
      </c>
    </row>
    <row r="292" spans="1:21" ht="14.25" customHeight="1" thickBot="1" x14ac:dyDescent="0.4">
      <c r="A292" s="58">
        <v>276</v>
      </c>
      <c r="B292" s="69" t="s">
        <v>79</v>
      </c>
      <c r="C292" s="69" t="s">
        <v>80</v>
      </c>
      <c r="D292" s="70" t="s">
        <v>1526</v>
      </c>
      <c r="E292" s="69" t="s">
        <v>1512</v>
      </c>
      <c r="F292" s="69" t="s">
        <v>1513</v>
      </c>
      <c r="G292" s="69" t="s">
        <v>1514</v>
      </c>
      <c r="H292" s="70">
        <v>2024</v>
      </c>
      <c r="I292" s="69" t="s">
        <v>63</v>
      </c>
      <c r="J292" s="69" t="s">
        <v>1527</v>
      </c>
      <c r="K292" s="71" t="s">
        <v>1528</v>
      </c>
      <c r="L292" s="71" t="s">
        <v>1529</v>
      </c>
      <c r="M292" s="71" t="s">
        <v>1530</v>
      </c>
      <c r="N292" s="69" t="s">
        <v>44</v>
      </c>
      <c r="O292" s="64">
        <v>1</v>
      </c>
      <c r="P292" s="72">
        <v>25900000</v>
      </c>
      <c r="Q292" s="69" t="s">
        <v>1531</v>
      </c>
      <c r="R292" s="69"/>
      <c r="S292" s="68" t="s">
        <v>41</v>
      </c>
      <c r="T292" s="56">
        <v>2</v>
      </c>
      <c r="U292" s="56">
        <v>3</v>
      </c>
    </row>
    <row r="293" spans="1:21" ht="14.25" customHeight="1" x14ac:dyDescent="0.35">
      <c r="A293" s="47">
        <v>277</v>
      </c>
      <c r="B293" s="69" t="s">
        <v>79</v>
      </c>
      <c r="C293" s="69" t="s">
        <v>80</v>
      </c>
      <c r="D293" s="70" t="s">
        <v>1532</v>
      </c>
      <c r="E293" s="69" t="s">
        <v>1512</v>
      </c>
      <c r="F293" s="69" t="s">
        <v>1513</v>
      </c>
      <c r="G293" s="69" t="s">
        <v>1514</v>
      </c>
      <c r="H293" s="70">
        <v>2024</v>
      </c>
      <c r="I293" s="69" t="s">
        <v>63</v>
      </c>
      <c r="J293" s="69" t="s">
        <v>1533</v>
      </c>
      <c r="K293" s="71" t="s">
        <v>1534</v>
      </c>
      <c r="L293" s="71" t="s">
        <v>1535</v>
      </c>
      <c r="M293" s="71" t="s">
        <v>1536</v>
      </c>
      <c r="N293" s="69" t="s">
        <v>44</v>
      </c>
      <c r="O293" s="64">
        <v>1</v>
      </c>
      <c r="P293" s="72">
        <v>25900000</v>
      </c>
      <c r="Q293" s="69" t="s">
        <v>1531</v>
      </c>
      <c r="R293" s="69"/>
      <c r="S293" s="68" t="s">
        <v>41</v>
      </c>
      <c r="T293" s="56">
        <v>2</v>
      </c>
      <c r="U293" s="56">
        <v>3</v>
      </c>
    </row>
    <row r="294" spans="1:21" ht="14.25" customHeight="1" thickBot="1" x14ac:dyDescent="0.4">
      <c r="A294" s="58">
        <v>278</v>
      </c>
      <c r="B294" s="69" t="s">
        <v>79</v>
      </c>
      <c r="C294" s="69" t="s">
        <v>80</v>
      </c>
      <c r="D294" s="70" t="s">
        <v>1537</v>
      </c>
      <c r="E294" s="69" t="s">
        <v>1512</v>
      </c>
      <c r="F294" s="69" t="s">
        <v>1513</v>
      </c>
      <c r="G294" s="69" t="s">
        <v>1514</v>
      </c>
      <c r="H294" s="70">
        <v>2024</v>
      </c>
      <c r="I294" s="69" t="s">
        <v>63</v>
      </c>
      <c r="J294" s="69" t="s">
        <v>1538</v>
      </c>
      <c r="K294" s="71" t="s">
        <v>1539</v>
      </c>
      <c r="L294" s="71" t="s">
        <v>1540</v>
      </c>
      <c r="M294" s="71" t="s">
        <v>1541</v>
      </c>
      <c r="N294" s="69" t="s">
        <v>44</v>
      </c>
      <c r="O294" s="64">
        <v>1</v>
      </c>
      <c r="P294" s="72">
        <v>25900000</v>
      </c>
      <c r="Q294" s="69" t="s">
        <v>1542</v>
      </c>
      <c r="R294" s="69"/>
      <c r="S294" s="68" t="s">
        <v>41</v>
      </c>
      <c r="T294" s="56">
        <v>2</v>
      </c>
      <c r="U294" s="56">
        <v>3</v>
      </c>
    </row>
    <row r="295" spans="1:21" ht="14.25" customHeight="1" x14ac:dyDescent="0.35">
      <c r="A295" s="47">
        <v>279</v>
      </c>
      <c r="B295" s="69" t="s">
        <v>79</v>
      </c>
      <c r="C295" s="69" t="s">
        <v>80</v>
      </c>
      <c r="D295" s="70" t="s">
        <v>1543</v>
      </c>
      <c r="E295" s="69" t="s">
        <v>1512</v>
      </c>
      <c r="F295" s="69" t="s">
        <v>1513</v>
      </c>
      <c r="G295" s="69" t="s">
        <v>1514</v>
      </c>
      <c r="H295" s="70">
        <v>2024</v>
      </c>
      <c r="I295" s="69" t="s">
        <v>63</v>
      </c>
      <c r="J295" s="69" t="s">
        <v>1544</v>
      </c>
      <c r="K295" s="71" t="s">
        <v>1545</v>
      </c>
      <c r="L295" s="71" t="s">
        <v>1546</v>
      </c>
      <c r="M295" s="71" t="s">
        <v>1547</v>
      </c>
      <c r="N295" s="69" t="s">
        <v>44</v>
      </c>
      <c r="O295" s="64">
        <v>1</v>
      </c>
      <c r="P295" s="72">
        <v>25900000</v>
      </c>
      <c r="Q295" s="69" t="s">
        <v>1531</v>
      </c>
      <c r="R295" s="69"/>
      <c r="S295" s="68" t="s">
        <v>41</v>
      </c>
      <c r="T295" s="56">
        <v>2</v>
      </c>
      <c r="U295" s="56">
        <v>3</v>
      </c>
    </row>
    <row r="296" spans="1:21" ht="14.25" customHeight="1" thickBot="1" x14ac:dyDescent="0.4">
      <c r="A296" s="58">
        <v>280</v>
      </c>
      <c r="B296" s="69" t="s">
        <v>79</v>
      </c>
      <c r="C296" s="69" t="s">
        <v>80</v>
      </c>
      <c r="D296" s="70" t="s">
        <v>1548</v>
      </c>
      <c r="E296" s="69" t="s">
        <v>1512</v>
      </c>
      <c r="F296" s="69" t="s">
        <v>1513</v>
      </c>
      <c r="G296" s="69" t="s">
        <v>1514</v>
      </c>
      <c r="H296" s="70">
        <v>2024</v>
      </c>
      <c r="I296" s="69" t="s">
        <v>63</v>
      </c>
      <c r="J296" s="69" t="s">
        <v>1549</v>
      </c>
      <c r="K296" s="71" t="s">
        <v>1550</v>
      </c>
      <c r="L296" s="71" t="s">
        <v>1551</v>
      </c>
      <c r="M296" s="71" t="s">
        <v>1552</v>
      </c>
      <c r="N296" s="69" t="s">
        <v>44</v>
      </c>
      <c r="O296" s="64">
        <v>1</v>
      </c>
      <c r="P296" s="72">
        <v>25900000</v>
      </c>
      <c r="Q296" s="69" t="s">
        <v>1531</v>
      </c>
      <c r="R296" s="69"/>
      <c r="S296" s="68" t="s">
        <v>41</v>
      </c>
      <c r="T296" s="56">
        <v>2</v>
      </c>
      <c r="U296" s="56">
        <v>3</v>
      </c>
    </row>
    <row r="297" spans="1:21" ht="14.25" customHeight="1" x14ac:dyDescent="0.35">
      <c r="A297" s="47">
        <v>281</v>
      </c>
      <c r="B297" s="69" t="s">
        <v>1553</v>
      </c>
      <c r="C297" s="69" t="s">
        <v>1554</v>
      </c>
      <c r="D297" s="70" t="s">
        <v>51</v>
      </c>
      <c r="E297" s="69" t="s">
        <v>1555</v>
      </c>
      <c r="F297" s="69" t="s">
        <v>1556</v>
      </c>
      <c r="G297" s="69" t="s">
        <v>54</v>
      </c>
      <c r="H297" s="70">
        <v>2004</v>
      </c>
      <c r="I297" s="69"/>
      <c r="J297" s="69" t="s">
        <v>1557</v>
      </c>
      <c r="K297" s="71" t="s">
        <v>1558</v>
      </c>
      <c r="L297" s="71" t="s">
        <v>1559</v>
      </c>
      <c r="M297" s="71" t="s">
        <v>1560</v>
      </c>
      <c r="N297" s="69" t="s">
        <v>57</v>
      </c>
      <c r="O297" s="64">
        <v>1</v>
      </c>
      <c r="P297" s="72">
        <v>125000000</v>
      </c>
      <c r="Q297" s="69" t="s">
        <v>1561</v>
      </c>
      <c r="R297" s="69"/>
      <c r="S297" s="68" t="s">
        <v>41</v>
      </c>
      <c r="T297" s="56">
        <v>2</v>
      </c>
      <c r="U297" s="56">
        <v>4</v>
      </c>
    </row>
    <row r="298" spans="1:21" ht="14.25" customHeight="1" thickBot="1" x14ac:dyDescent="0.4">
      <c r="A298" s="58">
        <v>282</v>
      </c>
      <c r="B298" s="69" t="s">
        <v>1553</v>
      </c>
      <c r="C298" s="69" t="s">
        <v>1554</v>
      </c>
      <c r="D298" s="70" t="s">
        <v>51</v>
      </c>
      <c r="E298" s="69" t="s">
        <v>1562</v>
      </c>
      <c r="F298" s="69" t="s">
        <v>1563</v>
      </c>
      <c r="G298" s="69" t="s">
        <v>54</v>
      </c>
      <c r="H298" s="70">
        <v>2005</v>
      </c>
      <c r="I298" s="69"/>
      <c r="J298" s="69" t="s">
        <v>1564</v>
      </c>
      <c r="K298" s="71" t="s">
        <v>1565</v>
      </c>
      <c r="L298" s="71" t="s">
        <v>1566</v>
      </c>
      <c r="M298" s="71" t="s">
        <v>1567</v>
      </c>
      <c r="N298" s="69" t="s">
        <v>57</v>
      </c>
      <c r="O298" s="64">
        <v>1</v>
      </c>
      <c r="P298" s="72">
        <v>164963000</v>
      </c>
      <c r="Q298" s="69" t="s">
        <v>1568</v>
      </c>
      <c r="R298" s="69"/>
      <c r="S298" s="68" t="s">
        <v>41</v>
      </c>
      <c r="T298" s="56">
        <v>2</v>
      </c>
      <c r="U298" s="56">
        <v>4</v>
      </c>
    </row>
    <row r="299" spans="1:21" ht="14.25" customHeight="1" x14ac:dyDescent="0.35">
      <c r="A299" s="47">
        <v>283</v>
      </c>
      <c r="B299" s="69" t="s">
        <v>1553</v>
      </c>
      <c r="C299" s="69" t="s">
        <v>1554</v>
      </c>
      <c r="D299" s="70" t="s">
        <v>51</v>
      </c>
      <c r="E299" s="69" t="s">
        <v>1569</v>
      </c>
      <c r="F299" s="69" t="s">
        <v>1570</v>
      </c>
      <c r="G299" s="69" t="s">
        <v>54</v>
      </c>
      <c r="H299" s="70">
        <v>2008</v>
      </c>
      <c r="I299" s="69"/>
      <c r="J299" s="69"/>
      <c r="K299" s="71"/>
      <c r="L299" s="71" t="s">
        <v>1571</v>
      </c>
      <c r="M299" s="71"/>
      <c r="N299" s="69" t="s">
        <v>422</v>
      </c>
      <c r="O299" s="64">
        <v>1</v>
      </c>
      <c r="P299" s="72">
        <v>152370000</v>
      </c>
      <c r="Q299" s="69" t="s">
        <v>1572</v>
      </c>
      <c r="R299" s="69"/>
      <c r="S299" s="68" t="s">
        <v>41</v>
      </c>
      <c r="T299" s="56">
        <v>2</v>
      </c>
      <c r="U299" s="56">
        <v>4</v>
      </c>
    </row>
    <row r="300" spans="1:21" ht="14.25" customHeight="1" thickBot="1" x14ac:dyDescent="0.4">
      <c r="A300" s="58">
        <v>284</v>
      </c>
      <c r="B300" s="69" t="s">
        <v>1553</v>
      </c>
      <c r="C300" s="69" t="s">
        <v>1554</v>
      </c>
      <c r="D300" s="70" t="s">
        <v>51</v>
      </c>
      <c r="E300" s="69" t="s">
        <v>1573</v>
      </c>
      <c r="F300" s="69" t="s">
        <v>1574</v>
      </c>
      <c r="G300" s="69" t="s">
        <v>1575</v>
      </c>
      <c r="H300" s="70">
        <v>2013</v>
      </c>
      <c r="I300" s="69" t="s">
        <v>63</v>
      </c>
      <c r="J300" s="69" t="s">
        <v>1576</v>
      </c>
      <c r="K300" s="71" t="s">
        <v>1577</v>
      </c>
      <c r="L300" s="71" t="s">
        <v>1578</v>
      </c>
      <c r="M300" s="71" t="s">
        <v>1579</v>
      </c>
      <c r="N300" s="69" t="s">
        <v>422</v>
      </c>
      <c r="O300" s="64">
        <v>1</v>
      </c>
      <c r="P300" s="72">
        <v>216259000</v>
      </c>
      <c r="Q300" s="69" t="s">
        <v>1580</v>
      </c>
      <c r="R300" s="69"/>
      <c r="S300" s="68" t="s">
        <v>41</v>
      </c>
      <c r="T300" s="56">
        <v>2</v>
      </c>
      <c r="U300" s="56">
        <v>4</v>
      </c>
    </row>
    <row r="301" spans="1:21" ht="14.25" customHeight="1" x14ac:dyDescent="0.35">
      <c r="A301" s="47">
        <v>285</v>
      </c>
      <c r="B301" s="69" t="s">
        <v>1553</v>
      </c>
      <c r="C301" s="69" t="s">
        <v>1554</v>
      </c>
      <c r="D301" s="70" t="s">
        <v>51</v>
      </c>
      <c r="E301" s="69" t="s">
        <v>1581</v>
      </c>
      <c r="F301" s="69" t="s">
        <v>1582</v>
      </c>
      <c r="G301" s="69" t="s">
        <v>1371</v>
      </c>
      <c r="H301" s="70">
        <v>2014</v>
      </c>
      <c r="I301" s="69"/>
      <c r="J301" s="69" t="s">
        <v>1583</v>
      </c>
      <c r="K301" s="71" t="s">
        <v>1584</v>
      </c>
      <c r="L301" s="71" t="s">
        <v>1585</v>
      </c>
      <c r="M301" s="71" t="s">
        <v>1586</v>
      </c>
      <c r="N301" s="69" t="s">
        <v>57</v>
      </c>
      <c r="O301" s="64">
        <v>1</v>
      </c>
      <c r="P301" s="72">
        <v>227410000</v>
      </c>
      <c r="Q301" s="69" t="s">
        <v>1587</v>
      </c>
      <c r="R301" s="69"/>
      <c r="S301" s="68" t="s">
        <v>41</v>
      </c>
      <c r="T301" s="56">
        <v>2</v>
      </c>
      <c r="U301" s="56">
        <v>4</v>
      </c>
    </row>
    <row r="302" spans="1:21" ht="14.25" customHeight="1" thickBot="1" x14ac:dyDescent="0.4">
      <c r="A302" s="58">
        <v>286</v>
      </c>
      <c r="B302" s="69" t="s">
        <v>1553</v>
      </c>
      <c r="C302" s="69" t="s">
        <v>1554</v>
      </c>
      <c r="D302" s="70" t="s">
        <v>51</v>
      </c>
      <c r="E302" s="69" t="s">
        <v>1588</v>
      </c>
      <c r="F302" s="69"/>
      <c r="G302" s="69" t="s">
        <v>140</v>
      </c>
      <c r="H302" s="70">
        <v>2015</v>
      </c>
      <c r="I302" s="69"/>
      <c r="J302" s="69" t="s">
        <v>1589</v>
      </c>
      <c r="K302" s="71" t="s">
        <v>1590</v>
      </c>
      <c r="L302" s="71" t="s">
        <v>1591</v>
      </c>
      <c r="M302" s="71" t="s">
        <v>1592</v>
      </c>
      <c r="N302" s="69" t="s">
        <v>57</v>
      </c>
      <c r="O302" s="64">
        <v>1</v>
      </c>
      <c r="P302" s="72">
        <v>208910000</v>
      </c>
      <c r="Q302" s="69" t="s">
        <v>1593</v>
      </c>
      <c r="R302" s="69"/>
      <c r="S302" s="68" t="s">
        <v>41</v>
      </c>
      <c r="T302" s="56">
        <v>2</v>
      </c>
      <c r="U302" s="56">
        <v>4</v>
      </c>
    </row>
    <row r="303" spans="1:21" ht="14.25" customHeight="1" x14ac:dyDescent="0.35">
      <c r="A303" s="47">
        <v>287</v>
      </c>
      <c r="B303" s="69" t="s">
        <v>1553</v>
      </c>
      <c r="C303" s="69" t="s">
        <v>1554</v>
      </c>
      <c r="D303" s="70" t="s">
        <v>51</v>
      </c>
      <c r="E303" s="69" t="s">
        <v>1594</v>
      </c>
      <c r="F303" s="69" t="s">
        <v>1595</v>
      </c>
      <c r="G303" s="69" t="s">
        <v>1596</v>
      </c>
      <c r="H303" s="70">
        <v>2015</v>
      </c>
      <c r="I303" s="69" t="s">
        <v>1597</v>
      </c>
      <c r="J303" s="69" t="s">
        <v>1598</v>
      </c>
      <c r="K303" s="71" t="s">
        <v>1599</v>
      </c>
      <c r="L303" s="71" t="s">
        <v>1600</v>
      </c>
      <c r="M303" s="71" t="s">
        <v>1601</v>
      </c>
      <c r="N303" s="69" t="s">
        <v>57</v>
      </c>
      <c r="O303" s="64">
        <v>1</v>
      </c>
      <c r="P303" s="72">
        <v>325790000</v>
      </c>
      <c r="Q303" s="69" t="s">
        <v>1602</v>
      </c>
      <c r="R303" s="69"/>
      <c r="S303" s="68" t="s">
        <v>41</v>
      </c>
      <c r="T303" s="56">
        <v>2</v>
      </c>
      <c r="U303" s="56">
        <v>4</v>
      </c>
    </row>
    <row r="304" spans="1:21" ht="14.25" customHeight="1" thickBot="1" x14ac:dyDescent="0.4">
      <c r="A304" s="58">
        <v>288</v>
      </c>
      <c r="B304" s="69" t="s">
        <v>1553</v>
      </c>
      <c r="C304" s="69" t="s">
        <v>1554</v>
      </c>
      <c r="D304" s="70" t="s">
        <v>51</v>
      </c>
      <c r="E304" s="69" t="s">
        <v>1594</v>
      </c>
      <c r="F304" s="69" t="s">
        <v>1595</v>
      </c>
      <c r="G304" s="69" t="s">
        <v>1596</v>
      </c>
      <c r="H304" s="70">
        <v>2015</v>
      </c>
      <c r="I304" s="69" t="s">
        <v>1603</v>
      </c>
      <c r="J304" s="69" t="s">
        <v>1604</v>
      </c>
      <c r="K304" s="71" t="s">
        <v>1605</v>
      </c>
      <c r="L304" s="71" t="s">
        <v>1606</v>
      </c>
      <c r="M304" s="71" t="s">
        <v>1607</v>
      </c>
      <c r="N304" s="69" t="s">
        <v>57</v>
      </c>
      <c r="O304" s="64">
        <v>1</v>
      </c>
      <c r="P304" s="72">
        <v>325790000</v>
      </c>
      <c r="Q304" s="69" t="s">
        <v>1602</v>
      </c>
      <c r="R304" s="69"/>
      <c r="S304" s="68" t="s">
        <v>41</v>
      </c>
      <c r="T304" s="56">
        <v>2</v>
      </c>
      <c r="U304" s="56">
        <v>4</v>
      </c>
    </row>
    <row r="305" spans="1:21" ht="14.25" customHeight="1" x14ac:dyDescent="0.35">
      <c r="A305" s="47">
        <v>289</v>
      </c>
      <c r="B305" s="69" t="s">
        <v>1553</v>
      </c>
      <c r="C305" s="69" t="s">
        <v>1554</v>
      </c>
      <c r="D305" s="70" t="s">
        <v>51</v>
      </c>
      <c r="E305" s="69" t="s">
        <v>1608</v>
      </c>
      <c r="F305" s="69" t="s">
        <v>1609</v>
      </c>
      <c r="G305" s="69" t="s">
        <v>1610</v>
      </c>
      <c r="H305" s="70">
        <v>2018</v>
      </c>
      <c r="I305" s="69" t="s">
        <v>63</v>
      </c>
      <c r="J305" s="69" t="s">
        <v>1611</v>
      </c>
      <c r="K305" s="71" t="s">
        <v>1612</v>
      </c>
      <c r="L305" s="71" t="s">
        <v>1613</v>
      </c>
      <c r="M305" s="71" t="s">
        <v>63</v>
      </c>
      <c r="N305" s="69" t="s">
        <v>57</v>
      </c>
      <c r="O305" s="64">
        <v>1</v>
      </c>
      <c r="P305" s="72">
        <v>400420000</v>
      </c>
      <c r="Q305" s="69" t="s">
        <v>1614</v>
      </c>
      <c r="R305" s="69"/>
      <c r="S305" s="68" t="s">
        <v>41</v>
      </c>
      <c r="T305" s="56">
        <v>2</v>
      </c>
      <c r="U305" s="56">
        <v>4</v>
      </c>
    </row>
    <row r="306" spans="1:21" ht="14.25" customHeight="1" thickBot="1" x14ac:dyDescent="0.4">
      <c r="A306" s="58">
        <v>290</v>
      </c>
      <c r="B306" s="69" t="s">
        <v>1553</v>
      </c>
      <c r="C306" s="69" t="s">
        <v>1554</v>
      </c>
      <c r="D306" s="70" t="s">
        <v>51</v>
      </c>
      <c r="E306" s="69" t="s">
        <v>1615</v>
      </c>
      <c r="F306" s="69" t="s">
        <v>1616</v>
      </c>
      <c r="G306" s="69" t="s">
        <v>953</v>
      </c>
      <c r="H306" s="70">
        <v>2018</v>
      </c>
      <c r="I306" s="69" t="s">
        <v>63</v>
      </c>
      <c r="J306" s="69" t="s">
        <v>1617</v>
      </c>
      <c r="K306" s="71" t="s">
        <v>1618</v>
      </c>
      <c r="L306" s="71" t="s">
        <v>1619</v>
      </c>
      <c r="M306" s="71" t="s">
        <v>1620</v>
      </c>
      <c r="N306" s="69" t="s">
        <v>57</v>
      </c>
      <c r="O306" s="64">
        <v>1</v>
      </c>
      <c r="P306" s="72">
        <v>538718500</v>
      </c>
      <c r="Q306" s="69" t="s">
        <v>1621</v>
      </c>
      <c r="R306" s="69"/>
      <c r="S306" s="68" t="s">
        <v>41</v>
      </c>
      <c r="T306" s="56">
        <v>2</v>
      </c>
      <c r="U306" s="56">
        <v>4</v>
      </c>
    </row>
    <row r="307" spans="1:21" ht="14.25" customHeight="1" x14ac:dyDescent="0.35">
      <c r="A307" s="47">
        <v>291</v>
      </c>
      <c r="B307" s="69" t="s">
        <v>1553</v>
      </c>
      <c r="C307" s="69" t="s">
        <v>1554</v>
      </c>
      <c r="D307" s="70" t="s">
        <v>59</v>
      </c>
      <c r="E307" s="69" t="s">
        <v>1622</v>
      </c>
      <c r="F307" s="69" t="s">
        <v>1623</v>
      </c>
      <c r="G307" s="69" t="s">
        <v>54</v>
      </c>
      <c r="H307" s="70">
        <v>2008</v>
      </c>
      <c r="I307" s="69"/>
      <c r="J307" s="69" t="s">
        <v>1624</v>
      </c>
      <c r="K307" s="71" t="s">
        <v>1625</v>
      </c>
      <c r="L307" s="71" t="s">
        <v>1626</v>
      </c>
      <c r="M307" s="71"/>
      <c r="N307" s="69" t="s">
        <v>57</v>
      </c>
      <c r="O307" s="64">
        <v>1</v>
      </c>
      <c r="P307" s="72">
        <v>211500000</v>
      </c>
      <c r="Q307" s="69" t="s">
        <v>1572</v>
      </c>
      <c r="R307" s="69"/>
      <c r="S307" s="68" t="s">
        <v>41</v>
      </c>
      <c r="T307" s="56">
        <v>2</v>
      </c>
      <c r="U307" s="56">
        <v>4</v>
      </c>
    </row>
    <row r="308" spans="1:21" ht="14.25" customHeight="1" thickBot="1" x14ac:dyDescent="0.4">
      <c r="A308" s="58">
        <v>292</v>
      </c>
      <c r="B308" s="69" t="s">
        <v>1553</v>
      </c>
      <c r="C308" s="69" t="s">
        <v>1554</v>
      </c>
      <c r="D308" s="70" t="s">
        <v>59</v>
      </c>
      <c r="E308" s="69" t="s">
        <v>1627</v>
      </c>
      <c r="F308" s="69" t="s">
        <v>1574</v>
      </c>
      <c r="G308" s="69" t="s">
        <v>1628</v>
      </c>
      <c r="H308" s="70">
        <v>2013</v>
      </c>
      <c r="I308" s="69" t="s">
        <v>63</v>
      </c>
      <c r="J308" s="69" t="s">
        <v>1629</v>
      </c>
      <c r="K308" s="71" t="s">
        <v>1630</v>
      </c>
      <c r="L308" s="71" t="s">
        <v>1631</v>
      </c>
      <c r="M308" s="71" t="s">
        <v>1632</v>
      </c>
      <c r="N308" s="69" t="s">
        <v>422</v>
      </c>
      <c r="O308" s="64">
        <v>1</v>
      </c>
      <c r="P308" s="72">
        <v>216259000</v>
      </c>
      <c r="Q308" s="69" t="s">
        <v>1633</v>
      </c>
      <c r="R308" s="69"/>
      <c r="S308" s="68" t="s">
        <v>41</v>
      </c>
      <c r="T308" s="56">
        <v>2</v>
      </c>
      <c r="U308" s="56">
        <v>4</v>
      </c>
    </row>
    <row r="309" spans="1:21" ht="14.25" customHeight="1" x14ac:dyDescent="0.35">
      <c r="A309" s="47">
        <v>293</v>
      </c>
      <c r="B309" s="69" t="s">
        <v>1553</v>
      </c>
      <c r="C309" s="69" t="s">
        <v>1554</v>
      </c>
      <c r="D309" s="70" t="s">
        <v>59</v>
      </c>
      <c r="E309" s="69" t="s">
        <v>1634</v>
      </c>
      <c r="F309" s="69" t="s">
        <v>1582</v>
      </c>
      <c r="G309" s="69" t="s">
        <v>1371</v>
      </c>
      <c r="H309" s="70">
        <v>2014</v>
      </c>
      <c r="I309" s="69"/>
      <c r="J309" s="69" t="s">
        <v>1635</v>
      </c>
      <c r="K309" s="71" t="s">
        <v>1636</v>
      </c>
      <c r="L309" s="71" t="s">
        <v>1637</v>
      </c>
      <c r="M309" s="71" t="s">
        <v>1638</v>
      </c>
      <c r="N309" s="69" t="s">
        <v>57</v>
      </c>
      <c r="O309" s="64">
        <v>1</v>
      </c>
      <c r="P309" s="72">
        <v>227410000</v>
      </c>
      <c r="Q309" s="69" t="s">
        <v>1639</v>
      </c>
      <c r="R309" s="69"/>
      <c r="S309" s="68" t="s">
        <v>41</v>
      </c>
      <c r="T309" s="56">
        <v>2</v>
      </c>
      <c r="U309" s="56">
        <v>4</v>
      </c>
    </row>
    <row r="310" spans="1:21" ht="14.25" customHeight="1" thickBot="1" x14ac:dyDescent="0.4">
      <c r="A310" s="58">
        <v>294</v>
      </c>
      <c r="B310" s="69" t="s">
        <v>1553</v>
      </c>
      <c r="C310" s="69" t="s">
        <v>1554</v>
      </c>
      <c r="D310" s="70" t="s">
        <v>59</v>
      </c>
      <c r="E310" s="69" t="s">
        <v>1634</v>
      </c>
      <c r="F310" s="69" t="s">
        <v>1640</v>
      </c>
      <c r="G310" s="69" t="s">
        <v>1371</v>
      </c>
      <c r="H310" s="70">
        <v>2014</v>
      </c>
      <c r="I310" s="69"/>
      <c r="J310" s="69" t="s">
        <v>1641</v>
      </c>
      <c r="K310" s="71" t="s">
        <v>1642</v>
      </c>
      <c r="L310" s="71" t="s">
        <v>1643</v>
      </c>
      <c r="M310" s="71" t="s">
        <v>1586</v>
      </c>
      <c r="N310" s="69" t="s">
        <v>57</v>
      </c>
      <c r="O310" s="64">
        <v>1</v>
      </c>
      <c r="P310" s="72">
        <v>227410000</v>
      </c>
      <c r="Q310" s="69" t="s">
        <v>1644</v>
      </c>
      <c r="R310" s="69"/>
      <c r="S310" s="68" t="s">
        <v>41</v>
      </c>
      <c r="T310" s="56">
        <v>2</v>
      </c>
      <c r="U310" s="56">
        <v>4</v>
      </c>
    </row>
    <row r="311" spans="1:21" ht="14.25" customHeight="1" x14ac:dyDescent="0.35">
      <c r="A311" s="47">
        <v>295</v>
      </c>
      <c r="B311" s="69" t="s">
        <v>1553</v>
      </c>
      <c r="C311" s="69" t="s">
        <v>1554</v>
      </c>
      <c r="D311" s="70" t="s">
        <v>59</v>
      </c>
      <c r="E311" s="69" t="s">
        <v>1608</v>
      </c>
      <c r="F311" s="69" t="s">
        <v>1609</v>
      </c>
      <c r="G311" s="69" t="s">
        <v>1645</v>
      </c>
      <c r="H311" s="70">
        <v>2018</v>
      </c>
      <c r="I311" s="69" t="s">
        <v>63</v>
      </c>
      <c r="J311" s="69" t="s">
        <v>1646</v>
      </c>
      <c r="K311" s="71" t="s">
        <v>1647</v>
      </c>
      <c r="L311" s="71" t="s">
        <v>1648</v>
      </c>
      <c r="M311" s="71" t="s">
        <v>1649</v>
      </c>
      <c r="N311" s="69" t="s">
        <v>57</v>
      </c>
      <c r="O311" s="64">
        <v>1</v>
      </c>
      <c r="P311" s="72">
        <v>400420000</v>
      </c>
      <c r="Q311" s="69" t="s">
        <v>1650</v>
      </c>
      <c r="R311" s="69"/>
      <c r="S311" s="68" t="s">
        <v>41</v>
      </c>
      <c r="T311" s="56">
        <v>2</v>
      </c>
      <c r="U311" s="56">
        <v>4</v>
      </c>
    </row>
    <row r="312" spans="1:21" ht="14.25" customHeight="1" thickBot="1" x14ac:dyDescent="0.4">
      <c r="A312" s="58">
        <v>296</v>
      </c>
      <c r="B312" s="69" t="s">
        <v>1553</v>
      </c>
      <c r="C312" s="69" t="s">
        <v>1554</v>
      </c>
      <c r="D312" s="70" t="s">
        <v>59</v>
      </c>
      <c r="E312" s="69" t="s">
        <v>1651</v>
      </c>
      <c r="F312" s="69" t="s">
        <v>1652</v>
      </c>
      <c r="G312" s="69" t="s">
        <v>484</v>
      </c>
      <c r="H312" s="70">
        <v>2020</v>
      </c>
      <c r="I312" s="69" t="s">
        <v>63</v>
      </c>
      <c r="J312" s="69" t="s">
        <v>1653</v>
      </c>
      <c r="K312" s="71" t="s">
        <v>1654</v>
      </c>
      <c r="L312" s="71" t="s">
        <v>1655</v>
      </c>
      <c r="M312" s="71" t="s">
        <v>63</v>
      </c>
      <c r="N312" s="69" t="s">
        <v>57</v>
      </c>
      <c r="O312" s="64">
        <v>1</v>
      </c>
      <c r="P312" s="72">
        <v>417100000</v>
      </c>
      <c r="Q312" s="69" t="s">
        <v>1656</v>
      </c>
      <c r="R312" s="69"/>
      <c r="S312" s="68" t="s">
        <v>41</v>
      </c>
      <c r="T312" s="56">
        <v>2</v>
      </c>
      <c r="U312" s="56">
        <v>4</v>
      </c>
    </row>
    <row r="313" spans="1:21" ht="14.25" customHeight="1" x14ac:dyDescent="0.35">
      <c r="A313" s="47">
        <v>297</v>
      </c>
      <c r="B313" s="69" t="s">
        <v>1553</v>
      </c>
      <c r="C313" s="69" t="s">
        <v>1554</v>
      </c>
      <c r="D313" s="70" t="s">
        <v>59</v>
      </c>
      <c r="E313" s="69" t="s">
        <v>1657</v>
      </c>
      <c r="F313" s="69" t="s">
        <v>1658</v>
      </c>
      <c r="G313" s="69" t="s">
        <v>1645</v>
      </c>
      <c r="H313" s="70">
        <v>2022</v>
      </c>
      <c r="I313" s="69" t="s">
        <v>63</v>
      </c>
      <c r="J313" s="69" t="s">
        <v>1659</v>
      </c>
      <c r="K313" s="71" t="s">
        <v>1660</v>
      </c>
      <c r="L313" s="71" t="s">
        <v>1661</v>
      </c>
      <c r="M313" s="71" t="s">
        <v>1662</v>
      </c>
      <c r="N313" s="69" t="s">
        <v>44</v>
      </c>
      <c r="O313" s="64">
        <v>1</v>
      </c>
      <c r="P313" s="72">
        <v>650000000</v>
      </c>
      <c r="Q313" s="69" t="s">
        <v>1663</v>
      </c>
      <c r="R313" s="69"/>
      <c r="S313" s="68" t="s">
        <v>41</v>
      </c>
      <c r="T313" s="56">
        <v>2</v>
      </c>
      <c r="U313" s="56">
        <v>4</v>
      </c>
    </row>
    <row r="314" spans="1:21" ht="14.25" customHeight="1" thickBot="1" x14ac:dyDescent="0.4">
      <c r="A314" s="58">
        <v>298</v>
      </c>
      <c r="B314" s="69" t="s">
        <v>1553</v>
      </c>
      <c r="C314" s="69" t="s">
        <v>1554</v>
      </c>
      <c r="D314" s="70" t="s">
        <v>97</v>
      </c>
      <c r="E314" s="69" t="s">
        <v>1651</v>
      </c>
      <c r="F314" s="69" t="s">
        <v>1652</v>
      </c>
      <c r="G314" s="69" t="s">
        <v>484</v>
      </c>
      <c r="H314" s="70">
        <v>2020</v>
      </c>
      <c r="I314" s="69" t="s">
        <v>63</v>
      </c>
      <c r="J314" s="69" t="s">
        <v>1664</v>
      </c>
      <c r="K314" s="71" t="s">
        <v>1665</v>
      </c>
      <c r="L314" s="71" t="s">
        <v>1655</v>
      </c>
      <c r="M314" s="71" t="s">
        <v>63</v>
      </c>
      <c r="N314" s="69" t="s">
        <v>57</v>
      </c>
      <c r="O314" s="64">
        <v>1</v>
      </c>
      <c r="P314" s="72">
        <v>417100000</v>
      </c>
      <c r="Q314" s="69" t="s">
        <v>1666</v>
      </c>
      <c r="R314" s="69"/>
      <c r="S314" s="68" t="s">
        <v>41</v>
      </c>
      <c r="T314" s="56">
        <v>2</v>
      </c>
      <c r="U314" s="56">
        <v>4</v>
      </c>
    </row>
    <row r="315" spans="1:21" ht="14.25" customHeight="1" x14ac:dyDescent="0.35">
      <c r="A315" s="47">
        <v>299</v>
      </c>
      <c r="B315" s="69" t="s">
        <v>1553</v>
      </c>
      <c r="C315" s="69" t="s">
        <v>1554</v>
      </c>
      <c r="D315" s="70" t="s">
        <v>97</v>
      </c>
      <c r="E315" s="69" t="s">
        <v>1657</v>
      </c>
      <c r="F315" s="69" t="s">
        <v>1658</v>
      </c>
      <c r="G315" s="69" t="s">
        <v>953</v>
      </c>
      <c r="H315" s="70">
        <v>2022</v>
      </c>
      <c r="I315" s="69" t="s">
        <v>63</v>
      </c>
      <c r="J315" s="69" t="s">
        <v>1667</v>
      </c>
      <c r="K315" s="71" t="s">
        <v>1668</v>
      </c>
      <c r="L315" s="71" t="s">
        <v>1669</v>
      </c>
      <c r="M315" s="71" t="s">
        <v>1670</v>
      </c>
      <c r="N315" s="69" t="s">
        <v>44</v>
      </c>
      <c r="O315" s="64">
        <v>1</v>
      </c>
      <c r="P315" s="72">
        <v>650000000</v>
      </c>
      <c r="Q315" s="69" t="s">
        <v>1671</v>
      </c>
      <c r="R315" s="69"/>
      <c r="S315" s="68" t="s">
        <v>41</v>
      </c>
      <c r="T315" s="56">
        <v>2</v>
      </c>
      <c r="U315" s="56">
        <v>4</v>
      </c>
    </row>
    <row r="316" spans="1:21" ht="14.25" customHeight="1" thickBot="1" x14ac:dyDescent="0.4">
      <c r="A316" s="58">
        <v>300</v>
      </c>
      <c r="B316" s="69" t="s">
        <v>1553</v>
      </c>
      <c r="C316" s="69" t="s">
        <v>1554</v>
      </c>
      <c r="D316" s="70" t="s">
        <v>101</v>
      </c>
      <c r="E316" s="69" t="s">
        <v>1672</v>
      </c>
      <c r="F316" s="69" t="s">
        <v>1652</v>
      </c>
      <c r="G316" s="69" t="s">
        <v>484</v>
      </c>
      <c r="H316" s="70">
        <v>2020</v>
      </c>
      <c r="I316" s="69" t="s">
        <v>63</v>
      </c>
      <c r="J316" s="69" t="s">
        <v>1673</v>
      </c>
      <c r="K316" s="71" t="s">
        <v>1674</v>
      </c>
      <c r="L316" s="71" t="s">
        <v>1675</v>
      </c>
      <c r="M316" s="71" t="s">
        <v>63</v>
      </c>
      <c r="N316" s="69" t="s">
        <v>57</v>
      </c>
      <c r="O316" s="64">
        <v>1</v>
      </c>
      <c r="P316" s="72">
        <v>417100000</v>
      </c>
      <c r="Q316" s="69" t="s">
        <v>1676</v>
      </c>
      <c r="R316" s="69"/>
      <c r="S316" s="68" t="s">
        <v>41</v>
      </c>
      <c r="T316" s="56">
        <v>2</v>
      </c>
      <c r="U316" s="56">
        <v>4</v>
      </c>
    </row>
    <row r="317" spans="1:21" ht="14.25" customHeight="1" x14ac:dyDescent="0.35">
      <c r="A317" s="47">
        <v>301</v>
      </c>
      <c r="B317" s="69" t="s">
        <v>1553</v>
      </c>
      <c r="C317" s="69" t="s">
        <v>1554</v>
      </c>
      <c r="D317" s="70" t="s">
        <v>107</v>
      </c>
      <c r="E317" s="69" t="s">
        <v>1677</v>
      </c>
      <c r="F317" s="69" t="s">
        <v>1678</v>
      </c>
      <c r="G317" s="69" t="s">
        <v>1514</v>
      </c>
      <c r="H317" s="70">
        <v>2020</v>
      </c>
      <c r="I317" s="69" t="s">
        <v>63</v>
      </c>
      <c r="J317" s="69" t="s">
        <v>1679</v>
      </c>
      <c r="K317" s="71" t="s">
        <v>1680</v>
      </c>
      <c r="L317" s="71" t="s">
        <v>1681</v>
      </c>
      <c r="M317" s="71" t="s">
        <v>63</v>
      </c>
      <c r="N317" s="69" t="s">
        <v>57</v>
      </c>
      <c r="O317" s="64">
        <v>1</v>
      </c>
      <c r="P317" s="72">
        <v>442600000</v>
      </c>
      <c r="Q317" s="69" t="s">
        <v>1682</v>
      </c>
      <c r="R317" s="69"/>
      <c r="S317" s="68" t="s">
        <v>41</v>
      </c>
      <c r="T317" s="56">
        <v>2</v>
      </c>
      <c r="U317" s="56">
        <v>4</v>
      </c>
    </row>
    <row r="318" spans="1:21" ht="14.25" customHeight="1" thickBot="1" x14ac:dyDescent="0.4">
      <c r="A318" s="58">
        <v>302</v>
      </c>
      <c r="B318" s="69" t="s">
        <v>1553</v>
      </c>
      <c r="C318" s="69" t="s">
        <v>1554</v>
      </c>
      <c r="D318" s="70" t="s">
        <v>112</v>
      </c>
      <c r="E318" s="69" t="s">
        <v>1677</v>
      </c>
      <c r="F318" s="69" t="s">
        <v>1683</v>
      </c>
      <c r="G318" s="69" t="s">
        <v>1514</v>
      </c>
      <c r="H318" s="70">
        <v>2020</v>
      </c>
      <c r="I318" s="69" t="s">
        <v>63</v>
      </c>
      <c r="J318" s="69" t="s">
        <v>1684</v>
      </c>
      <c r="K318" s="71" t="s">
        <v>1685</v>
      </c>
      <c r="L318" s="71" t="s">
        <v>1686</v>
      </c>
      <c r="M318" s="71" t="s">
        <v>63</v>
      </c>
      <c r="N318" s="69" t="s">
        <v>57</v>
      </c>
      <c r="O318" s="64">
        <v>1</v>
      </c>
      <c r="P318" s="72">
        <v>442600000</v>
      </c>
      <c r="Q318" s="69" t="s">
        <v>1687</v>
      </c>
      <c r="R318" s="69"/>
      <c r="S318" s="68" t="s">
        <v>41</v>
      </c>
      <c r="T318" s="56">
        <v>2</v>
      </c>
      <c r="U318" s="56">
        <v>4</v>
      </c>
    </row>
    <row r="319" spans="1:21" ht="14.25" customHeight="1" x14ac:dyDescent="0.35">
      <c r="A319" s="47">
        <v>303</v>
      </c>
      <c r="B319" s="69" t="s">
        <v>1553</v>
      </c>
      <c r="C319" s="69" t="s">
        <v>1554</v>
      </c>
      <c r="D319" s="70" t="s">
        <v>116</v>
      </c>
      <c r="E319" s="69" t="s">
        <v>1562</v>
      </c>
      <c r="F319" s="69" t="s">
        <v>1563</v>
      </c>
      <c r="G319" s="69" t="s">
        <v>54</v>
      </c>
      <c r="H319" s="70">
        <v>2005</v>
      </c>
      <c r="I319" s="69"/>
      <c r="J319" s="69" t="s">
        <v>1688</v>
      </c>
      <c r="K319" s="71" t="s">
        <v>1689</v>
      </c>
      <c r="L319" s="71" t="s">
        <v>1690</v>
      </c>
      <c r="M319" s="71" t="s">
        <v>1691</v>
      </c>
      <c r="N319" s="69" t="s">
        <v>57</v>
      </c>
      <c r="O319" s="64">
        <v>1</v>
      </c>
      <c r="P319" s="72">
        <v>164963000</v>
      </c>
      <c r="Q319" s="69" t="s">
        <v>435</v>
      </c>
      <c r="R319" s="69"/>
      <c r="S319" s="68" t="s">
        <v>41</v>
      </c>
      <c r="T319" s="56">
        <v>2</v>
      </c>
      <c r="U319" s="56">
        <v>4</v>
      </c>
    </row>
    <row r="320" spans="1:21" ht="14.25" customHeight="1" thickBot="1" x14ac:dyDescent="0.4">
      <c r="A320" s="58">
        <v>304</v>
      </c>
      <c r="B320" s="69" t="s">
        <v>1553</v>
      </c>
      <c r="C320" s="69" t="s">
        <v>1554</v>
      </c>
      <c r="D320" s="70" t="s">
        <v>122</v>
      </c>
      <c r="E320" s="69" t="s">
        <v>1692</v>
      </c>
      <c r="F320" s="69" t="s">
        <v>1693</v>
      </c>
      <c r="G320" s="69" t="s">
        <v>54</v>
      </c>
      <c r="H320" s="70">
        <v>2008</v>
      </c>
      <c r="I320" s="69"/>
      <c r="J320" s="69" t="s">
        <v>1694</v>
      </c>
      <c r="K320" s="71" t="s">
        <v>1695</v>
      </c>
      <c r="L320" s="71" t="s">
        <v>1696</v>
      </c>
      <c r="M320" s="71" t="s">
        <v>1697</v>
      </c>
      <c r="N320" s="69" t="s">
        <v>57</v>
      </c>
      <c r="O320" s="64">
        <v>1</v>
      </c>
      <c r="P320" s="72">
        <v>124000000</v>
      </c>
      <c r="Q320" s="69" t="s">
        <v>1698</v>
      </c>
      <c r="R320" s="69"/>
      <c r="S320" s="68" t="s">
        <v>41</v>
      </c>
      <c r="T320" s="56">
        <v>2</v>
      </c>
      <c r="U320" s="56">
        <v>4</v>
      </c>
    </row>
    <row r="321" spans="1:21" ht="14.25" customHeight="1" x14ac:dyDescent="0.35">
      <c r="A321" s="47">
        <v>305</v>
      </c>
      <c r="B321" s="69" t="s">
        <v>1553</v>
      </c>
      <c r="C321" s="69" t="s">
        <v>1554</v>
      </c>
      <c r="D321" s="70" t="s">
        <v>126</v>
      </c>
      <c r="E321" s="69" t="s">
        <v>1699</v>
      </c>
      <c r="F321" s="69"/>
      <c r="G321" s="69" t="s">
        <v>953</v>
      </c>
      <c r="H321" s="70">
        <v>2025</v>
      </c>
      <c r="I321" s="69" t="s">
        <v>63</v>
      </c>
      <c r="J321" s="69" t="s">
        <v>1700</v>
      </c>
      <c r="K321" s="71" t="s">
        <v>1701</v>
      </c>
      <c r="L321" s="71" t="s">
        <v>1702</v>
      </c>
      <c r="M321" s="71" t="s">
        <v>1703</v>
      </c>
      <c r="N321" s="69" t="s">
        <v>44</v>
      </c>
      <c r="O321" s="64">
        <v>1</v>
      </c>
      <c r="P321" s="72">
        <v>728160000</v>
      </c>
      <c r="Q321" s="69" t="s">
        <v>1704</v>
      </c>
      <c r="R321" s="69"/>
      <c r="S321" s="68" t="s">
        <v>41</v>
      </c>
      <c r="T321" s="56">
        <v>2</v>
      </c>
      <c r="U321" s="56">
        <v>4</v>
      </c>
    </row>
    <row r="322" spans="1:21" ht="14.25" customHeight="1" thickBot="1" x14ac:dyDescent="0.4">
      <c r="A322" s="58">
        <v>306</v>
      </c>
      <c r="B322" s="69" t="s">
        <v>1553</v>
      </c>
      <c r="C322" s="69" t="s">
        <v>1554</v>
      </c>
      <c r="D322" s="70" t="s">
        <v>132</v>
      </c>
      <c r="E322" s="69" t="s">
        <v>1705</v>
      </c>
      <c r="F322" s="69"/>
      <c r="G322" s="69" t="s">
        <v>953</v>
      </c>
      <c r="H322" s="70">
        <v>2025</v>
      </c>
      <c r="I322" s="69" t="s">
        <v>63</v>
      </c>
      <c r="J322" s="69" t="s">
        <v>1706</v>
      </c>
      <c r="K322" s="71" t="s">
        <v>1707</v>
      </c>
      <c r="L322" s="71" t="s">
        <v>1708</v>
      </c>
      <c r="M322" s="71" t="s">
        <v>1709</v>
      </c>
      <c r="N322" s="69" t="s">
        <v>44</v>
      </c>
      <c r="O322" s="64">
        <v>1</v>
      </c>
      <c r="P322" s="72">
        <v>695970000</v>
      </c>
      <c r="Q322" s="69" t="s">
        <v>1710</v>
      </c>
      <c r="R322" s="69"/>
      <c r="S322" s="68" t="s">
        <v>41</v>
      </c>
      <c r="T322" s="56">
        <v>2</v>
      </c>
      <c r="U322" s="56">
        <v>4</v>
      </c>
    </row>
    <row r="323" spans="1:21" ht="14.25" customHeight="1" x14ac:dyDescent="0.35">
      <c r="A323" s="47">
        <v>307</v>
      </c>
      <c r="B323" s="69" t="s">
        <v>1711</v>
      </c>
      <c r="C323" s="69" t="s">
        <v>1712</v>
      </c>
      <c r="D323" s="70" t="s">
        <v>51</v>
      </c>
      <c r="E323" s="69" t="s">
        <v>1713</v>
      </c>
      <c r="F323" s="69" t="s">
        <v>1714</v>
      </c>
      <c r="G323" s="69" t="s">
        <v>140</v>
      </c>
      <c r="H323" s="70">
        <v>2020</v>
      </c>
      <c r="I323" s="69" t="s">
        <v>63</v>
      </c>
      <c r="J323" s="69" t="s">
        <v>1715</v>
      </c>
      <c r="K323" s="71" t="s">
        <v>1716</v>
      </c>
      <c r="L323" s="71" t="s">
        <v>1717</v>
      </c>
      <c r="M323" s="71" t="s">
        <v>1718</v>
      </c>
      <c r="N323" s="69" t="s">
        <v>57</v>
      </c>
      <c r="O323" s="64">
        <v>1</v>
      </c>
      <c r="P323" s="72">
        <v>643500000</v>
      </c>
      <c r="Q323" s="69" t="s">
        <v>1719</v>
      </c>
      <c r="R323" s="69"/>
      <c r="S323" s="68" t="s">
        <v>41</v>
      </c>
      <c r="T323" s="56">
        <v>2</v>
      </c>
      <c r="U323" s="56">
        <v>6</v>
      </c>
    </row>
    <row r="324" spans="1:21" ht="14.25" customHeight="1" thickBot="1" x14ac:dyDescent="0.4">
      <c r="A324" s="58">
        <v>308</v>
      </c>
      <c r="B324" s="69" t="s">
        <v>1720</v>
      </c>
      <c r="C324" s="69" t="s">
        <v>1721</v>
      </c>
      <c r="D324" s="70" t="s">
        <v>51</v>
      </c>
      <c r="E324" s="69" t="s">
        <v>1722</v>
      </c>
      <c r="F324" s="69" t="s">
        <v>1582</v>
      </c>
      <c r="G324" s="69" t="s">
        <v>1645</v>
      </c>
      <c r="H324" s="70">
        <v>2015</v>
      </c>
      <c r="I324" s="69"/>
      <c r="J324" s="69" t="s">
        <v>1723</v>
      </c>
      <c r="K324" s="71" t="s">
        <v>1724</v>
      </c>
      <c r="L324" s="71" t="s">
        <v>1725</v>
      </c>
      <c r="M324" s="71" t="s">
        <v>1726</v>
      </c>
      <c r="N324" s="69" t="s">
        <v>57</v>
      </c>
      <c r="O324" s="64">
        <v>1</v>
      </c>
      <c r="P324" s="72">
        <v>265805000</v>
      </c>
      <c r="Q324" s="69" t="s">
        <v>1727</v>
      </c>
      <c r="R324" s="69"/>
      <c r="S324" s="68" t="s">
        <v>41</v>
      </c>
      <c r="T324" s="56">
        <v>2</v>
      </c>
      <c r="U324" s="56">
        <v>4</v>
      </c>
    </row>
    <row r="325" spans="1:21" ht="14.25" customHeight="1" x14ac:dyDescent="0.35">
      <c r="A325" s="47">
        <v>309</v>
      </c>
      <c r="B325" s="69" t="s">
        <v>1720</v>
      </c>
      <c r="C325" s="69" t="s">
        <v>1721</v>
      </c>
      <c r="D325" s="70" t="s">
        <v>51</v>
      </c>
      <c r="E325" s="69" t="s">
        <v>1722</v>
      </c>
      <c r="F325" s="69" t="s">
        <v>1582</v>
      </c>
      <c r="G325" s="69" t="s">
        <v>1645</v>
      </c>
      <c r="H325" s="70">
        <v>2015</v>
      </c>
      <c r="I325" s="69"/>
      <c r="J325" s="69" t="s">
        <v>1728</v>
      </c>
      <c r="K325" s="71" t="s">
        <v>1729</v>
      </c>
      <c r="L325" s="71" t="s">
        <v>1730</v>
      </c>
      <c r="M325" s="71" t="s">
        <v>1731</v>
      </c>
      <c r="N325" s="69" t="s">
        <v>57</v>
      </c>
      <c r="O325" s="64">
        <v>1</v>
      </c>
      <c r="P325" s="72">
        <v>265805000</v>
      </c>
      <c r="Q325" s="69" t="s">
        <v>1732</v>
      </c>
      <c r="R325" s="69"/>
      <c r="S325" s="68" t="s">
        <v>41</v>
      </c>
      <c r="T325" s="56">
        <v>2</v>
      </c>
      <c r="U325" s="56">
        <v>4</v>
      </c>
    </row>
    <row r="326" spans="1:21" ht="14.25" customHeight="1" thickBot="1" x14ac:dyDescent="0.4">
      <c r="A326" s="58">
        <v>310</v>
      </c>
      <c r="B326" s="69" t="s">
        <v>1720</v>
      </c>
      <c r="C326" s="69" t="s">
        <v>1721</v>
      </c>
      <c r="D326" s="70" t="s">
        <v>51</v>
      </c>
      <c r="E326" s="69" t="s">
        <v>1722</v>
      </c>
      <c r="F326" s="69" t="s">
        <v>1582</v>
      </c>
      <c r="G326" s="69" t="s">
        <v>1645</v>
      </c>
      <c r="H326" s="70">
        <v>2015</v>
      </c>
      <c r="I326" s="69"/>
      <c r="J326" s="69" t="s">
        <v>1733</v>
      </c>
      <c r="K326" s="71" t="s">
        <v>1734</v>
      </c>
      <c r="L326" s="71" t="s">
        <v>1735</v>
      </c>
      <c r="M326" s="71" t="s">
        <v>1736</v>
      </c>
      <c r="N326" s="69" t="s">
        <v>57</v>
      </c>
      <c r="O326" s="64">
        <v>1</v>
      </c>
      <c r="P326" s="72">
        <v>265805000</v>
      </c>
      <c r="Q326" s="69" t="s">
        <v>1737</v>
      </c>
      <c r="R326" s="69"/>
      <c r="S326" s="68" t="s">
        <v>41</v>
      </c>
      <c r="T326" s="56">
        <v>2</v>
      </c>
      <c r="U326" s="56">
        <v>4</v>
      </c>
    </row>
    <row r="327" spans="1:21" ht="14.25" customHeight="1" x14ac:dyDescent="0.35">
      <c r="A327" s="47">
        <v>311</v>
      </c>
      <c r="B327" s="69" t="s">
        <v>1720</v>
      </c>
      <c r="C327" s="69" t="s">
        <v>1721</v>
      </c>
      <c r="D327" s="70" t="s">
        <v>51</v>
      </c>
      <c r="E327" s="69" t="s">
        <v>1677</v>
      </c>
      <c r="F327" s="69" t="s">
        <v>1678</v>
      </c>
      <c r="G327" s="69" t="s">
        <v>54</v>
      </c>
      <c r="H327" s="70">
        <v>2020</v>
      </c>
      <c r="I327" s="69" t="s">
        <v>63</v>
      </c>
      <c r="J327" s="69" t="s">
        <v>1679</v>
      </c>
      <c r="K327" s="71" t="s">
        <v>1680</v>
      </c>
      <c r="L327" s="71" t="s">
        <v>1686</v>
      </c>
      <c r="M327" s="71" t="s">
        <v>63</v>
      </c>
      <c r="N327" s="69" t="s">
        <v>57</v>
      </c>
      <c r="O327" s="64">
        <v>1</v>
      </c>
      <c r="P327" s="72">
        <v>470400000</v>
      </c>
      <c r="Q327" s="69" t="s">
        <v>1738</v>
      </c>
      <c r="R327" s="69"/>
      <c r="S327" s="68" t="s">
        <v>41</v>
      </c>
      <c r="T327" s="56">
        <v>2</v>
      </c>
      <c r="U327" s="56">
        <v>4</v>
      </c>
    </row>
    <row r="328" spans="1:21" ht="14.25" customHeight="1" thickBot="1" x14ac:dyDescent="0.4">
      <c r="A328" s="58">
        <v>312</v>
      </c>
      <c r="B328" s="69" t="s">
        <v>1720</v>
      </c>
      <c r="C328" s="69" t="s">
        <v>1721</v>
      </c>
      <c r="D328" s="70" t="s">
        <v>59</v>
      </c>
      <c r="E328" s="69" t="s">
        <v>1739</v>
      </c>
      <c r="F328" s="69"/>
      <c r="G328" s="69" t="s">
        <v>54</v>
      </c>
      <c r="H328" s="70">
        <v>2024</v>
      </c>
      <c r="I328" s="69" t="s">
        <v>63</v>
      </c>
      <c r="J328" s="69" t="s">
        <v>1740</v>
      </c>
      <c r="K328" s="71" t="s">
        <v>1741</v>
      </c>
      <c r="L328" s="71" t="s">
        <v>1742</v>
      </c>
      <c r="M328" s="71" t="s">
        <v>1743</v>
      </c>
      <c r="N328" s="69" t="s">
        <v>44</v>
      </c>
      <c r="O328" s="64">
        <v>1</v>
      </c>
      <c r="P328" s="72">
        <v>597200000</v>
      </c>
      <c r="Q328" s="69" t="s">
        <v>1744</v>
      </c>
      <c r="R328" s="69"/>
      <c r="S328" s="68" t="s">
        <v>41</v>
      </c>
      <c r="T328" s="56">
        <v>2</v>
      </c>
      <c r="U328" s="56">
        <v>4</v>
      </c>
    </row>
    <row r="329" spans="1:21" ht="14.25" customHeight="1" x14ac:dyDescent="0.35">
      <c r="A329" s="47">
        <v>313</v>
      </c>
      <c r="B329" s="69" t="s">
        <v>1745</v>
      </c>
      <c r="C329" s="69" t="s">
        <v>1746</v>
      </c>
      <c r="D329" s="70" t="s">
        <v>51</v>
      </c>
      <c r="E329" s="69" t="s">
        <v>1747</v>
      </c>
      <c r="F329" s="69" t="s">
        <v>1748</v>
      </c>
      <c r="G329" s="69" t="s">
        <v>140</v>
      </c>
      <c r="H329" s="70">
        <v>2015</v>
      </c>
      <c r="I329" s="69"/>
      <c r="J329" s="69" t="s">
        <v>1749</v>
      </c>
      <c r="K329" s="71" t="s">
        <v>1750</v>
      </c>
      <c r="L329" s="71" t="s">
        <v>1751</v>
      </c>
      <c r="M329" s="71" t="s">
        <v>1752</v>
      </c>
      <c r="N329" s="69" t="s">
        <v>57</v>
      </c>
      <c r="O329" s="64">
        <v>1</v>
      </c>
      <c r="P329" s="72">
        <v>175130000</v>
      </c>
      <c r="Q329" s="69" t="s">
        <v>1753</v>
      </c>
      <c r="R329" s="69"/>
      <c r="S329" s="68" t="s">
        <v>1754</v>
      </c>
      <c r="T329" s="56">
        <v>3</v>
      </c>
      <c r="U329" s="56">
        <v>4</v>
      </c>
    </row>
    <row r="330" spans="1:21" ht="14.25" customHeight="1" thickBot="1" x14ac:dyDescent="0.4">
      <c r="A330" s="58">
        <v>314</v>
      </c>
      <c r="B330" s="69" t="s">
        <v>1745</v>
      </c>
      <c r="C330" s="69" t="s">
        <v>1746</v>
      </c>
      <c r="D330" s="70" t="s">
        <v>59</v>
      </c>
      <c r="E330" s="69" t="s">
        <v>1755</v>
      </c>
      <c r="F330" s="69" t="s">
        <v>1756</v>
      </c>
      <c r="G330" s="69" t="s">
        <v>140</v>
      </c>
      <c r="H330" s="70">
        <v>2016</v>
      </c>
      <c r="I330" s="69"/>
      <c r="J330" s="69" t="s">
        <v>1757</v>
      </c>
      <c r="K330" s="71" t="s">
        <v>1758</v>
      </c>
      <c r="L330" s="71" t="s">
        <v>1759</v>
      </c>
      <c r="M330" s="71" t="s">
        <v>1760</v>
      </c>
      <c r="N330" s="69" t="s">
        <v>57</v>
      </c>
      <c r="O330" s="64">
        <v>1</v>
      </c>
      <c r="P330" s="72">
        <v>185080000</v>
      </c>
      <c r="Q330" s="69" t="s">
        <v>1754</v>
      </c>
      <c r="R330" s="69"/>
      <c r="S330" s="68" t="s">
        <v>1754</v>
      </c>
      <c r="T330" s="56">
        <v>3</v>
      </c>
      <c r="U330" s="56">
        <v>4</v>
      </c>
    </row>
    <row r="331" spans="1:21" ht="14.25" customHeight="1" x14ac:dyDescent="0.35">
      <c r="A331" s="47">
        <v>315</v>
      </c>
      <c r="B331" s="69" t="s">
        <v>1745</v>
      </c>
      <c r="C331" s="69" t="s">
        <v>1746</v>
      </c>
      <c r="D331" s="70" t="s">
        <v>97</v>
      </c>
      <c r="E331" s="69" t="s">
        <v>1755</v>
      </c>
      <c r="F331" s="69" t="s">
        <v>1756</v>
      </c>
      <c r="G331" s="69" t="s">
        <v>140</v>
      </c>
      <c r="H331" s="70">
        <v>2016</v>
      </c>
      <c r="I331" s="69"/>
      <c r="J331" s="69" t="s">
        <v>1761</v>
      </c>
      <c r="K331" s="71" t="s">
        <v>1762</v>
      </c>
      <c r="L331" s="71" t="s">
        <v>1763</v>
      </c>
      <c r="M331" s="71" t="s">
        <v>1764</v>
      </c>
      <c r="N331" s="69" t="s">
        <v>57</v>
      </c>
      <c r="O331" s="64">
        <v>1</v>
      </c>
      <c r="P331" s="72">
        <v>185080000</v>
      </c>
      <c r="Q331" s="69" t="s">
        <v>1765</v>
      </c>
      <c r="R331" s="69"/>
      <c r="S331" s="68" t="s">
        <v>1754</v>
      </c>
      <c r="T331" s="56">
        <v>3</v>
      </c>
      <c r="U331" s="56">
        <v>4</v>
      </c>
    </row>
    <row r="332" spans="1:21" ht="14.25" customHeight="1" thickBot="1" x14ac:dyDescent="0.4">
      <c r="A332" s="58">
        <v>316</v>
      </c>
      <c r="B332" s="69" t="s">
        <v>1745</v>
      </c>
      <c r="C332" s="69" t="s">
        <v>1746</v>
      </c>
      <c r="D332" s="70" t="s">
        <v>101</v>
      </c>
      <c r="E332" s="69" t="s">
        <v>1766</v>
      </c>
      <c r="F332" s="69" t="s">
        <v>1756</v>
      </c>
      <c r="G332" s="69" t="s">
        <v>140</v>
      </c>
      <c r="H332" s="70">
        <v>2017</v>
      </c>
      <c r="I332" s="69" t="s">
        <v>63</v>
      </c>
      <c r="J332" s="69" t="s">
        <v>1767</v>
      </c>
      <c r="K332" s="71" t="s">
        <v>1768</v>
      </c>
      <c r="L332" s="71" t="s">
        <v>1769</v>
      </c>
      <c r="M332" s="71" t="s">
        <v>1770</v>
      </c>
      <c r="N332" s="69" t="s">
        <v>57</v>
      </c>
      <c r="O332" s="64">
        <v>1</v>
      </c>
      <c r="P332" s="72">
        <v>190700000</v>
      </c>
      <c r="Q332" s="69" t="s">
        <v>1771</v>
      </c>
      <c r="R332" s="69"/>
      <c r="S332" s="68" t="s">
        <v>1754</v>
      </c>
      <c r="T332" s="56">
        <v>3</v>
      </c>
      <c r="U332" s="56">
        <v>4</v>
      </c>
    </row>
    <row r="333" spans="1:21" ht="14.25" customHeight="1" x14ac:dyDescent="0.35">
      <c r="A333" s="47">
        <v>317</v>
      </c>
      <c r="B333" s="69" t="s">
        <v>1745</v>
      </c>
      <c r="C333" s="69" t="s">
        <v>1746</v>
      </c>
      <c r="D333" s="70" t="s">
        <v>107</v>
      </c>
      <c r="E333" s="69" t="s">
        <v>1766</v>
      </c>
      <c r="F333" s="69" t="s">
        <v>1756</v>
      </c>
      <c r="G333" s="69" t="s">
        <v>140</v>
      </c>
      <c r="H333" s="70">
        <v>2017</v>
      </c>
      <c r="I333" s="69" t="s">
        <v>63</v>
      </c>
      <c r="J333" s="69" t="s">
        <v>1772</v>
      </c>
      <c r="K333" s="71" t="s">
        <v>1773</v>
      </c>
      <c r="L333" s="71" t="s">
        <v>1774</v>
      </c>
      <c r="M333" s="71" t="s">
        <v>1775</v>
      </c>
      <c r="N333" s="69" t="s">
        <v>57</v>
      </c>
      <c r="O333" s="64">
        <v>1</v>
      </c>
      <c r="P333" s="72">
        <v>190700000</v>
      </c>
      <c r="Q333" s="69" t="s">
        <v>1776</v>
      </c>
      <c r="R333" s="69"/>
      <c r="S333" s="68" t="s">
        <v>1754</v>
      </c>
      <c r="T333" s="56">
        <v>3</v>
      </c>
      <c r="U333" s="56">
        <v>4</v>
      </c>
    </row>
    <row r="334" spans="1:21" ht="14.25" customHeight="1" thickBot="1" x14ac:dyDescent="0.4">
      <c r="A334" s="58">
        <v>318</v>
      </c>
      <c r="B334" s="69" t="s">
        <v>1745</v>
      </c>
      <c r="C334" s="69" t="s">
        <v>1746</v>
      </c>
      <c r="D334" s="70" t="s">
        <v>112</v>
      </c>
      <c r="E334" s="69" t="s">
        <v>1777</v>
      </c>
      <c r="F334" s="69" t="s">
        <v>1756</v>
      </c>
      <c r="G334" s="69" t="s">
        <v>140</v>
      </c>
      <c r="H334" s="70">
        <v>2017</v>
      </c>
      <c r="I334" s="69" t="s">
        <v>63</v>
      </c>
      <c r="J334" s="69" t="s">
        <v>1778</v>
      </c>
      <c r="K334" s="71" t="s">
        <v>1779</v>
      </c>
      <c r="L334" s="71" t="s">
        <v>1780</v>
      </c>
      <c r="M334" s="71" t="s">
        <v>1781</v>
      </c>
      <c r="N334" s="69" t="s">
        <v>57</v>
      </c>
      <c r="O334" s="64">
        <v>1</v>
      </c>
      <c r="P334" s="72">
        <v>190700000</v>
      </c>
      <c r="Q334" s="69" t="s">
        <v>1782</v>
      </c>
      <c r="R334" s="69"/>
      <c r="S334" s="68" t="s">
        <v>1754</v>
      </c>
      <c r="T334" s="56">
        <v>3</v>
      </c>
      <c r="U334" s="56">
        <v>4</v>
      </c>
    </row>
    <row r="335" spans="1:21" ht="14.25" customHeight="1" x14ac:dyDescent="0.35">
      <c r="A335" s="47">
        <v>319</v>
      </c>
      <c r="B335" s="69" t="s">
        <v>1745</v>
      </c>
      <c r="C335" s="69" t="s">
        <v>1746</v>
      </c>
      <c r="D335" s="70" t="s">
        <v>116</v>
      </c>
      <c r="E335" s="69" t="s">
        <v>1783</v>
      </c>
      <c r="F335" s="69" t="s">
        <v>1784</v>
      </c>
      <c r="G335" s="69" t="s">
        <v>140</v>
      </c>
      <c r="H335" s="70">
        <v>2019</v>
      </c>
      <c r="I335" s="69" t="s">
        <v>63</v>
      </c>
      <c r="J335" s="69" t="s">
        <v>1785</v>
      </c>
      <c r="K335" s="71" t="s">
        <v>1786</v>
      </c>
      <c r="L335" s="71" t="s">
        <v>1613</v>
      </c>
      <c r="M335" s="71" t="s">
        <v>1787</v>
      </c>
      <c r="N335" s="69" t="s">
        <v>57</v>
      </c>
      <c r="O335" s="64">
        <v>1</v>
      </c>
      <c r="P335" s="72">
        <v>282880000</v>
      </c>
      <c r="Q335" s="69" t="s">
        <v>1788</v>
      </c>
      <c r="R335" s="69"/>
      <c r="S335" s="68" t="s">
        <v>1754</v>
      </c>
      <c r="T335" s="56">
        <v>3</v>
      </c>
      <c r="U335" s="56">
        <v>4</v>
      </c>
    </row>
    <row r="336" spans="1:21" ht="14.25" customHeight="1" thickBot="1" x14ac:dyDescent="0.4">
      <c r="A336" s="58">
        <v>320</v>
      </c>
      <c r="B336" s="69" t="s">
        <v>1745</v>
      </c>
      <c r="C336" s="69" t="s">
        <v>1746</v>
      </c>
      <c r="D336" s="70" t="s">
        <v>841</v>
      </c>
      <c r="E336" s="69" t="s">
        <v>1747</v>
      </c>
      <c r="F336" s="69" t="s">
        <v>1748</v>
      </c>
      <c r="G336" s="69" t="s">
        <v>140</v>
      </c>
      <c r="H336" s="70">
        <v>2015</v>
      </c>
      <c r="I336" s="69"/>
      <c r="J336" s="69" t="s">
        <v>1789</v>
      </c>
      <c r="K336" s="71" t="s">
        <v>1790</v>
      </c>
      <c r="L336" s="71" t="s">
        <v>1791</v>
      </c>
      <c r="M336" s="71" t="s">
        <v>1792</v>
      </c>
      <c r="N336" s="69" t="s">
        <v>57</v>
      </c>
      <c r="O336" s="64">
        <v>1</v>
      </c>
      <c r="P336" s="72">
        <v>175130000</v>
      </c>
      <c r="Q336" s="69" t="s">
        <v>1793</v>
      </c>
      <c r="R336" s="69"/>
      <c r="S336" s="68" t="s">
        <v>1754</v>
      </c>
      <c r="T336" s="56">
        <v>3</v>
      </c>
      <c r="U336" s="56">
        <v>4</v>
      </c>
    </row>
    <row r="337" spans="1:21" ht="14.25" customHeight="1" x14ac:dyDescent="0.35">
      <c r="A337" s="47">
        <v>321</v>
      </c>
      <c r="B337" s="69" t="s">
        <v>1745</v>
      </c>
      <c r="C337" s="69" t="s">
        <v>1746</v>
      </c>
      <c r="D337" s="70" t="s">
        <v>904</v>
      </c>
      <c r="E337" s="69" t="s">
        <v>1747</v>
      </c>
      <c r="F337" s="69" t="s">
        <v>1748</v>
      </c>
      <c r="G337" s="69" t="s">
        <v>140</v>
      </c>
      <c r="H337" s="70">
        <v>2015</v>
      </c>
      <c r="I337" s="69"/>
      <c r="J337" s="69" t="s">
        <v>1794</v>
      </c>
      <c r="K337" s="71" t="s">
        <v>1795</v>
      </c>
      <c r="L337" s="71" t="s">
        <v>1796</v>
      </c>
      <c r="M337" s="71" t="s">
        <v>1797</v>
      </c>
      <c r="N337" s="69" t="s">
        <v>57</v>
      </c>
      <c r="O337" s="64">
        <v>1</v>
      </c>
      <c r="P337" s="72">
        <v>175130000</v>
      </c>
      <c r="Q337" s="69" t="s">
        <v>1793</v>
      </c>
      <c r="R337" s="69"/>
      <c r="S337" s="68" t="s">
        <v>1754</v>
      </c>
      <c r="T337" s="56">
        <v>3</v>
      </c>
      <c r="U337" s="56">
        <v>4</v>
      </c>
    </row>
    <row r="338" spans="1:21" ht="14.25" customHeight="1" thickBot="1" x14ac:dyDescent="0.4">
      <c r="A338" s="58">
        <v>322</v>
      </c>
      <c r="B338" s="69" t="s">
        <v>1745</v>
      </c>
      <c r="C338" s="69" t="s">
        <v>1746</v>
      </c>
      <c r="D338" s="70" t="s">
        <v>122</v>
      </c>
      <c r="E338" s="69" t="s">
        <v>1766</v>
      </c>
      <c r="F338" s="69" t="s">
        <v>1756</v>
      </c>
      <c r="G338" s="69" t="s">
        <v>140</v>
      </c>
      <c r="H338" s="70">
        <v>2017</v>
      </c>
      <c r="I338" s="69" t="s">
        <v>63</v>
      </c>
      <c r="J338" s="69" t="s">
        <v>1798</v>
      </c>
      <c r="K338" s="71" t="s">
        <v>1799</v>
      </c>
      <c r="L338" s="71" t="s">
        <v>1800</v>
      </c>
      <c r="M338" s="71" t="s">
        <v>1801</v>
      </c>
      <c r="N338" s="69" t="s">
        <v>57</v>
      </c>
      <c r="O338" s="64">
        <v>1</v>
      </c>
      <c r="P338" s="72">
        <v>190700000</v>
      </c>
      <c r="Q338" s="69" t="s">
        <v>1793</v>
      </c>
      <c r="R338" s="69"/>
      <c r="S338" s="68" t="s">
        <v>1754</v>
      </c>
      <c r="T338" s="56">
        <v>3</v>
      </c>
      <c r="U338" s="56">
        <v>4</v>
      </c>
    </row>
    <row r="339" spans="1:21" ht="14.25" customHeight="1" x14ac:dyDescent="0.35">
      <c r="A339" s="47">
        <v>323</v>
      </c>
      <c r="B339" s="69" t="s">
        <v>1745</v>
      </c>
      <c r="C339" s="69" t="s">
        <v>1746</v>
      </c>
      <c r="D339" s="70" t="s">
        <v>126</v>
      </c>
      <c r="E339" s="69" t="s">
        <v>1766</v>
      </c>
      <c r="F339" s="69" t="s">
        <v>1756</v>
      </c>
      <c r="G339" s="69" t="s">
        <v>140</v>
      </c>
      <c r="H339" s="70">
        <v>2017</v>
      </c>
      <c r="I339" s="69" t="s">
        <v>63</v>
      </c>
      <c r="J339" s="69" t="s">
        <v>1802</v>
      </c>
      <c r="K339" s="71" t="s">
        <v>1803</v>
      </c>
      <c r="L339" s="71" t="s">
        <v>1804</v>
      </c>
      <c r="M339" s="71" t="s">
        <v>1805</v>
      </c>
      <c r="N339" s="69" t="s">
        <v>57</v>
      </c>
      <c r="O339" s="64">
        <v>1</v>
      </c>
      <c r="P339" s="72">
        <v>190700000</v>
      </c>
      <c r="Q339" s="69" t="s">
        <v>1793</v>
      </c>
      <c r="R339" s="69"/>
      <c r="S339" s="68" t="s">
        <v>1754</v>
      </c>
      <c r="T339" s="56">
        <v>3</v>
      </c>
      <c r="U339" s="56">
        <v>4</v>
      </c>
    </row>
    <row r="340" spans="1:21" ht="14.25" customHeight="1" thickBot="1" x14ac:dyDescent="0.4">
      <c r="A340" s="58">
        <v>324</v>
      </c>
      <c r="B340" s="69" t="s">
        <v>1806</v>
      </c>
      <c r="C340" s="69" t="s">
        <v>1807</v>
      </c>
      <c r="D340" s="70" t="s">
        <v>51</v>
      </c>
      <c r="E340" s="69" t="s">
        <v>1808</v>
      </c>
      <c r="F340" s="69" t="s">
        <v>1809</v>
      </c>
      <c r="G340" s="69" t="s">
        <v>54</v>
      </c>
      <c r="H340" s="70">
        <v>2013</v>
      </c>
      <c r="I340" s="69" t="s">
        <v>63</v>
      </c>
      <c r="J340" s="69" t="s">
        <v>1810</v>
      </c>
      <c r="K340" s="71" t="s">
        <v>1811</v>
      </c>
      <c r="L340" s="71" t="s">
        <v>1812</v>
      </c>
      <c r="M340" s="71" t="s">
        <v>1813</v>
      </c>
      <c r="N340" s="69" t="s">
        <v>57</v>
      </c>
      <c r="O340" s="64">
        <v>1</v>
      </c>
      <c r="P340" s="72">
        <v>178200000</v>
      </c>
      <c r="Q340" s="69" t="s">
        <v>1814</v>
      </c>
      <c r="R340" s="69"/>
      <c r="S340" s="68" t="s">
        <v>1754</v>
      </c>
      <c r="T340" s="56">
        <v>3</v>
      </c>
      <c r="U340" s="56">
        <v>4</v>
      </c>
    </row>
    <row r="341" spans="1:21" ht="14.25" customHeight="1" x14ac:dyDescent="0.35">
      <c r="A341" s="47">
        <v>325</v>
      </c>
      <c r="B341" s="69" t="s">
        <v>1806</v>
      </c>
      <c r="C341" s="69" t="s">
        <v>1807</v>
      </c>
      <c r="D341" s="70" t="s">
        <v>59</v>
      </c>
      <c r="E341" s="69" t="s">
        <v>1815</v>
      </c>
      <c r="F341" s="69" t="s">
        <v>1748</v>
      </c>
      <c r="G341" s="69" t="s">
        <v>140</v>
      </c>
      <c r="H341" s="70">
        <v>2014</v>
      </c>
      <c r="I341" s="69"/>
      <c r="J341" s="69" t="s">
        <v>1816</v>
      </c>
      <c r="K341" s="71" t="s">
        <v>1817</v>
      </c>
      <c r="L341" s="71" t="s">
        <v>1818</v>
      </c>
      <c r="M341" s="71" t="s">
        <v>1819</v>
      </c>
      <c r="N341" s="69" t="s">
        <v>57</v>
      </c>
      <c r="O341" s="64">
        <v>1</v>
      </c>
      <c r="P341" s="72">
        <v>190070000</v>
      </c>
      <c r="Q341" s="69" t="s">
        <v>1820</v>
      </c>
      <c r="R341" s="69"/>
      <c r="S341" s="68" t="s">
        <v>1754</v>
      </c>
      <c r="T341" s="56">
        <v>3</v>
      </c>
      <c r="U341" s="56">
        <v>4</v>
      </c>
    </row>
    <row r="342" spans="1:21" ht="14.25" customHeight="1" thickBot="1" x14ac:dyDescent="0.4">
      <c r="A342" s="58">
        <v>326</v>
      </c>
      <c r="B342" s="69" t="s">
        <v>1806</v>
      </c>
      <c r="C342" s="69" t="s">
        <v>1807</v>
      </c>
      <c r="D342" s="70" t="s">
        <v>97</v>
      </c>
      <c r="E342" s="69" t="s">
        <v>1815</v>
      </c>
      <c r="F342" s="69" t="s">
        <v>1748</v>
      </c>
      <c r="G342" s="69" t="s">
        <v>140</v>
      </c>
      <c r="H342" s="70">
        <v>2014</v>
      </c>
      <c r="I342" s="69"/>
      <c r="J342" s="69" t="s">
        <v>1821</v>
      </c>
      <c r="K342" s="71" t="s">
        <v>1822</v>
      </c>
      <c r="L342" s="71" t="s">
        <v>1823</v>
      </c>
      <c r="M342" s="71" t="s">
        <v>1824</v>
      </c>
      <c r="N342" s="69" t="s">
        <v>57</v>
      </c>
      <c r="O342" s="64">
        <v>1</v>
      </c>
      <c r="P342" s="72">
        <v>190070000</v>
      </c>
      <c r="Q342" s="69" t="s">
        <v>1825</v>
      </c>
      <c r="R342" s="69"/>
      <c r="S342" s="68" t="s">
        <v>1754</v>
      </c>
      <c r="T342" s="56">
        <v>3</v>
      </c>
      <c r="U342" s="56">
        <v>4</v>
      </c>
    </row>
    <row r="343" spans="1:21" ht="14.25" customHeight="1" x14ac:dyDescent="0.35">
      <c r="A343" s="47">
        <v>327</v>
      </c>
      <c r="B343" s="69" t="s">
        <v>1806</v>
      </c>
      <c r="C343" s="69" t="s">
        <v>1807</v>
      </c>
      <c r="D343" s="70" t="s">
        <v>101</v>
      </c>
      <c r="E343" s="69" t="s">
        <v>1815</v>
      </c>
      <c r="F343" s="69" t="s">
        <v>1748</v>
      </c>
      <c r="G343" s="69" t="s">
        <v>140</v>
      </c>
      <c r="H343" s="70">
        <v>2014</v>
      </c>
      <c r="I343" s="69"/>
      <c r="J343" s="69" t="s">
        <v>1826</v>
      </c>
      <c r="K343" s="71" t="s">
        <v>1827</v>
      </c>
      <c r="L343" s="71" t="s">
        <v>1828</v>
      </c>
      <c r="M343" s="71" t="s">
        <v>1829</v>
      </c>
      <c r="N343" s="69" t="s">
        <v>57</v>
      </c>
      <c r="O343" s="64">
        <v>1</v>
      </c>
      <c r="P343" s="72">
        <v>190070000</v>
      </c>
      <c r="Q343" s="69" t="s">
        <v>1754</v>
      </c>
      <c r="R343" s="69"/>
      <c r="S343" s="68" t="s">
        <v>1754</v>
      </c>
      <c r="T343" s="56">
        <v>3</v>
      </c>
      <c r="U343" s="56">
        <v>4</v>
      </c>
    </row>
    <row r="344" spans="1:21" ht="14.25" customHeight="1" thickBot="1" x14ac:dyDescent="0.4">
      <c r="A344" s="58">
        <v>328</v>
      </c>
      <c r="B344" s="69" t="s">
        <v>1806</v>
      </c>
      <c r="C344" s="69" t="s">
        <v>1807</v>
      </c>
      <c r="D344" s="70" t="s">
        <v>107</v>
      </c>
      <c r="E344" s="69" t="s">
        <v>1830</v>
      </c>
      <c r="F344" s="69" t="s">
        <v>1831</v>
      </c>
      <c r="G344" s="69" t="s">
        <v>54</v>
      </c>
      <c r="H344" s="70">
        <v>2011</v>
      </c>
      <c r="I344" s="69" t="s">
        <v>63</v>
      </c>
      <c r="J344" s="69" t="s">
        <v>1832</v>
      </c>
      <c r="K344" s="71" t="s">
        <v>1833</v>
      </c>
      <c r="L344" s="71" t="s">
        <v>1834</v>
      </c>
      <c r="M344" s="71" t="s">
        <v>1835</v>
      </c>
      <c r="N344" s="69" t="s">
        <v>57</v>
      </c>
      <c r="O344" s="64">
        <v>1</v>
      </c>
      <c r="P344" s="72">
        <v>314183875</v>
      </c>
      <c r="Q344" s="69" t="s">
        <v>1836</v>
      </c>
      <c r="R344" s="69"/>
      <c r="S344" s="68" t="s">
        <v>1754</v>
      </c>
      <c r="T344" s="56">
        <v>3</v>
      </c>
      <c r="U344" s="56">
        <v>4</v>
      </c>
    </row>
    <row r="345" spans="1:21" ht="14.25" customHeight="1" x14ac:dyDescent="0.35">
      <c r="A345" s="47">
        <v>329</v>
      </c>
      <c r="B345" s="69" t="s">
        <v>1806</v>
      </c>
      <c r="C345" s="69" t="s">
        <v>1807</v>
      </c>
      <c r="D345" s="70" t="s">
        <v>112</v>
      </c>
      <c r="E345" s="69" t="s">
        <v>1830</v>
      </c>
      <c r="F345" s="69" t="s">
        <v>1831</v>
      </c>
      <c r="G345" s="69" t="s">
        <v>54</v>
      </c>
      <c r="H345" s="70">
        <v>2011</v>
      </c>
      <c r="I345" s="69" t="s">
        <v>63</v>
      </c>
      <c r="J345" s="69" t="s">
        <v>1837</v>
      </c>
      <c r="K345" s="71" t="s">
        <v>1838</v>
      </c>
      <c r="L345" s="71" t="s">
        <v>1839</v>
      </c>
      <c r="M345" s="71" t="s">
        <v>1840</v>
      </c>
      <c r="N345" s="69" t="s">
        <v>57</v>
      </c>
      <c r="O345" s="64">
        <v>1</v>
      </c>
      <c r="P345" s="72">
        <v>314183875</v>
      </c>
      <c r="Q345" s="69" t="s">
        <v>1841</v>
      </c>
      <c r="R345" s="69"/>
      <c r="S345" s="68" t="s">
        <v>1754</v>
      </c>
      <c r="T345" s="56">
        <v>3</v>
      </c>
      <c r="U345" s="56">
        <v>4</v>
      </c>
    </row>
    <row r="346" spans="1:21" ht="14.25" customHeight="1" thickBot="1" x14ac:dyDescent="0.4">
      <c r="A346" s="58">
        <v>330</v>
      </c>
      <c r="B346" s="69" t="s">
        <v>79</v>
      </c>
      <c r="C346" s="69" t="s">
        <v>80</v>
      </c>
      <c r="D346" s="70" t="s">
        <v>59</v>
      </c>
      <c r="E346" s="69" t="s">
        <v>230</v>
      </c>
      <c r="F346" s="69" t="s">
        <v>483</v>
      </c>
      <c r="G346" s="69" t="s">
        <v>54</v>
      </c>
      <c r="H346" s="70">
        <v>2013</v>
      </c>
      <c r="I346" s="69" t="s">
        <v>63</v>
      </c>
      <c r="J346" s="69" t="s">
        <v>1842</v>
      </c>
      <c r="K346" s="71" t="s">
        <v>1843</v>
      </c>
      <c r="L346" s="71" t="s">
        <v>1844</v>
      </c>
      <c r="M346" s="71" t="s">
        <v>1845</v>
      </c>
      <c r="N346" s="69" t="s">
        <v>57</v>
      </c>
      <c r="O346" s="64">
        <v>1</v>
      </c>
      <c r="P346" s="72">
        <v>18381100</v>
      </c>
      <c r="Q346" s="69" t="s">
        <v>1846</v>
      </c>
      <c r="R346" s="69"/>
      <c r="S346" s="68" t="s">
        <v>1754</v>
      </c>
      <c r="T346" s="56">
        <v>3</v>
      </c>
      <c r="U346" s="56">
        <v>3</v>
      </c>
    </row>
    <row r="347" spans="1:21" ht="14.25" customHeight="1" x14ac:dyDescent="0.35">
      <c r="A347" s="47">
        <v>331</v>
      </c>
      <c r="B347" s="69" t="s">
        <v>79</v>
      </c>
      <c r="C347" s="69" t="s">
        <v>80</v>
      </c>
      <c r="D347" s="70" t="s">
        <v>97</v>
      </c>
      <c r="E347" s="69" t="s">
        <v>1847</v>
      </c>
      <c r="F347" s="69" t="s">
        <v>171</v>
      </c>
      <c r="G347" s="69" t="s">
        <v>54</v>
      </c>
      <c r="H347" s="70">
        <v>2008</v>
      </c>
      <c r="I347" s="69" t="s">
        <v>63</v>
      </c>
      <c r="J347" s="69" t="s">
        <v>1848</v>
      </c>
      <c r="K347" s="71" t="s">
        <v>1849</v>
      </c>
      <c r="L347" s="71" t="s">
        <v>1850</v>
      </c>
      <c r="M347" s="71" t="s">
        <v>1851</v>
      </c>
      <c r="N347" s="69" t="s">
        <v>57</v>
      </c>
      <c r="O347" s="64">
        <v>1</v>
      </c>
      <c r="P347" s="72">
        <v>15000000</v>
      </c>
      <c r="Q347" s="69" t="s">
        <v>1852</v>
      </c>
      <c r="R347" s="69"/>
      <c r="S347" s="68" t="s">
        <v>1754</v>
      </c>
      <c r="T347" s="56">
        <v>3</v>
      </c>
      <c r="U347" s="56">
        <v>3</v>
      </c>
    </row>
    <row r="348" spans="1:21" ht="14.25" customHeight="1" thickBot="1" x14ac:dyDescent="0.4">
      <c r="A348" s="58">
        <v>332</v>
      </c>
      <c r="B348" s="69" t="s">
        <v>79</v>
      </c>
      <c r="C348" s="69" t="s">
        <v>80</v>
      </c>
      <c r="D348" s="70" t="s">
        <v>101</v>
      </c>
      <c r="E348" s="69" t="s">
        <v>1853</v>
      </c>
      <c r="F348" s="69" t="s">
        <v>1854</v>
      </c>
      <c r="G348" s="69" t="s">
        <v>140</v>
      </c>
      <c r="H348" s="70">
        <v>2011</v>
      </c>
      <c r="I348" s="69"/>
      <c r="J348" s="69" t="s">
        <v>1855</v>
      </c>
      <c r="K348" s="71" t="s">
        <v>1856</v>
      </c>
      <c r="L348" s="71" t="s">
        <v>1857</v>
      </c>
      <c r="M348" s="71" t="s">
        <v>1858</v>
      </c>
      <c r="N348" s="69" t="s">
        <v>57</v>
      </c>
      <c r="O348" s="64">
        <v>1</v>
      </c>
      <c r="P348" s="72">
        <v>16584000</v>
      </c>
      <c r="Q348" s="69" t="s">
        <v>1859</v>
      </c>
      <c r="R348" s="69"/>
      <c r="S348" s="68" t="s">
        <v>1754</v>
      </c>
      <c r="T348" s="56">
        <v>3</v>
      </c>
      <c r="U348" s="56">
        <v>3</v>
      </c>
    </row>
    <row r="349" spans="1:21" ht="14.25" customHeight="1" x14ac:dyDescent="0.35">
      <c r="A349" s="47">
        <v>333</v>
      </c>
      <c r="B349" s="69" t="s">
        <v>79</v>
      </c>
      <c r="C349" s="69" t="s">
        <v>80</v>
      </c>
      <c r="D349" s="70" t="s">
        <v>107</v>
      </c>
      <c r="E349" s="69" t="s">
        <v>1860</v>
      </c>
      <c r="F349" s="69" t="s">
        <v>202</v>
      </c>
      <c r="G349" s="69" t="s">
        <v>54</v>
      </c>
      <c r="H349" s="70">
        <v>2012</v>
      </c>
      <c r="I349" s="69"/>
      <c r="J349" s="69" t="s">
        <v>1861</v>
      </c>
      <c r="K349" s="71" t="s">
        <v>1862</v>
      </c>
      <c r="L349" s="71" t="s">
        <v>1863</v>
      </c>
      <c r="M349" s="71" t="s">
        <v>1864</v>
      </c>
      <c r="N349" s="69" t="s">
        <v>57</v>
      </c>
      <c r="O349" s="64">
        <v>1</v>
      </c>
      <c r="P349" s="72">
        <v>13177550</v>
      </c>
      <c r="Q349" s="69" t="s">
        <v>1852</v>
      </c>
      <c r="R349" s="69"/>
      <c r="S349" s="68" t="s">
        <v>1754</v>
      </c>
      <c r="T349" s="56">
        <v>3</v>
      </c>
      <c r="U349" s="56">
        <v>3</v>
      </c>
    </row>
    <row r="350" spans="1:21" ht="14.25" customHeight="1" thickBot="1" x14ac:dyDescent="0.4">
      <c r="A350" s="58">
        <v>334</v>
      </c>
      <c r="B350" s="69" t="s">
        <v>79</v>
      </c>
      <c r="C350" s="69" t="s">
        <v>80</v>
      </c>
      <c r="D350" s="70" t="s">
        <v>112</v>
      </c>
      <c r="E350" s="69" t="s">
        <v>1860</v>
      </c>
      <c r="F350" s="69" t="s">
        <v>202</v>
      </c>
      <c r="G350" s="69" t="s">
        <v>54</v>
      </c>
      <c r="H350" s="70">
        <v>2012</v>
      </c>
      <c r="I350" s="69"/>
      <c r="J350" s="69" t="s">
        <v>1865</v>
      </c>
      <c r="K350" s="71" t="s">
        <v>1866</v>
      </c>
      <c r="L350" s="71" t="s">
        <v>1867</v>
      </c>
      <c r="M350" s="71" t="s">
        <v>1868</v>
      </c>
      <c r="N350" s="69" t="s">
        <v>57</v>
      </c>
      <c r="O350" s="64">
        <v>1</v>
      </c>
      <c r="P350" s="72">
        <v>13177550</v>
      </c>
      <c r="Q350" s="69"/>
      <c r="R350" s="69"/>
      <c r="S350" s="68" t="s">
        <v>1754</v>
      </c>
      <c r="T350" s="56">
        <v>3</v>
      </c>
      <c r="U350" s="56">
        <v>3</v>
      </c>
    </row>
    <row r="351" spans="1:21" ht="14.25" customHeight="1" x14ac:dyDescent="0.35">
      <c r="A351" s="47">
        <v>335</v>
      </c>
      <c r="B351" s="69" t="s">
        <v>79</v>
      </c>
      <c r="C351" s="69" t="s">
        <v>80</v>
      </c>
      <c r="D351" s="70" t="s">
        <v>116</v>
      </c>
      <c r="E351" s="69" t="s">
        <v>1860</v>
      </c>
      <c r="F351" s="69" t="s">
        <v>202</v>
      </c>
      <c r="G351" s="69" t="s">
        <v>54</v>
      </c>
      <c r="H351" s="70">
        <v>2012</v>
      </c>
      <c r="I351" s="69"/>
      <c r="J351" s="69" t="s">
        <v>1869</v>
      </c>
      <c r="K351" s="71" t="s">
        <v>1870</v>
      </c>
      <c r="L351" s="71" t="s">
        <v>1871</v>
      </c>
      <c r="M351" s="71" t="s">
        <v>1872</v>
      </c>
      <c r="N351" s="69" t="s">
        <v>57</v>
      </c>
      <c r="O351" s="64">
        <v>1</v>
      </c>
      <c r="P351" s="72">
        <v>13177550</v>
      </c>
      <c r="Q351" s="69" t="s">
        <v>1873</v>
      </c>
      <c r="R351" s="69"/>
      <c r="S351" s="68" t="s">
        <v>1754</v>
      </c>
      <c r="T351" s="56">
        <v>3</v>
      </c>
      <c r="U351" s="56">
        <v>3</v>
      </c>
    </row>
    <row r="352" spans="1:21" ht="14.25" customHeight="1" thickBot="1" x14ac:dyDescent="0.4">
      <c r="A352" s="58">
        <v>336</v>
      </c>
      <c r="B352" s="69" t="s">
        <v>79</v>
      </c>
      <c r="C352" s="69" t="s">
        <v>80</v>
      </c>
      <c r="D352" s="70" t="s">
        <v>841</v>
      </c>
      <c r="E352" s="69" t="s">
        <v>1860</v>
      </c>
      <c r="F352" s="69" t="s">
        <v>202</v>
      </c>
      <c r="G352" s="69" t="s">
        <v>54</v>
      </c>
      <c r="H352" s="70">
        <v>2012</v>
      </c>
      <c r="I352" s="69"/>
      <c r="J352" s="69" t="s">
        <v>1874</v>
      </c>
      <c r="K352" s="71" t="s">
        <v>1875</v>
      </c>
      <c r="L352" s="71" t="s">
        <v>1876</v>
      </c>
      <c r="M352" s="71" t="s">
        <v>1877</v>
      </c>
      <c r="N352" s="69" t="s">
        <v>57</v>
      </c>
      <c r="O352" s="64">
        <v>1</v>
      </c>
      <c r="P352" s="72">
        <v>13177550</v>
      </c>
      <c r="Q352" s="69" t="s">
        <v>1878</v>
      </c>
      <c r="R352" s="69"/>
      <c r="S352" s="68" t="s">
        <v>1754</v>
      </c>
      <c r="T352" s="56">
        <v>3</v>
      </c>
      <c r="U352" s="56">
        <v>3</v>
      </c>
    </row>
    <row r="353" spans="1:21" ht="14.25" customHeight="1" x14ac:dyDescent="0.35">
      <c r="A353" s="47">
        <v>337</v>
      </c>
      <c r="B353" s="69" t="s">
        <v>79</v>
      </c>
      <c r="C353" s="69" t="s">
        <v>80</v>
      </c>
      <c r="D353" s="70" t="s">
        <v>904</v>
      </c>
      <c r="E353" s="69" t="s">
        <v>1860</v>
      </c>
      <c r="F353" s="69" t="s">
        <v>202</v>
      </c>
      <c r="G353" s="69" t="s">
        <v>54</v>
      </c>
      <c r="H353" s="70">
        <v>2012</v>
      </c>
      <c r="I353" s="69"/>
      <c r="J353" s="69" t="s">
        <v>1879</v>
      </c>
      <c r="K353" s="71" t="s">
        <v>1880</v>
      </c>
      <c r="L353" s="71" t="s">
        <v>1881</v>
      </c>
      <c r="M353" s="71" t="s">
        <v>1882</v>
      </c>
      <c r="N353" s="69" t="s">
        <v>57</v>
      </c>
      <c r="O353" s="64">
        <v>1</v>
      </c>
      <c r="P353" s="72">
        <v>13177550</v>
      </c>
      <c r="Q353" s="69" t="s">
        <v>1873</v>
      </c>
      <c r="R353" s="69"/>
      <c r="S353" s="68" t="s">
        <v>1754</v>
      </c>
      <c r="T353" s="56">
        <v>3</v>
      </c>
      <c r="U353" s="56">
        <v>3</v>
      </c>
    </row>
    <row r="354" spans="1:21" ht="14.25" customHeight="1" thickBot="1" x14ac:dyDescent="0.4">
      <c r="A354" s="58">
        <v>338</v>
      </c>
      <c r="B354" s="69" t="s">
        <v>79</v>
      </c>
      <c r="C354" s="69" t="s">
        <v>80</v>
      </c>
      <c r="D354" s="70" t="s">
        <v>122</v>
      </c>
      <c r="E354" s="69" t="s">
        <v>1860</v>
      </c>
      <c r="F354" s="69" t="s">
        <v>202</v>
      </c>
      <c r="G354" s="69" t="s">
        <v>54</v>
      </c>
      <c r="H354" s="70">
        <v>2012</v>
      </c>
      <c r="I354" s="69"/>
      <c r="J354" s="69" t="s">
        <v>1883</v>
      </c>
      <c r="K354" s="71" t="s">
        <v>1884</v>
      </c>
      <c r="L354" s="71" t="s">
        <v>1885</v>
      </c>
      <c r="M354" s="71" t="s">
        <v>1886</v>
      </c>
      <c r="N354" s="69" t="s">
        <v>57</v>
      </c>
      <c r="O354" s="64">
        <v>1</v>
      </c>
      <c r="P354" s="72">
        <v>13177550</v>
      </c>
      <c r="Q354" s="69" t="s">
        <v>1887</v>
      </c>
      <c r="R354" s="69"/>
      <c r="S354" s="68" t="s">
        <v>1754</v>
      </c>
      <c r="T354" s="56">
        <v>3</v>
      </c>
      <c r="U354" s="56">
        <v>3</v>
      </c>
    </row>
    <row r="355" spans="1:21" ht="14.25" customHeight="1" x14ac:dyDescent="0.35">
      <c r="A355" s="47">
        <v>339</v>
      </c>
      <c r="B355" s="69" t="s">
        <v>79</v>
      </c>
      <c r="C355" s="69" t="s">
        <v>80</v>
      </c>
      <c r="D355" s="70" t="s">
        <v>126</v>
      </c>
      <c r="E355" s="69" t="s">
        <v>1888</v>
      </c>
      <c r="F355" s="69" t="s">
        <v>246</v>
      </c>
      <c r="G355" s="69" t="s">
        <v>54</v>
      </c>
      <c r="H355" s="70">
        <v>2013</v>
      </c>
      <c r="I355" s="69" t="s">
        <v>63</v>
      </c>
      <c r="J355" s="69" t="s">
        <v>1889</v>
      </c>
      <c r="K355" s="71" t="s">
        <v>1890</v>
      </c>
      <c r="L355" s="71" t="s">
        <v>1891</v>
      </c>
      <c r="M355" s="71" t="s">
        <v>1892</v>
      </c>
      <c r="N355" s="69" t="s">
        <v>57</v>
      </c>
      <c r="O355" s="64">
        <v>1</v>
      </c>
      <c r="P355" s="72">
        <v>14108500</v>
      </c>
      <c r="Q355" s="69" t="s">
        <v>1893</v>
      </c>
      <c r="R355" s="69"/>
      <c r="S355" s="68" t="s">
        <v>1754</v>
      </c>
      <c r="T355" s="56">
        <v>3</v>
      </c>
      <c r="U355" s="56">
        <v>3</v>
      </c>
    </row>
    <row r="356" spans="1:21" ht="14.25" customHeight="1" thickBot="1" x14ac:dyDescent="0.4">
      <c r="A356" s="58">
        <v>340</v>
      </c>
      <c r="B356" s="69" t="s">
        <v>79</v>
      </c>
      <c r="C356" s="69" t="s">
        <v>80</v>
      </c>
      <c r="D356" s="70" t="s">
        <v>132</v>
      </c>
      <c r="E356" s="69" t="s">
        <v>1383</v>
      </c>
      <c r="F356" s="69" t="s">
        <v>1894</v>
      </c>
      <c r="G356" s="69" t="s">
        <v>140</v>
      </c>
      <c r="H356" s="70">
        <v>2015</v>
      </c>
      <c r="I356" s="69"/>
      <c r="J356" s="69" t="s">
        <v>1895</v>
      </c>
      <c r="K356" s="71" t="s">
        <v>1896</v>
      </c>
      <c r="L356" s="71" t="s">
        <v>1897</v>
      </c>
      <c r="M356" s="71" t="s">
        <v>1898</v>
      </c>
      <c r="N356" s="69" t="s">
        <v>57</v>
      </c>
      <c r="O356" s="64">
        <v>1</v>
      </c>
      <c r="P356" s="72">
        <v>14962333</v>
      </c>
      <c r="Q356" s="69" t="s">
        <v>1899</v>
      </c>
      <c r="R356" s="69"/>
      <c r="S356" s="68" t="s">
        <v>1754</v>
      </c>
      <c r="T356" s="56">
        <v>3</v>
      </c>
      <c r="U356" s="56">
        <v>3</v>
      </c>
    </row>
    <row r="357" spans="1:21" ht="14.25" customHeight="1" x14ac:dyDescent="0.35">
      <c r="A357" s="47">
        <v>341</v>
      </c>
      <c r="B357" s="69" t="s">
        <v>79</v>
      </c>
      <c r="C357" s="69" t="s">
        <v>80</v>
      </c>
      <c r="D357" s="70" t="s">
        <v>137</v>
      </c>
      <c r="E357" s="69" t="s">
        <v>1383</v>
      </c>
      <c r="F357" s="69" t="s">
        <v>1894</v>
      </c>
      <c r="G357" s="69" t="s">
        <v>140</v>
      </c>
      <c r="H357" s="70">
        <v>2015</v>
      </c>
      <c r="I357" s="69"/>
      <c r="J357" s="69" t="s">
        <v>1900</v>
      </c>
      <c r="K357" s="71" t="s">
        <v>1901</v>
      </c>
      <c r="L357" s="71" t="s">
        <v>1902</v>
      </c>
      <c r="M357" s="71" t="s">
        <v>1903</v>
      </c>
      <c r="N357" s="69" t="s">
        <v>57</v>
      </c>
      <c r="O357" s="64">
        <v>1</v>
      </c>
      <c r="P357" s="72">
        <v>14962333</v>
      </c>
      <c r="Q357" s="69" t="s">
        <v>1904</v>
      </c>
      <c r="R357" s="69"/>
      <c r="S357" s="68" t="s">
        <v>1754</v>
      </c>
      <c r="T357" s="56">
        <v>3</v>
      </c>
      <c r="U357" s="56">
        <v>3</v>
      </c>
    </row>
    <row r="358" spans="1:21" ht="14.25" customHeight="1" thickBot="1" x14ac:dyDescent="0.4">
      <c r="A358" s="58">
        <v>342</v>
      </c>
      <c r="B358" s="69" t="s">
        <v>79</v>
      </c>
      <c r="C358" s="69" t="s">
        <v>80</v>
      </c>
      <c r="D358" s="70" t="s">
        <v>146</v>
      </c>
      <c r="E358" s="69" t="s">
        <v>1905</v>
      </c>
      <c r="F358" s="69" t="s">
        <v>1906</v>
      </c>
      <c r="G358" s="69" t="s">
        <v>1907</v>
      </c>
      <c r="H358" s="70">
        <v>2005</v>
      </c>
      <c r="I358" s="69" t="s">
        <v>63</v>
      </c>
      <c r="J358" s="69" t="s">
        <v>1908</v>
      </c>
      <c r="K358" s="71" t="s">
        <v>1909</v>
      </c>
      <c r="L358" s="71" t="s">
        <v>1910</v>
      </c>
      <c r="M358" s="71" t="s">
        <v>1911</v>
      </c>
      <c r="N358" s="69" t="s">
        <v>57</v>
      </c>
      <c r="O358" s="64">
        <v>1</v>
      </c>
      <c r="P358" s="72">
        <v>15500000</v>
      </c>
      <c r="Q358" s="69"/>
      <c r="R358" s="69"/>
      <c r="S358" s="68" t="s">
        <v>1754</v>
      </c>
      <c r="T358" s="56">
        <v>3</v>
      </c>
      <c r="U358" s="56">
        <v>3</v>
      </c>
    </row>
    <row r="359" spans="1:21" ht="14.25" customHeight="1" x14ac:dyDescent="0.35">
      <c r="A359" s="47">
        <v>343</v>
      </c>
      <c r="B359" s="69" t="s">
        <v>1553</v>
      </c>
      <c r="C359" s="69" t="s">
        <v>1554</v>
      </c>
      <c r="D359" s="70" t="s">
        <v>101</v>
      </c>
      <c r="E359" s="69" t="s">
        <v>1912</v>
      </c>
      <c r="F359" s="69" t="s">
        <v>1652</v>
      </c>
      <c r="G359" s="69" t="s">
        <v>1913</v>
      </c>
      <c r="H359" s="70">
        <v>2015</v>
      </c>
      <c r="I359" s="69"/>
      <c r="J359" s="69" t="s">
        <v>1914</v>
      </c>
      <c r="K359" s="71" t="s">
        <v>1915</v>
      </c>
      <c r="L359" s="71" t="s">
        <v>1916</v>
      </c>
      <c r="M359" s="71" t="s">
        <v>1917</v>
      </c>
      <c r="N359" s="69" t="s">
        <v>57</v>
      </c>
      <c r="O359" s="64">
        <v>1</v>
      </c>
      <c r="P359" s="72">
        <v>346470000</v>
      </c>
      <c r="Q359" s="69"/>
      <c r="R359" s="69"/>
      <c r="S359" s="68" t="s">
        <v>1754</v>
      </c>
      <c r="T359" s="56">
        <v>3</v>
      </c>
      <c r="U359" s="56">
        <v>4</v>
      </c>
    </row>
    <row r="360" spans="1:21" ht="14.25" customHeight="1" thickBot="1" x14ac:dyDescent="0.4">
      <c r="A360" s="58">
        <v>344</v>
      </c>
      <c r="B360" s="69" t="s">
        <v>1553</v>
      </c>
      <c r="C360" s="69" t="s">
        <v>1554</v>
      </c>
      <c r="D360" s="70" t="s">
        <v>107</v>
      </c>
      <c r="E360" s="69" t="s">
        <v>1912</v>
      </c>
      <c r="F360" s="69" t="s">
        <v>1652</v>
      </c>
      <c r="G360" s="69" t="s">
        <v>1913</v>
      </c>
      <c r="H360" s="70">
        <v>2015</v>
      </c>
      <c r="I360" s="69"/>
      <c r="J360" s="69" t="s">
        <v>1918</v>
      </c>
      <c r="K360" s="71" t="s">
        <v>1919</v>
      </c>
      <c r="L360" s="71" t="s">
        <v>1920</v>
      </c>
      <c r="M360" s="71" t="s">
        <v>1921</v>
      </c>
      <c r="N360" s="69" t="s">
        <v>57</v>
      </c>
      <c r="O360" s="64">
        <v>1</v>
      </c>
      <c r="P360" s="72">
        <v>346470000</v>
      </c>
      <c r="Q360" s="69"/>
      <c r="R360" s="69"/>
      <c r="S360" s="68" t="s">
        <v>1754</v>
      </c>
      <c r="T360" s="56">
        <v>3</v>
      </c>
      <c r="U360" s="56">
        <v>4</v>
      </c>
    </row>
    <row r="361" spans="1:21" ht="14.25" customHeight="1" x14ac:dyDescent="0.35">
      <c r="A361" s="47">
        <v>345</v>
      </c>
      <c r="B361" s="69" t="s">
        <v>1553</v>
      </c>
      <c r="C361" s="69" t="s">
        <v>1554</v>
      </c>
      <c r="D361" s="70" t="s">
        <v>112</v>
      </c>
      <c r="E361" s="69" t="s">
        <v>1922</v>
      </c>
      <c r="F361" s="69" t="s">
        <v>1923</v>
      </c>
      <c r="G361" s="69" t="s">
        <v>54</v>
      </c>
      <c r="H361" s="70">
        <v>2018</v>
      </c>
      <c r="I361" s="69" t="s">
        <v>63</v>
      </c>
      <c r="J361" s="69" t="s">
        <v>1924</v>
      </c>
      <c r="K361" s="71" t="s">
        <v>1925</v>
      </c>
      <c r="L361" s="71" t="s">
        <v>1926</v>
      </c>
      <c r="M361" s="71" t="s">
        <v>1927</v>
      </c>
      <c r="N361" s="69" t="s">
        <v>57</v>
      </c>
      <c r="O361" s="64">
        <v>1</v>
      </c>
      <c r="P361" s="72">
        <v>212910000</v>
      </c>
      <c r="Q361" s="69"/>
      <c r="R361" s="69"/>
      <c r="S361" s="68" t="s">
        <v>1754</v>
      </c>
      <c r="T361" s="56">
        <v>3</v>
      </c>
      <c r="U361" s="56">
        <v>4</v>
      </c>
    </row>
    <row r="362" spans="1:21" ht="14.25" customHeight="1" thickBot="1" x14ac:dyDescent="0.4">
      <c r="A362" s="58">
        <v>346</v>
      </c>
      <c r="B362" s="69" t="s">
        <v>1806</v>
      </c>
      <c r="C362" s="69" t="s">
        <v>1807</v>
      </c>
      <c r="D362" s="70" t="s">
        <v>51</v>
      </c>
      <c r="E362" s="69" t="s">
        <v>1928</v>
      </c>
      <c r="F362" s="69" t="s">
        <v>1929</v>
      </c>
      <c r="G362" s="69" t="s">
        <v>54</v>
      </c>
      <c r="H362" s="70">
        <v>2021</v>
      </c>
      <c r="I362" s="69" t="s">
        <v>63</v>
      </c>
      <c r="J362" s="69" t="s">
        <v>1930</v>
      </c>
      <c r="K362" s="71" t="s">
        <v>1931</v>
      </c>
      <c r="L362" s="71" t="s">
        <v>1932</v>
      </c>
      <c r="M362" s="71" t="s">
        <v>1933</v>
      </c>
      <c r="N362" s="69" t="s">
        <v>57</v>
      </c>
      <c r="O362" s="64">
        <v>1</v>
      </c>
      <c r="P362" s="72">
        <v>277000000</v>
      </c>
      <c r="Q362" s="69" t="s">
        <v>1934</v>
      </c>
      <c r="R362" s="69"/>
      <c r="S362" s="68" t="s">
        <v>1935</v>
      </c>
      <c r="T362" s="56">
        <v>4</v>
      </c>
      <c r="U362" s="56">
        <v>4</v>
      </c>
    </row>
    <row r="363" spans="1:21" ht="14.25" customHeight="1" x14ac:dyDescent="0.35">
      <c r="A363" s="47">
        <v>347</v>
      </c>
      <c r="B363" s="69" t="s">
        <v>79</v>
      </c>
      <c r="C363" s="69" t="s">
        <v>80</v>
      </c>
      <c r="D363" s="70" t="s">
        <v>51</v>
      </c>
      <c r="E363" s="69" t="s">
        <v>1936</v>
      </c>
      <c r="F363" s="69" t="s">
        <v>246</v>
      </c>
      <c r="G363" s="69" t="s">
        <v>54</v>
      </c>
      <c r="H363" s="70">
        <v>2021</v>
      </c>
      <c r="I363" s="69" t="s">
        <v>63</v>
      </c>
      <c r="J363" s="69" t="s">
        <v>1937</v>
      </c>
      <c r="K363" s="71" t="s">
        <v>1938</v>
      </c>
      <c r="L363" s="71" t="s">
        <v>1939</v>
      </c>
      <c r="M363" s="71" t="s">
        <v>1940</v>
      </c>
      <c r="N363" s="69" t="s">
        <v>57</v>
      </c>
      <c r="O363" s="64">
        <v>1</v>
      </c>
      <c r="P363" s="72">
        <v>17500000</v>
      </c>
      <c r="Q363" s="69" t="s">
        <v>1941</v>
      </c>
      <c r="R363" s="69"/>
      <c r="S363" s="68" t="s">
        <v>1935</v>
      </c>
      <c r="T363" s="56">
        <v>4</v>
      </c>
      <c r="U363" s="56">
        <v>3</v>
      </c>
    </row>
    <row r="364" spans="1:21" ht="14.25" customHeight="1" thickBot="1" x14ac:dyDescent="0.4">
      <c r="A364" s="58">
        <v>348</v>
      </c>
      <c r="B364" s="69" t="s">
        <v>79</v>
      </c>
      <c r="C364" s="69" t="s">
        <v>80</v>
      </c>
      <c r="D364" s="70" t="s">
        <v>59</v>
      </c>
      <c r="E364" s="69" t="s">
        <v>1936</v>
      </c>
      <c r="F364" s="69" t="s">
        <v>246</v>
      </c>
      <c r="G364" s="69" t="s">
        <v>54</v>
      </c>
      <c r="H364" s="70">
        <v>2021</v>
      </c>
      <c r="I364" s="69" t="s">
        <v>63</v>
      </c>
      <c r="J364" s="69" t="s">
        <v>1942</v>
      </c>
      <c r="K364" s="71" t="s">
        <v>1943</v>
      </c>
      <c r="L364" s="71" t="s">
        <v>1944</v>
      </c>
      <c r="M364" s="71" t="s">
        <v>1945</v>
      </c>
      <c r="N364" s="69" t="s">
        <v>57</v>
      </c>
      <c r="O364" s="64">
        <v>1</v>
      </c>
      <c r="P364" s="72">
        <v>17500000</v>
      </c>
      <c r="Q364" s="69" t="s">
        <v>1946</v>
      </c>
      <c r="R364" s="69"/>
      <c r="S364" s="68" t="s">
        <v>1935</v>
      </c>
      <c r="T364" s="56">
        <v>4</v>
      </c>
      <c r="U364" s="56">
        <v>3</v>
      </c>
    </row>
    <row r="365" spans="1:21" ht="14.25" customHeight="1" x14ac:dyDescent="0.35">
      <c r="A365" s="47">
        <v>349</v>
      </c>
      <c r="B365" s="69" t="s">
        <v>79</v>
      </c>
      <c r="C365" s="69" t="s">
        <v>80</v>
      </c>
      <c r="D365" s="70" t="s">
        <v>97</v>
      </c>
      <c r="E365" s="69" t="s">
        <v>1936</v>
      </c>
      <c r="F365" s="69" t="s">
        <v>246</v>
      </c>
      <c r="G365" s="69" t="s">
        <v>54</v>
      </c>
      <c r="H365" s="70">
        <v>2021</v>
      </c>
      <c r="I365" s="69" t="s">
        <v>63</v>
      </c>
      <c r="J365" s="69" t="s">
        <v>1947</v>
      </c>
      <c r="K365" s="71" t="s">
        <v>1948</v>
      </c>
      <c r="L365" s="71" t="s">
        <v>1949</v>
      </c>
      <c r="M365" s="71" t="s">
        <v>1950</v>
      </c>
      <c r="N365" s="69" t="s">
        <v>57</v>
      </c>
      <c r="O365" s="64">
        <v>1</v>
      </c>
      <c r="P365" s="72">
        <v>17500000</v>
      </c>
      <c r="Q365" s="69" t="s">
        <v>1951</v>
      </c>
      <c r="R365" s="69"/>
      <c r="S365" s="68" t="s">
        <v>1935</v>
      </c>
      <c r="T365" s="56">
        <v>4</v>
      </c>
      <c r="U365" s="56">
        <v>3</v>
      </c>
    </row>
    <row r="366" spans="1:21" ht="14.25" customHeight="1" thickBot="1" x14ac:dyDescent="0.4">
      <c r="A366" s="58">
        <v>350</v>
      </c>
      <c r="B366" s="69" t="s">
        <v>79</v>
      </c>
      <c r="C366" s="69" t="s">
        <v>80</v>
      </c>
      <c r="D366" s="70" t="s">
        <v>101</v>
      </c>
      <c r="E366" s="69" t="s">
        <v>1936</v>
      </c>
      <c r="F366" s="69" t="s">
        <v>246</v>
      </c>
      <c r="G366" s="69" t="s">
        <v>54</v>
      </c>
      <c r="H366" s="70">
        <v>2021</v>
      </c>
      <c r="I366" s="69" t="s">
        <v>63</v>
      </c>
      <c r="J366" s="69" t="s">
        <v>1952</v>
      </c>
      <c r="K366" s="71" t="s">
        <v>1953</v>
      </c>
      <c r="L366" s="71" t="s">
        <v>1954</v>
      </c>
      <c r="M366" s="71" t="s">
        <v>1955</v>
      </c>
      <c r="N366" s="69" t="s">
        <v>57</v>
      </c>
      <c r="O366" s="64">
        <v>1</v>
      </c>
      <c r="P366" s="72">
        <v>17500000</v>
      </c>
      <c r="Q366" s="69" t="s">
        <v>1956</v>
      </c>
      <c r="R366" s="69"/>
      <c r="S366" s="68" t="s">
        <v>1935</v>
      </c>
      <c r="T366" s="56">
        <v>4</v>
      </c>
      <c r="U366" s="56">
        <v>3</v>
      </c>
    </row>
    <row r="367" spans="1:21" ht="14.25" customHeight="1" x14ac:dyDescent="0.35">
      <c r="A367" s="47">
        <v>351</v>
      </c>
      <c r="B367" s="69" t="s">
        <v>79</v>
      </c>
      <c r="C367" s="69" t="s">
        <v>80</v>
      </c>
      <c r="D367" s="70" t="s">
        <v>107</v>
      </c>
      <c r="E367" s="69" t="s">
        <v>1936</v>
      </c>
      <c r="F367" s="69" t="s">
        <v>246</v>
      </c>
      <c r="G367" s="69" t="s">
        <v>54</v>
      </c>
      <c r="H367" s="70">
        <v>2021</v>
      </c>
      <c r="I367" s="69" t="s">
        <v>63</v>
      </c>
      <c r="J367" s="69" t="s">
        <v>1957</v>
      </c>
      <c r="K367" s="71" t="s">
        <v>1958</v>
      </c>
      <c r="L367" s="71" t="s">
        <v>1959</v>
      </c>
      <c r="M367" s="71" t="s">
        <v>1960</v>
      </c>
      <c r="N367" s="69" t="s">
        <v>57</v>
      </c>
      <c r="O367" s="64">
        <v>1</v>
      </c>
      <c r="P367" s="72">
        <v>17500000</v>
      </c>
      <c r="Q367" s="69" t="s">
        <v>1961</v>
      </c>
      <c r="R367" s="69"/>
      <c r="S367" s="68" t="s">
        <v>1935</v>
      </c>
      <c r="T367" s="56">
        <v>4</v>
      </c>
      <c r="U367" s="56">
        <v>3</v>
      </c>
    </row>
    <row r="368" spans="1:21" ht="14.25" customHeight="1" thickBot="1" x14ac:dyDescent="0.4">
      <c r="A368" s="58">
        <v>352</v>
      </c>
      <c r="B368" s="69" t="s">
        <v>79</v>
      </c>
      <c r="C368" s="69" t="s">
        <v>80</v>
      </c>
      <c r="D368" s="70" t="s">
        <v>112</v>
      </c>
      <c r="E368" s="69" t="s">
        <v>1936</v>
      </c>
      <c r="F368" s="69" t="s">
        <v>246</v>
      </c>
      <c r="G368" s="69" t="s">
        <v>54</v>
      </c>
      <c r="H368" s="70">
        <v>2021</v>
      </c>
      <c r="I368" s="69" t="s">
        <v>63</v>
      </c>
      <c r="J368" s="69" t="s">
        <v>1962</v>
      </c>
      <c r="K368" s="71" t="s">
        <v>1963</v>
      </c>
      <c r="L368" s="71" t="s">
        <v>1964</v>
      </c>
      <c r="M368" s="71" t="s">
        <v>1965</v>
      </c>
      <c r="N368" s="69" t="s">
        <v>57</v>
      </c>
      <c r="O368" s="64">
        <v>1</v>
      </c>
      <c r="P368" s="72">
        <v>17500000</v>
      </c>
      <c r="Q368" s="69" t="s">
        <v>1966</v>
      </c>
      <c r="R368" s="69"/>
      <c r="S368" s="68" t="s">
        <v>1935</v>
      </c>
      <c r="T368" s="56">
        <v>4</v>
      </c>
      <c r="U368" s="56">
        <v>3</v>
      </c>
    </row>
    <row r="369" spans="1:21" ht="14.25" customHeight="1" x14ac:dyDescent="0.35">
      <c r="A369" s="47">
        <v>353</v>
      </c>
      <c r="B369" s="69" t="s">
        <v>79</v>
      </c>
      <c r="C369" s="69" t="s">
        <v>80</v>
      </c>
      <c r="D369" s="70" t="s">
        <v>116</v>
      </c>
      <c r="E369" s="69" t="s">
        <v>1936</v>
      </c>
      <c r="F369" s="69" t="s">
        <v>246</v>
      </c>
      <c r="G369" s="69" t="s">
        <v>54</v>
      </c>
      <c r="H369" s="70">
        <v>2021</v>
      </c>
      <c r="I369" s="69" t="s">
        <v>63</v>
      </c>
      <c r="J369" s="69" t="s">
        <v>1967</v>
      </c>
      <c r="K369" s="71" t="s">
        <v>1968</v>
      </c>
      <c r="L369" s="71" t="s">
        <v>1969</v>
      </c>
      <c r="M369" s="71" t="s">
        <v>1970</v>
      </c>
      <c r="N369" s="69" t="s">
        <v>57</v>
      </c>
      <c r="O369" s="64">
        <v>1</v>
      </c>
      <c r="P369" s="72">
        <v>17500000</v>
      </c>
      <c r="Q369" s="69" t="s">
        <v>1971</v>
      </c>
      <c r="R369" s="69"/>
      <c r="S369" s="68" t="s">
        <v>1935</v>
      </c>
      <c r="T369" s="56">
        <v>4</v>
      </c>
      <c r="U369" s="56">
        <v>3</v>
      </c>
    </row>
    <row r="370" spans="1:21" ht="14.25" customHeight="1" thickBot="1" x14ac:dyDescent="0.4">
      <c r="A370" s="58">
        <v>354</v>
      </c>
      <c r="B370" s="69" t="s">
        <v>79</v>
      </c>
      <c r="C370" s="69" t="s">
        <v>80</v>
      </c>
      <c r="D370" s="70" t="s">
        <v>841</v>
      </c>
      <c r="E370" s="69" t="s">
        <v>1936</v>
      </c>
      <c r="F370" s="69" t="s">
        <v>246</v>
      </c>
      <c r="G370" s="69" t="s">
        <v>54</v>
      </c>
      <c r="H370" s="70">
        <v>2021</v>
      </c>
      <c r="I370" s="69" t="s">
        <v>63</v>
      </c>
      <c r="J370" s="69" t="s">
        <v>1972</v>
      </c>
      <c r="K370" s="71" t="s">
        <v>1973</v>
      </c>
      <c r="L370" s="71" t="s">
        <v>1974</v>
      </c>
      <c r="M370" s="71" t="s">
        <v>1975</v>
      </c>
      <c r="N370" s="69" t="s">
        <v>57</v>
      </c>
      <c r="O370" s="64">
        <v>1</v>
      </c>
      <c r="P370" s="72">
        <v>17500000</v>
      </c>
      <c r="Q370" s="69" t="s">
        <v>1976</v>
      </c>
      <c r="R370" s="69"/>
      <c r="S370" s="68" t="s">
        <v>1935</v>
      </c>
      <c r="T370" s="56">
        <v>4</v>
      </c>
      <c r="U370" s="56">
        <v>3</v>
      </c>
    </row>
    <row r="371" spans="1:21" ht="14.25" customHeight="1" x14ac:dyDescent="0.35">
      <c r="A371" s="47">
        <v>355</v>
      </c>
      <c r="B371" s="69" t="s">
        <v>79</v>
      </c>
      <c r="C371" s="69" t="s">
        <v>80</v>
      </c>
      <c r="D371" s="70" t="s">
        <v>904</v>
      </c>
      <c r="E371" s="69" t="s">
        <v>1936</v>
      </c>
      <c r="F371" s="69" t="s">
        <v>246</v>
      </c>
      <c r="G371" s="69" t="s">
        <v>54</v>
      </c>
      <c r="H371" s="70">
        <v>2021</v>
      </c>
      <c r="I371" s="69" t="s">
        <v>63</v>
      </c>
      <c r="J371" s="69" t="s">
        <v>1977</v>
      </c>
      <c r="K371" s="71" t="s">
        <v>1978</v>
      </c>
      <c r="L371" s="71" t="s">
        <v>1979</v>
      </c>
      <c r="M371" s="71" t="s">
        <v>1980</v>
      </c>
      <c r="N371" s="69" t="s">
        <v>57</v>
      </c>
      <c r="O371" s="64">
        <v>1</v>
      </c>
      <c r="P371" s="72">
        <v>17500000</v>
      </c>
      <c r="Q371" s="69" t="s">
        <v>1981</v>
      </c>
      <c r="R371" s="69"/>
      <c r="S371" s="68" t="s">
        <v>1935</v>
      </c>
      <c r="T371" s="56">
        <v>4</v>
      </c>
      <c r="U371" s="56">
        <v>3</v>
      </c>
    </row>
    <row r="372" spans="1:21" ht="14.25" customHeight="1" thickBot="1" x14ac:dyDescent="0.4">
      <c r="A372" s="58">
        <v>356</v>
      </c>
      <c r="B372" s="69" t="s">
        <v>79</v>
      </c>
      <c r="C372" s="69" t="s">
        <v>80</v>
      </c>
      <c r="D372" s="70" t="s">
        <v>122</v>
      </c>
      <c r="E372" s="69" t="s">
        <v>1936</v>
      </c>
      <c r="F372" s="69" t="s">
        <v>246</v>
      </c>
      <c r="G372" s="69" t="s">
        <v>54</v>
      </c>
      <c r="H372" s="70">
        <v>2021</v>
      </c>
      <c r="I372" s="69" t="s">
        <v>63</v>
      </c>
      <c r="J372" s="69" t="s">
        <v>1982</v>
      </c>
      <c r="K372" s="71" t="s">
        <v>1983</v>
      </c>
      <c r="L372" s="71" t="s">
        <v>1984</v>
      </c>
      <c r="M372" s="71" t="s">
        <v>1985</v>
      </c>
      <c r="N372" s="69" t="s">
        <v>57</v>
      </c>
      <c r="O372" s="64">
        <v>1</v>
      </c>
      <c r="P372" s="72">
        <v>17500000</v>
      </c>
      <c r="Q372" s="69" t="s">
        <v>1986</v>
      </c>
      <c r="R372" s="69"/>
      <c r="S372" s="68" t="s">
        <v>1935</v>
      </c>
      <c r="T372" s="56">
        <v>4</v>
      </c>
      <c r="U372" s="56">
        <v>3</v>
      </c>
    </row>
    <row r="373" spans="1:21" ht="14.25" customHeight="1" x14ac:dyDescent="0.35">
      <c r="A373" s="47">
        <v>357</v>
      </c>
      <c r="B373" s="69" t="s">
        <v>79</v>
      </c>
      <c r="C373" s="69" t="s">
        <v>80</v>
      </c>
      <c r="D373" s="70" t="s">
        <v>126</v>
      </c>
      <c r="E373" s="69" t="s">
        <v>1987</v>
      </c>
      <c r="F373" s="69" t="s">
        <v>1988</v>
      </c>
      <c r="G373" s="69" t="s">
        <v>54</v>
      </c>
      <c r="H373" s="70">
        <v>2023</v>
      </c>
      <c r="I373" s="69" t="s">
        <v>63</v>
      </c>
      <c r="J373" s="69" t="s">
        <v>1989</v>
      </c>
      <c r="K373" s="71" t="s">
        <v>1990</v>
      </c>
      <c r="L373" s="71" t="s">
        <v>1991</v>
      </c>
      <c r="M373" s="71" t="s">
        <v>1992</v>
      </c>
      <c r="N373" s="69" t="s">
        <v>44</v>
      </c>
      <c r="O373" s="64">
        <v>1</v>
      </c>
      <c r="P373" s="72">
        <v>30465000</v>
      </c>
      <c r="Q373" s="69" t="s">
        <v>1993</v>
      </c>
      <c r="R373" s="69"/>
      <c r="S373" s="68" t="s">
        <v>1935</v>
      </c>
      <c r="T373" s="56">
        <v>4</v>
      </c>
      <c r="U373" s="56">
        <v>3</v>
      </c>
    </row>
    <row r="374" spans="1:21" ht="14.25" customHeight="1" thickBot="1" x14ac:dyDescent="0.4">
      <c r="A374" s="58">
        <v>358</v>
      </c>
      <c r="B374" s="69" t="s">
        <v>79</v>
      </c>
      <c r="C374" s="69" t="s">
        <v>80</v>
      </c>
      <c r="D374" s="70" t="s">
        <v>132</v>
      </c>
      <c r="E374" s="69" t="s">
        <v>1994</v>
      </c>
      <c r="F374" s="69" t="s">
        <v>1988</v>
      </c>
      <c r="G374" s="69" t="s">
        <v>54</v>
      </c>
      <c r="H374" s="70">
        <v>2023</v>
      </c>
      <c r="I374" s="69" t="s">
        <v>63</v>
      </c>
      <c r="J374" s="69" t="s">
        <v>1995</v>
      </c>
      <c r="K374" s="71" t="s">
        <v>1996</v>
      </c>
      <c r="L374" s="71" t="s">
        <v>1997</v>
      </c>
      <c r="M374" s="71" t="s">
        <v>1998</v>
      </c>
      <c r="N374" s="69" t="s">
        <v>44</v>
      </c>
      <c r="O374" s="64">
        <v>1</v>
      </c>
      <c r="P374" s="72">
        <v>30465000</v>
      </c>
      <c r="Q374" s="69" t="s">
        <v>1999</v>
      </c>
      <c r="R374" s="69"/>
      <c r="S374" s="68" t="s">
        <v>1935</v>
      </c>
      <c r="T374" s="56">
        <v>4</v>
      </c>
      <c r="U374" s="56">
        <v>3</v>
      </c>
    </row>
    <row r="375" spans="1:21" ht="14.25" customHeight="1" x14ac:dyDescent="0.35">
      <c r="A375" s="47">
        <v>359</v>
      </c>
      <c r="B375" s="69" t="s">
        <v>79</v>
      </c>
      <c r="C375" s="69" t="s">
        <v>80</v>
      </c>
      <c r="D375" s="70" t="s">
        <v>137</v>
      </c>
      <c r="E375" s="69" t="s">
        <v>1987</v>
      </c>
      <c r="F375" s="69" t="s">
        <v>1988</v>
      </c>
      <c r="G375" s="69" t="s">
        <v>54</v>
      </c>
      <c r="H375" s="70">
        <v>2023</v>
      </c>
      <c r="I375" s="69" t="s">
        <v>63</v>
      </c>
      <c r="J375" s="69" t="s">
        <v>2000</v>
      </c>
      <c r="K375" s="71" t="s">
        <v>2001</v>
      </c>
      <c r="L375" s="71" t="s">
        <v>2002</v>
      </c>
      <c r="M375" s="71" t="s">
        <v>2003</v>
      </c>
      <c r="N375" s="69" t="s">
        <v>44</v>
      </c>
      <c r="O375" s="64">
        <v>1</v>
      </c>
      <c r="P375" s="72">
        <v>30465000</v>
      </c>
      <c r="Q375" s="69" t="s">
        <v>2004</v>
      </c>
      <c r="R375" s="69"/>
      <c r="S375" s="68" t="s">
        <v>1935</v>
      </c>
      <c r="T375" s="56">
        <v>4</v>
      </c>
      <c r="U375" s="56">
        <v>3</v>
      </c>
    </row>
    <row r="376" spans="1:21" ht="14.25" customHeight="1" thickBot="1" x14ac:dyDescent="0.4">
      <c r="A376" s="58">
        <v>360</v>
      </c>
      <c r="B376" s="69" t="s">
        <v>79</v>
      </c>
      <c r="C376" s="69" t="s">
        <v>80</v>
      </c>
      <c r="D376" s="70" t="s">
        <v>146</v>
      </c>
      <c r="E376" s="69" t="s">
        <v>1987</v>
      </c>
      <c r="F376" s="69" t="s">
        <v>1988</v>
      </c>
      <c r="G376" s="69" t="s">
        <v>54</v>
      </c>
      <c r="H376" s="70">
        <v>2023</v>
      </c>
      <c r="I376" s="69" t="s">
        <v>63</v>
      </c>
      <c r="J376" s="69" t="s">
        <v>2005</v>
      </c>
      <c r="K376" s="71" t="s">
        <v>2006</v>
      </c>
      <c r="L376" s="71" t="s">
        <v>2007</v>
      </c>
      <c r="M376" s="71" t="s">
        <v>2008</v>
      </c>
      <c r="N376" s="69" t="s">
        <v>44</v>
      </c>
      <c r="O376" s="64">
        <v>1</v>
      </c>
      <c r="P376" s="72">
        <v>30465000</v>
      </c>
      <c r="Q376" s="69" t="s">
        <v>2009</v>
      </c>
      <c r="R376" s="69"/>
      <c r="S376" s="68" t="s">
        <v>1935</v>
      </c>
      <c r="T376" s="56">
        <v>4</v>
      </c>
      <c r="U376" s="56">
        <v>3</v>
      </c>
    </row>
    <row r="377" spans="1:21" ht="14.25" customHeight="1" x14ac:dyDescent="0.35">
      <c r="A377" s="47">
        <v>361</v>
      </c>
      <c r="B377" s="69" t="s">
        <v>79</v>
      </c>
      <c r="C377" s="69" t="s">
        <v>80</v>
      </c>
      <c r="D377" s="70" t="s">
        <v>154</v>
      </c>
      <c r="E377" s="69" t="s">
        <v>1987</v>
      </c>
      <c r="F377" s="69" t="s">
        <v>1988</v>
      </c>
      <c r="G377" s="69" t="s">
        <v>54</v>
      </c>
      <c r="H377" s="70">
        <v>2023</v>
      </c>
      <c r="I377" s="69" t="s">
        <v>63</v>
      </c>
      <c r="J377" s="69" t="s">
        <v>2010</v>
      </c>
      <c r="K377" s="71" t="s">
        <v>2011</v>
      </c>
      <c r="L377" s="71" t="s">
        <v>2012</v>
      </c>
      <c r="M377" s="71" t="s">
        <v>2013</v>
      </c>
      <c r="N377" s="69" t="s">
        <v>44</v>
      </c>
      <c r="O377" s="64">
        <v>1</v>
      </c>
      <c r="P377" s="72">
        <v>30465000</v>
      </c>
      <c r="Q377" s="69" t="s">
        <v>1852</v>
      </c>
      <c r="R377" s="69"/>
      <c r="S377" s="68" t="s">
        <v>1935</v>
      </c>
      <c r="T377" s="56">
        <v>4</v>
      </c>
      <c r="U377" s="56">
        <v>3</v>
      </c>
    </row>
    <row r="378" spans="1:21" ht="14.25" customHeight="1" thickBot="1" x14ac:dyDescent="0.4">
      <c r="A378" s="58">
        <v>362</v>
      </c>
      <c r="B378" s="69" t="s">
        <v>1553</v>
      </c>
      <c r="C378" s="69" t="s">
        <v>1554</v>
      </c>
      <c r="D378" s="70" t="s">
        <v>51</v>
      </c>
      <c r="E378" s="69" t="s">
        <v>2014</v>
      </c>
      <c r="F378" s="69" t="s">
        <v>2015</v>
      </c>
      <c r="G378" s="69" t="s">
        <v>415</v>
      </c>
      <c r="H378" s="70">
        <v>2022</v>
      </c>
      <c r="I378" s="69"/>
      <c r="J378" s="69" t="s">
        <v>2016</v>
      </c>
      <c r="K378" s="71" t="s">
        <v>2017</v>
      </c>
      <c r="L378" s="71" t="s">
        <v>2018</v>
      </c>
      <c r="M378" s="71" t="s">
        <v>2019</v>
      </c>
      <c r="N378" s="69" t="s">
        <v>44</v>
      </c>
      <c r="O378" s="64">
        <v>1</v>
      </c>
      <c r="P378" s="72">
        <v>650000000</v>
      </c>
      <c r="Q378" s="69"/>
      <c r="R378" s="69"/>
      <c r="S378" s="68" t="s">
        <v>1935</v>
      </c>
      <c r="T378" s="56">
        <v>4</v>
      </c>
      <c r="U378" s="56">
        <v>4</v>
      </c>
    </row>
    <row r="379" spans="1:21" ht="14.25" customHeight="1" x14ac:dyDescent="0.35">
      <c r="A379" s="47">
        <v>363</v>
      </c>
      <c r="B379" s="69" t="s">
        <v>2020</v>
      </c>
      <c r="C379" s="69" t="s">
        <v>2021</v>
      </c>
      <c r="D379" s="70" t="s">
        <v>51</v>
      </c>
      <c r="E379" s="69" t="s">
        <v>2022</v>
      </c>
      <c r="F379" s="69" t="s">
        <v>2023</v>
      </c>
      <c r="G379" s="69" t="s">
        <v>140</v>
      </c>
      <c r="H379" s="70">
        <v>2008</v>
      </c>
      <c r="I379" s="69"/>
      <c r="J379" s="69" t="s">
        <v>2024</v>
      </c>
      <c r="K379" s="71" t="s">
        <v>2025</v>
      </c>
      <c r="L379" s="71" t="s">
        <v>2026</v>
      </c>
      <c r="M379" s="71" t="s">
        <v>2027</v>
      </c>
      <c r="N379" s="69" t="s">
        <v>57</v>
      </c>
      <c r="O379" s="64">
        <v>1</v>
      </c>
      <c r="P379" s="72">
        <v>241500000</v>
      </c>
      <c r="Q379" s="69" t="s">
        <v>2028</v>
      </c>
      <c r="R379" s="69"/>
      <c r="S379" s="68" t="s">
        <v>106</v>
      </c>
      <c r="T379" s="56">
        <v>5</v>
      </c>
      <c r="U379" s="56">
        <v>6</v>
      </c>
    </row>
    <row r="380" spans="1:21" ht="14.25" customHeight="1" thickBot="1" x14ac:dyDescent="0.4">
      <c r="A380" s="58">
        <v>364</v>
      </c>
      <c r="B380" s="69" t="s">
        <v>2020</v>
      </c>
      <c r="C380" s="69" t="s">
        <v>2021</v>
      </c>
      <c r="D380" s="70" t="s">
        <v>59</v>
      </c>
      <c r="E380" s="69" t="s">
        <v>2029</v>
      </c>
      <c r="F380" s="69" t="s">
        <v>2030</v>
      </c>
      <c r="G380" s="69" t="s">
        <v>62</v>
      </c>
      <c r="H380" s="70">
        <v>2017</v>
      </c>
      <c r="I380" s="69" t="s">
        <v>63</v>
      </c>
      <c r="J380" s="69" t="s">
        <v>2031</v>
      </c>
      <c r="K380" s="71" t="s">
        <v>2032</v>
      </c>
      <c r="L380" s="71" t="s">
        <v>2033</v>
      </c>
      <c r="M380" s="71" t="s">
        <v>2034</v>
      </c>
      <c r="N380" s="69" t="s">
        <v>57</v>
      </c>
      <c r="O380" s="64">
        <v>1</v>
      </c>
      <c r="P380" s="72">
        <v>376723015</v>
      </c>
      <c r="Q380" s="69" t="s">
        <v>2035</v>
      </c>
      <c r="R380" s="69"/>
      <c r="S380" s="68" t="s">
        <v>106</v>
      </c>
      <c r="T380" s="56">
        <v>5</v>
      </c>
      <c r="U380" s="56">
        <v>6</v>
      </c>
    </row>
    <row r="381" spans="1:21" ht="14.25" customHeight="1" x14ac:dyDescent="0.35">
      <c r="A381" s="47">
        <v>365</v>
      </c>
      <c r="B381" s="69" t="s">
        <v>2020</v>
      </c>
      <c r="C381" s="69" t="s">
        <v>2021</v>
      </c>
      <c r="D381" s="70" t="s">
        <v>97</v>
      </c>
      <c r="E381" s="69" t="s">
        <v>2036</v>
      </c>
      <c r="F381" s="69" t="s">
        <v>2030</v>
      </c>
      <c r="G381" s="69" t="s">
        <v>62</v>
      </c>
      <c r="H381" s="70">
        <v>2019</v>
      </c>
      <c r="I381" s="69" t="s">
        <v>2037</v>
      </c>
      <c r="J381" s="69" t="s">
        <v>2038</v>
      </c>
      <c r="K381" s="71" t="s">
        <v>2039</v>
      </c>
      <c r="L381" s="71" t="s">
        <v>2040</v>
      </c>
      <c r="M381" s="71" t="s">
        <v>2041</v>
      </c>
      <c r="N381" s="69" t="s">
        <v>57</v>
      </c>
      <c r="O381" s="64">
        <v>1</v>
      </c>
      <c r="P381" s="72">
        <v>399000000</v>
      </c>
      <c r="Q381" s="69" t="s">
        <v>2042</v>
      </c>
      <c r="R381" s="69"/>
      <c r="S381" s="68" t="s">
        <v>106</v>
      </c>
      <c r="T381" s="56">
        <v>5</v>
      </c>
      <c r="U381" s="56">
        <v>6</v>
      </c>
    </row>
    <row r="382" spans="1:21" ht="14.25" customHeight="1" thickBot="1" x14ac:dyDescent="0.4">
      <c r="A382" s="58">
        <v>366</v>
      </c>
      <c r="B382" s="69" t="s">
        <v>2043</v>
      </c>
      <c r="C382" s="69" t="s">
        <v>2044</v>
      </c>
      <c r="D382" s="70" t="s">
        <v>51</v>
      </c>
      <c r="E382" s="69" t="s">
        <v>2045</v>
      </c>
      <c r="F382" s="93">
        <v>7684</v>
      </c>
      <c r="G382" s="69" t="s">
        <v>62</v>
      </c>
      <c r="H382" s="70">
        <v>2016</v>
      </c>
      <c r="I382" s="69"/>
      <c r="J382" s="69"/>
      <c r="K382" s="71"/>
      <c r="L382" s="71"/>
      <c r="M382" s="71"/>
      <c r="N382" s="69" t="s">
        <v>57</v>
      </c>
      <c r="O382" s="64">
        <v>1</v>
      </c>
      <c r="P382" s="72">
        <v>1300000000</v>
      </c>
      <c r="Q382" s="69" t="s">
        <v>2046</v>
      </c>
      <c r="R382" s="69"/>
      <c r="S382" s="68" t="s">
        <v>106</v>
      </c>
      <c r="T382" s="56">
        <v>5</v>
      </c>
      <c r="U382" s="56">
        <v>6</v>
      </c>
    </row>
    <row r="383" spans="1:21" ht="14.25" customHeight="1" x14ac:dyDescent="0.35">
      <c r="A383" s="47">
        <v>367</v>
      </c>
      <c r="B383" s="69" t="s">
        <v>2043</v>
      </c>
      <c r="C383" s="69" t="s">
        <v>2044</v>
      </c>
      <c r="D383" s="70" t="s">
        <v>59</v>
      </c>
      <c r="E383" s="69" t="s">
        <v>2047</v>
      </c>
      <c r="F383" s="69" t="s">
        <v>2048</v>
      </c>
      <c r="G383" s="69" t="s">
        <v>62</v>
      </c>
      <c r="H383" s="70">
        <v>2019</v>
      </c>
      <c r="I383" s="69" t="s">
        <v>63</v>
      </c>
      <c r="J383" s="69" t="s">
        <v>63</v>
      </c>
      <c r="K383" s="71" t="s">
        <v>63</v>
      </c>
      <c r="L383" s="71" t="s">
        <v>63</v>
      </c>
      <c r="M383" s="71" t="s">
        <v>63</v>
      </c>
      <c r="N383" s="69" t="s">
        <v>57</v>
      </c>
      <c r="O383" s="64">
        <v>1</v>
      </c>
      <c r="P383" s="72">
        <v>1497445000</v>
      </c>
      <c r="Q383" s="69" t="s">
        <v>2049</v>
      </c>
      <c r="R383" s="69"/>
      <c r="S383" s="68" t="s">
        <v>106</v>
      </c>
      <c r="T383" s="56">
        <v>5</v>
      </c>
      <c r="U383" s="56">
        <v>6</v>
      </c>
    </row>
    <row r="384" spans="1:21" ht="14.25" customHeight="1" thickBot="1" x14ac:dyDescent="0.4">
      <c r="A384" s="58">
        <v>368</v>
      </c>
      <c r="B384" s="69" t="s">
        <v>1806</v>
      </c>
      <c r="C384" s="69" t="s">
        <v>1807</v>
      </c>
      <c r="D384" s="70" t="s">
        <v>51</v>
      </c>
      <c r="E384" s="69" t="s">
        <v>2050</v>
      </c>
      <c r="F384" s="69" t="s">
        <v>1595</v>
      </c>
      <c r="G384" s="69" t="s">
        <v>140</v>
      </c>
      <c r="H384" s="70">
        <v>2015</v>
      </c>
      <c r="I384" s="69" t="s">
        <v>2051</v>
      </c>
      <c r="J384" s="69" t="s">
        <v>2052</v>
      </c>
      <c r="K384" s="71" t="s">
        <v>2053</v>
      </c>
      <c r="L384" s="71" t="s">
        <v>2054</v>
      </c>
      <c r="M384" s="71" t="s">
        <v>2055</v>
      </c>
      <c r="N384" s="69" t="s">
        <v>57</v>
      </c>
      <c r="O384" s="64">
        <v>1</v>
      </c>
      <c r="P384" s="72">
        <v>318490000</v>
      </c>
      <c r="Q384" s="69" t="s">
        <v>2056</v>
      </c>
      <c r="R384" s="69"/>
      <c r="S384" s="68" t="s">
        <v>106</v>
      </c>
      <c r="T384" s="56">
        <v>5</v>
      </c>
      <c r="U384" s="56">
        <v>4</v>
      </c>
    </row>
    <row r="385" spans="1:21" ht="14.25" customHeight="1" x14ac:dyDescent="0.35">
      <c r="A385" s="47">
        <v>369</v>
      </c>
      <c r="B385" s="69" t="s">
        <v>2057</v>
      </c>
      <c r="C385" s="69" t="s">
        <v>2058</v>
      </c>
      <c r="D385" s="70" t="s">
        <v>51</v>
      </c>
      <c r="E385" s="69" t="s">
        <v>63</v>
      </c>
      <c r="F385" s="94">
        <v>1987</v>
      </c>
      <c r="G385" s="95" t="s">
        <v>247</v>
      </c>
      <c r="H385" s="70">
        <v>2023</v>
      </c>
      <c r="I385" s="69" t="s">
        <v>63</v>
      </c>
      <c r="J385" s="95" t="s">
        <v>2059</v>
      </c>
      <c r="K385" s="96" t="s">
        <v>2060</v>
      </c>
      <c r="L385" s="97" t="s">
        <v>2061</v>
      </c>
      <c r="M385" s="96" t="s">
        <v>2062</v>
      </c>
      <c r="N385" s="69" t="s">
        <v>44</v>
      </c>
      <c r="O385" s="64">
        <v>1</v>
      </c>
      <c r="P385" s="72">
        <v>632400000</v>
      </c>
      <c r="Q385" s="69" t="s">
        <v>2063</v>
      </c>
      <c r="R385" s="69"/>
      <c r="S385" s="68" t="s">
        <v>106</v>
      </c>
      <c r="T385" s="56">
        <v>5</v>
      </c>
      <c r="U385" s="56">
        <v>4</v>
      </c>
    </row>
    <row r="386" spans="1:21" ht="14.25" customHeight="1" thickBot="1" x14ac:dyDescent="0.4">
      <c r="A386" s="58">
        <v>370</v>
      </c>
      <c r="B386" s="69" t="s">
        <v>2064</v>
      </c>
      <c r="C386" s="69" t="s">
        <v>2065</v>
      </c>
      <c r="D386" s="70" t="s">
        <v>51</v>
      </c>
      <c r="E386" s="69" t="s">
        <v>2066</v>
      </c>
      <c r="F386" s="69"/>
      <c r="G386" s="69" t="s">
        <v>63</v>
      </c>
      <c r="H386" s="70">
        <v>2024</v>
      </c>
      <c r="I386" s="69" t="s">
        <v>63</v>
      </c>
      <c r="J386" s="69" t="s">
        <v>63</v>
      </c>
      <c r="K386" s="71" t="s">
        <v>63</v>
      </c>
      <c r="L386" s="71" t="s">
        <v>63</v>
      </c>
      <c r="M386" s="71" t="s">
        <v>63</v>
      </c>
      <c r="N386" s="69" t="s">
        <v>44</v>
      </c>
      <c r="O386" s="64">
        <v>1</v>
      </c>
      <c r="P386" s="72">
        <v>585000000</v>
      </c>
      <c r="Q386" s="69" t="s">
        <v>2067</v>
      </c>
      <c r="R386" s="69"/>
      <c r="S386" s="68" t="s">
        <v>106</v>
      </c>
      <c r="T386" s="56">
        <v>5</v>
      </c>
      <c r="U386" s="56">
        <v>6</v>
      </c>
    </row>
    <row r="387" spans="1:21" ht="14.25" customHeight="1" x14ac:dyDescent="0.35">
      <c r="A387" s="47">
        <v>371</v>
      </c>
      <c r="B387" s="69" t="s">
        <v>70</v>
      </c>
      <c r="C387" s="69" t="s">
        <v>71</v>
      </c>
      <c r="D387" s="70" t="s">
        <v>51</v>
      </c>
      <c r="E387" s="69" t="s">
        <v>2068</v>
      </c>
      <c r="F387" s="69" t="s">
        <v>1683</v>
      </c>
      <c r="G387" s="69" t="s">
        <v>140</v>
      </c>
      <c r="H387" s="70">
        <v>2015</v>
      </c>
      <c r="I387" s="69"/>
      <c r="J387" s="69" t="s">
        <v>2069</v>
      </c>
      <c r="K387" s="71" t="s">
        <v>2070</v>
      </c>
      <c r="L387" s="71" t="s">
        <v>2071</v>
      </c>
      <c r="M387" s="71" t="s">
        <v>2072</v>
      </c>
      <c r="N387" s="69" t="s">
        <v>57</v>
      </c>
      <c r="O387" s="64">
        <v>1</v>
      </c>
      <c r="P387" s="72">
        <v>381520000</v>
      </c>
      <c r="Q387" s="69" t="s">
        <v>2073</v>
      </c>
      <c r="R387" s="69"/>
      <c r="S387" s="68" t="s">
        <v>106</v>
      </c>
      <c r="T387" s="56">
        <v>5</v>
      </c>
      <c r="U387" s="56">
        <v>4</v>
      </c>
    </row>
    <row r="388" spans="1:21" ht="14.25" customHeight="1" thickBot="1" x14ac:dyDescent="0.4">
      <c r="A388" s="58">
        <v>372</v>
      </c>
      <c r="B388" s="69" t="s">
        <v>70</v>
      </c>
      <c r="C388" s="69" t="s">
        <v>71</v>
      </c>
      <c r="D388" s="70" t="s">
        <v>97</v>
      </c>
      <c r="E388" s="69" t="s">
        <v>2074</v>
      </c>
      <c r="F388" s="93">
        <v>2.3929999999999998</v>
      </c>
      <c r="G388" s="95" t="s">
        <v>247</v>
      </c>
      <c r="H388" s="70">
        <v>2023</v>
      </c>
      <c r="I388" s="69" t="s">
        <v>63</v>
      </c>
      <c r="J388" s="98" t="s">
        <v>2075</v>
      </c>
      <c r="K388" s="99" t="s">
        <v>2076</v>
      </c>
      <c r="L388" s="100" t="s">
        <v>2077</v>
      </c>
      <c r="M388" s="99" t="s">
        <v>2078</v>
      </c>
      <c r="N388" s="69" t="s">
        <v>44</v>
      </c>
      <c r="O388" s="64">
        <v>1</v>
      </c>
      <c r="P388" s="72">
        <v>465500000</v>
      </c>
      <c r="Q388" s="69" t="s">
        <v>2079</v>
      </c>
      <c r="R388" s="69"/>
      <c r="S388" s="68" t="s">
        <v>106</v>
      </c>
      <c r="T388" s="56">
        <v>5</v>
      </c>
      <c r="U388" s="56">
        <v>4</v>
      </c>
    </row>
    <row r="389" spans="1:21" ht="14.25" customHeight="1" x14ac:dyDescent="0.35">
      <c r="A389" s="47">
        <v>373</v>
      </c>
      <c r="B389" s="69" t="s">
        <v>70</v>
      </c>
      <c r="C389" s="69" t="s">
        <v>71</v>
      </c>
      <c r="D389" s="70" t="s">
        <v>101</v>
      </c>
      <c r="E389" s="69" t="s">
        <v>2080</v>
      </c>
      <c r="F389" s="94"/>
      <c r="H389" s="70">
        <v>2026</v>
      </c>
      <c r="I389" s="101" t="s">
        <v>63</v>
      </c>
      <c r="K389" s="96"/>
      <c r="L389" s="97"/>
      <c r="M389" s="96"/>
      <c r="N389" s="102" t="s">
        <v>44</v>
      </c>
      <c r="O389" s="64">
        <v>1</v>
      </c>
      <c r="P389" s="72">
        <v>433800000</v>
      </c>
      <c r="Q389" s="69" t="s">
        <v>2081</v>
      </c>
      <c r="R389" s="69"/>
      <c r="S389" s="68" t="s">
        <v>106</v>
      </c>
      <c r="T389" s="56">
        <v>5</v>
      </c>
      <c r="U389" s="56">
        <v>4</v>
      </c>
    </row>
    <row r="390" spans="1:21" ht="14.25" customHeight="1" thickBot="1" x14ac:dyDescent="0.4">
      <c r="A390" s="58">
        <v>374</v>
      </c>
      <c r="B390" s="69" t="s">
        <v>2082</v>
      </c>
      <c r="C390" s="69" t="s">
        <v>2083</v>
      </c>
      <c r="D390" s="70" t="s">
        <v>51</v>
      </c>
      <c r="E390" s="69" t="s">
        <v>63</v>
      </c>
      <c r="F390" s="94">
        <v>2.3929999999999998</v>
      </c>
      <c r="G390" s="95" t="s">
        <v>247</v>
      </c>
      <c r="H390" s="70">
        <v>2023</v>
      </c>
      <c r="I390" s="101" t="s">
        <v>63</v>
      </c>
      <c r="J390" s="95" t="s">
        <v>2084</v>
      </c>
      <c r="K390" s="96" t="s">
        <v>2085</v>
      </c>
      <c r="L390" s="97" t="s">
        <v>2086</v>
      </c>
      <c r="M390" s="97" t="s">
        <v>2087</v>
      </c>
      <c r="N390" s="102" t="s">
        <v>44</v>
      </c>
      <c r="O390" s="64">
        <v>1</v>
      </c>
      <c r="P390" s="72">
        <v>470900000</v>
      </c>
      <c r="Q390" s="69" t="s">
        <v>2088</v>
      </c>
      <c r="R390" s="69"/>
      <c r="S390" s="68" t="s">
        <v>106</v>
      </c>
      <c r="T390" s="56">
        <v>5</v>
      </c>
      <c r="U390" s="56">
        <v>4</v>
      </c>
    </row>
    <row r="391" spans="1:21" ht="14.25" customHeight="1" x14ac:dyDescent="0.35">
      <c r="A391" s="47">
        <v>375</v>
      </c>
      <c r="B391" s="69" t="s">
        <v>2082</v>
      </c>
      <c r="C391" s="69" t="s">
        <v>2083</v>
      </c>
      <c r="D391" s="70" t="s">
        <v>59</v>
      </c>
      <c r="E391" s="69" t="s">
        <v>63</v>
      </c>
      <c r="F391" s="94">
        <v>2393</v>
      </c>
      <c r="G391" s="95" t="s">
        <v>247</v>
      </c>
      <c r="H391" s="70">
        <v>2023</v>
      </c>
      <c r="I391" s="101" t="s">
        <v>63</v>
      </c>
      <c r="J391" s="95" t="s">
        <v>2089</v>
      </c>
      <c r="K391" s="96" t="s">
        <v>2090</v>
      </c>
      <c r="L391" s="97" t="s">
        <v>2091</v>
      </c>
      <c r="M391" s="96" t="s">
        <v>2092</v>
      </c>
      <c r="N391" s="102" t="s">
        <v>44</v>
      </c>
      <c r="O391" s="64">
        <v>1</v>
      </c>
      <c r="P391" s="72">
        <v>470900000</v>
      </c>
      <c r="Q391" s="69" t="s">
        <v>2093</v>
      </c>
      <c r="R391" s="69"/>
      <c r="S391" s="68" t="s">
        <v>106</v>
      </c>
      <c r="T391" s="56">
        <v>5</v>
      </c>
      <c r="U391" s="56">
        <v>4</v>
      </c>
    </row>
    <row r="392" spans="1:21" ht="14.25" customHeight="1" thickBot="1" x14ac:dyDescent="0.4">
      <c r="A392" s="58">
        <v>376</v>
      </c>
      <c r="B392" s="69" t="s">
        <v>79</v>
      </c>
      <c r="C392" s="69" t="s">
        <v>80</v>
      </c>
      <c r="D392" s="70" t="s">
        <v>51</v>
      </c>
      <c r="E392" s="69" t="s">
        <v>2094</v>
      </c>
      <c r="F392" s="69" t="s">
        <v>82</v>
      </c>
      <c r="G392" s="69" t="s">
        <v>54</v>
      </c>
      <c r="H392" s="70">
        <v>2002</v>
      </c>
      <c r="I392" s="69"/>
      <c r="J392" s="103" t="s">
        <v>2095</v>
      </c>
      <c r="K392" s="104" t="s">
        <v>2096</v>
      </c>
      <c r="L392" s="104" t="s">
        <v>2097</v>
      </c>
      <c r="M392" s="104" t="s">
        <v>2098</v>
      </c>
      <c r="N392" s="69" t="s">
        <v>57</v>
      </c>
      <c r="O392" s="64">
        <v>1</v>
      </c>
      <c r="P392" s="72">
        <v>15500000</v>
      </c>
      <c r="Q392" s="69" t="s">
        <v>2099</v>
      </c>
      <c r="R392" s="69"/>
      <c r="S392" s="68" t="s">
        <v>106</v>
      </c>
      <c r="T392" s="56">
        <v>5</v>
      </c>
      <c r="U392" s="56">
        <v>3</v>
      </c>
    </row>
    <row r="393" spans="1:21" ht="14.25" customHeight="1" x14ac:dyDescent="0.35">
      <c r="A393" s="47">
        <v>377</v>
      </c>
      <c r="B393" s="69" t="s">
        <v>79</v>
      </c>
      <c r="C393" s="69" t="s">
        <v>80</v>
      </c>
      <c r="D393" s="70" t="s">
        <v>59</v>
      </c>
      <c r="E393" s="69" t="s">
        <v>2100</v>
      </c>
      <c r="F393" s="69" t="s">
        <v>82</v>
      </c>
      <c r="G393" s="69" t="s">
        <v>54</v>
      </c>
      <c r="H393" s="70">
        <v>2003</v>
      </c>
      <c r="I393" s="69"/>
      <c r="J393" s="69" t="s">
        <v>2101</v>
      </c>
      <c r="K393" s="71" t="s">
        <v>2102</v>
      </c>
      <c r="L393" s="71" t="s">
        <v>2103</v>
      </c>
      <c r="M393" s="71" t="s">
        <v>2104</v>
      </c>
      <c r="N393" s="69" t="s">
        <v>57</v>
      </c>
      <c r="O393" s="64">
        <v>1</v>
      </c>
      <c r="P393" s="72">
        <v>12750000</v>
      </c>
      <c r="Q393" s="69" t="s">
        <v>2105</v>
      </c>
      <c r="R393" s="69"/>
      <c r="S393" s="68" t="s">
        <v>106</v>
      </c>
      <c r="T393" s="56">
        <v>5</v>
      </c>
      <c r="U393" s="56">
        <v>3</v>
      </c>
    </row>
    <row r="394" spans="1:21" ht="14.25" customHeight="1" thickBot="1" x14ac:dyDescent="0.4">
      <c r="A394" s="58">
        <v>378</v>
      </c>
      <c r="B394" s="69" t="s">
        <v>79</v>
      </c>
      <c r="C394" s="69" t="s">
        <v>80</v>
      </c>
      <c r="D394" s="70" t="s">
        <v>97</v>
      </c>
      <c r="E394" s="69" t="s">
        <v>2100</v>
      </c>
      <c r="F394" s="69" t="s">
        <v>82</v>
      </c>
      <c r="G394" s="69" t="s">
        <v>54</v>
      </c>
      <c r="H394" s="70">
        <v>2004</v>
      </c>
      <c r="I394" s="69" t="s">
        <v>63</v>
      </c>
      <c r="J394" s="69" t="s">
        <v>2106</v>
      </c>
      <c r="K394" s="71" t="s">
        <v>2107</v>
      </c>
      <c r="L394" s="71" t="s">
        <v>2108</v>
      </c>
      <c r="M394" s="71" t="s">
        <v>2109</v>
      </c>
      <c r="N394" s="69" t="s">
        <v>57</v>
      </c>
      <c r="O394" s="64">
        <v>1</v>
      </c>
      <c r="P394" s="72">
        <v>12750000</v>
      </c>
      <c r="Q394" s="69" t="s">
        <v>2105</v>
      </c>
      <c r="R394" s="69"/>
      <c r="S394" s="68" t="s">
        <v>106</v>
      </c>
      <c r="T394" s="56">
        <v>5</v>
      </c>
      <c r="U394" s="56">
        <v>3</v>
      </c>
    </row>
    <row r="395" spans="1:21" ht="14.25" customHeight="1" x14ac:dyDescent="0.35">
      <c r="A395" s="47">
        <v>379</v>
      </c>
      <c r="B395" s="69" t="s">
        <v>79</v>
      </c>
      <c r="C395" s="69" t="s">
        <v>80</v>
      </c>
      <c r="D395" s="70" t="s">
        <v>101</v>
      </c>
      <c r="E395" s="69" t="s">
        <v>1377</v>
      </c>
      <c r="F395" s="69" t="s">
        <v>1378</v>
      </c>
      <c r="G395" s="69" t="s">
        <v>140</v>
      </c>
      <c r="H395" s="70">
        <v>2014</v>
      </c>
      <c r="I395" s="69"/>
      <c r="J395" s="69" t="s">
        <v>2110</v>
      </c>
      <c r="K395" s="71" t="s">
        <v>2111</v>
      </c>
      <c r="L395" s="71" t="s">
        <v>2112</v>
      </c>
      <c r="M395" s="71" t="s">
        <v>2113</v>
      </c>
      <c r="N395" s="69" t="s">
        <v>57</v>
      </c>
      <c r="O395" s="64">
        <v>1</v>
      </c>
      <c r="P395" s="72">
        <v>19189533</v>
      </c>
      <c r="Q395" s="69" t="s">
        <v>2114</v>
      </c>
      <c r="R395" s="69"/>
      <c r="S395" s="68" t="s">
        <v>106</v>
      </c>
      <c r="T395" s="56">
        <v>5</v>
      </c>
      <c r="U395" s="56">
        <v>3</v>
      </c>
    </row>
    <row r="396" spans="1:21" ht="14.25" customHeight="1" thickBot="1" x14ac:dyDescent="0.4">
      <c r="A396" s="58">
        <v>380</v>
      </c>
      <c r="B396" s="69" t="s">
        <v>79</v>
      </c>
      <c r="C396" s="69" t="s">
        <v>80</v>
      </c>
      <c r="D396" s="70" t="s">
        <v>107</v>
      </c>
      <c r="E396" s="69" t="s">
        <v>2115</v>
      </c>
      <c r="F396" s="69" t="s">
        <v>2116</v>
      </c>
      <c r="G396" s="69" t="s">
        <v>54</v>
      </c>
      <c r="H396" s="70">
        <v>2014</v>
      </c>
      <c r="I396" s="69"/>
      <c r="J396" s="69" t="s">
        <v>2117</v>
      </c>
      <c r="K396" s="71" t="s">
        <v>2118</v>
      </c>
      <c r="L396" s="71" t="s">
        <v>2119</v>
      </c>
      <c r="M396" s="71" t="s">
        <v>2120</v>
      </c>
      <c r="N396" s="69" t="s">
        <v>57</v>
      </c>
      <c r="O396" s="64">
        <v>1</v>
      </c>
      <c r="P396" s="72">
        <v>26870000</v>
      </c>
      <c r="Q396" s="69" t="s">
        <v>2121</v>
      </c>
      <c r="R396" s="69"/>
      <c r="S396" s="68" t="s">
        <v>106</v>
      </c>
      <c r="T396" s="56">
        <v>5</v>
      </c>
      <c r="U396" s="56">
        <v>3</v>
      </c>
    </row>
    <row r="397" spans="1:21" ht="14.25" customHeight="1" x14ac:dyDescent="0.35">
      <c r="A397" s="47">
        <v>381</v>
      </c>
      <c r="B397" s="69" t="s">
        <v>79</v>
      </c>
      <c r="C397" s="69" t="s">
        <v>80</v>
      </c>
      <c r="D397" s="70" t="s">
        <v>112</v>
      </c>
      <c r="E397" s="69" t="s">
        <v>2115</v>
      </c>
      <c r="F397" s="69" t="s">
        <v>2116</v>
      </c>
      <c r="G397" s="69" t="s">
        <v>54</v>
      </c>
      <c r="H397" s="70">
        <v>2014</v>
      </c>
      <c r="I397" s="69"/>
      <c r="J397" s="69" t="s">
        <v>2122</v>
      </c>
      <c r="K397" s="71" t="s">
        <v>2123</v>
      </c>
      <c r="L397" s="71" t="s">
        <v>2124</v>
      </c>
      <c r="M397" s="71" t="s">
        <v>2125</v>
      </c>
      <c r="N397" s="69" t="s">
        <v>57</v>
      </c>
      <c r="O397" s="64">
        <v>1</v>
      </c>
      <c r="P397" s="72">
        <v>26880000</v>
      </c>
      <c r="Q397" s="69" t="s">
        <v>2126</v>
      </c>
      <c r="R397" s="69"/>
      <c r="S397" s="68" t="s">
        <v>106</v>
      </c>
      <c r="T397" s="56">
        <v>5</v>
      </c>
      <c r="U397" s="56">
        <v>3</v>
      </c>
    </row>
    <row r="398" spans="1:21" ht="14.25" customHeight="1" thickBot="1" x14ac:dyDescent="0.4">
      <c r="A398" s="58">
        <v>382</v>
      </c>
      <c r="B398" s="69" t="s">
        <v>79</v>
      </c>
      <c r="C398" s="69" t="s">
        <v>80</v>
      </c>
      <c r="D398" s="70" t="s">
        <v>116</v>
      </c>
      <c r="E398" s="69" t="s">
        <v>2115</v>
      </c>
      <c r="F398" s="69" t="s">
        <v>2116</v>
      </c>
      <c r="G398" s="69" t="s">
        <v>54</v>
      </c>
      <c r="H398" s="70">
        <v>2014</v>
      </c>
      <c r="I398" s="69"/>
      <c r="J398" s="69" t="s">
        <v>2127</v>
      </c>
      <c r="K398" s="71" t="s">
        <v>2128</v>
      </c>
      <c r="L398" s="71" t="s">
        <v>2129</v>
      </c>
      <c r="M398" s="71" t="s">
        <v>2130</v>
      </c>
      <c r="N398" s="69" t="s">
        <v>57</v>
      </c>
      <c r="O398" s="64">
        <v>1</v>
      </c>
      <c r="P398" s="72">
        <v>26880000</v>
      </c>
      <c r="Q398" s="69" t="s">
        <v>2126</v>
      </c>
      <c r="R398" s="69"/>
      <c r="S398" s="68" t="s">
        <v>106</v>
      </c>
      <c r="T398" s="56">
        <v>5</v>
      </c>
      <c r="U398" s="56">
        <v>3</v>
      </c>
    </row>
    <row r="399" spans="1:21" ht="14.25" customHeight="1" x14ac:dyDescent="0.35">
      <c r="A399" s="47">
        <v>383</v>
      </c>
      <c r="B399" s="69" t="s">
        <v>79</v>
      </c>
      <c r="C399" s="69" t="s">
        <v>80</v>
      </c>
      <c r="D399" s="70" t="s">
        <v>841</v>
      </c>
      <c r="E399" s="69" t="s">
        <v>2115</v>
      </c>
      <c r="F399" s="69" t="s">
        <v>2116</v>
      </c>
      <c r="G399" s="69" t="s">
        <v>54</v>
      </c>
      <c r="H399" s="70">
        <v>2014</v>
      </c>
      <c r="I399" s="69"/>
      <c r="J399" s="69" t="s">
        <v>2131</v>
      </c>
      <c r="K399" s="71" t="s">
        <v>2132</v>
      </c>
      <c r="L399" s="71" t="s">
        <v>2133</v>
      </c>
      <c r="M399" s="71" t="s">
        <v>2134</v>
      </c>
      <c r="N399" s="69" t="s">
        <v>57</v>
      </c>
      <c r="O399" s="64">
        <v>1</v>
      </c>
      <c r="P399" s="72">
        <v>26880000</v>
      </c>
      <c r="Q399" s="69" t="s">
        <v>2135</v>
      </c>
      <c r="R399" s="69"/>
      <c r="S399" s="68" t="s">
        <v>106</v>
      </c>
      <c r="T399" s="56">
        <v>5</v>
      </c>
      <c r="U399" s="56">
        <v>3</v>
      </c>
    </row>
    <row r="400" spans="1:21" ht="14.25" customHeight="1" thickBot="1" x14ac:dyDescent="0.4">
      <c r="A400" s="58">
        <v>384</v>
      </c>
      <c r="B400" s="69" t="s">
        <v>79</v>
      </c>
      <c r="C400" s="69" t="s">
        <v>80</v>
      </c>
      <c r="D400" s="70" t="s">
        <v>904</v>
      </c>
      <c r="E400" s="69" t="s">
        <v>2115</v>
      </c>
      <c r="F400" s="69" t="s">
        <v>2116</v>
      </c>
      <c r="G400" s="69" t="s">
        <v>54</v>
      </c>
      <c r="H400" s="70">
        <v>2014</v>
      </c>
      <c r="I400" s="69"/>
      <c r="J400" s="69" t="s">
        <v>2136</v>
      </c>
      <c r="K400" s="71" t="s">
        <v>2137</v>
      </c>
      <c r="L400" s="71" t="s">
        <v>2138</v>
      </c>
      <c r="M400" s="71" t="s">
        <v>2139</v>
      </c>
      <c r="N400" s="69" t="s">
        <v>57</v>
      </c>
      <c r="O400" s="64">
        <v>1</v>
      </c>
      <c r="P400" s="72">
        <v>26880000</v>
      </c>
      <c r="Q400" s="69" t="s">
        <v>2140</v>
      </c>
      <c r="R400" s="69"/>
      <c r="S400" s="68" t="s">
        <v>106</v>
      </c>
      <c r="T400" s="56">
        <v>5</v>
      </c>
      <c r="U400" s="56">
        <v>3</v>
      </c>
    </row>
    <row r="401" spans="1:21" ht="14.25" customHeight="1" x14ac:dyDescent="0.35">
      <c r="A401" s="47">
        <v>385</v>
      </c>
      <c r="B401" s="69" t="s">
        <v>79</v>
      </c>
      <c r="C401" s="69" t="s">
        <v>80</v>
      </c>
      <c r="D401" s="70" t="s">
        <v>122</v>
      </c>
      <c r="E401" s="69" t="s">
        <v>2115</v>
      </c>
      <c r="F401" s="69" t="s">
        <v>2116</v>
      </c>
      <c r="G401" s="69" t="s">
        <v>54</v>
      </c>
      <c r="H401" s="70">
        <v>2014</v>
      </c>
      <c r="I401" s="69"/>
      <c r="J401" s="69" t="s">
        <v>2141</v>
      </c>
      <c r="K401" s="71" t="s">
        <v>2142</v>
      </c>
      <c r="L401" s="71" t="s">
        <v>2143</v>
      </c>
      <c r="M401" s="71" t="s">
        <v>2144</v>
      </c>
      <c r="N401" s="69" t="s">
        <v>57</v>
      </c>
      <c r="O401" s="64">
        <v>1</v>
      </c>
      <c r="P401" s="72">
        <v>26880000</v>
      </c>
      <c r="Q401" s="69" t="s">
        <v>2140</v>
      </c>
      <c r="R401" s="69"/>
      <c r="S401" s="68" t="s">
        <v>106</v>
      </c>
      <c r="T401" s="56">
        <v>5</v>
      </c>
      <c r="U401" s="56">
        <v>3</v>
      </c>
    </row>
    <row r="402" spans="1:21" ht="14.25" customHeight="1" thickBot="1" x14ac:dyDescent="0.4">
      <c r="A402" s="58">
        <v>386</v>
      </c>
      <c r="B402" s="69" t="s">
        <v>79</v>
      </c>
      <c r="C402" s="69" t="s">
        <v>80</v>
      </c>
      <c r="D402" s="70" t="s">
        <v>126</v>
      </c>
      <c r="E402" s="69" t="s">
        <v>2115</v>
      </c>
      <c r="F402" s="69" t="s">
        <v>2116</v>
      </c>
      <c r="G402" s="69" t="s">
        <v>54</v>
      </c>
      <c r="H402" s="70">
        <v>2014</v>
      </c>
      <c r="I402" s="69"/>
      <c r="J402" s="69" t="s">
        <v>2145</v>
      </c>
      <c r="K402" s="71" t="s">
        <v>2146</v>
      </c>
      <c r="L402" s="71" t="s">
        <v>2147</v>
      </c>
      <c r="M402" s="71" t="s">
        <v>2148</v>
      </c>
      <c r="N402" s="69" t="s">
        <v>57</v>
      </c>
      <c r="O402" s="64">
        <v>1</v>
      </c>
      <c r="P402" s="72">
        <v>26880000</v>
      </c>
      <c r="Q402" s="69" t="s">
        <v>2135</v>
      </c>
      <c r="R402" s="69"/>
      <c r="S402" s="68" t="s">
        <v>106</v>
      </c>
      <c r="T402" s="56">
        <v>5</v>
      </c>
      <c r="U402" s="56">
        <v>3</v>
      </c>
    </row>
    <row r="403" spans="1:21" ht="14.25" customHeight="1" x14ac:dyDescent="0.35">
      <c r="A403" s="47">
        <v>387</v>
      </c>
      <c r="B403" s="69" t="s">
        <v>79</v>
      </c>
      <c r="C403" s="69" t="s">
        <v>80</v>
      </c>
      <c r="D403" s="70" t="s">
        <v>132</v>
      </c>
      <c r="E403" s="69" t="s">
        <v>2149</v>
      </c>
      <c r="F403" s="69" t="s">
        <v>88</v>
      </c>
      <c r="G403" s="69" t="s">
        <v>54</v>
      </c>
      <c r="H403" s="70">
        <v>2010</v>
      </c>
      <c r="I403" s="69"/>
      <c r="J403" s="69" t="s">
        <v>2150</v>
      </c>
      <c r="K403" s="71" t="s">
        <v>2151</v>
      </c>
      <c r="L403" s="71" t="s">
        <v>2152</v>
      </c>
      <c r="M403" s="71" t="s">
        <v>2153</v>
      </c>
      <c r="N403" s="69" t="s">
        <v>57</v>
      </c>
      <c r="O403" s="64">
        <v>1</v>
      </c>
      <c r="P403" s="72">
        <v>17565000</v>
      </c>
      <c r="Q403" s="69" t="s">
        <v>2154</v>
      </c>
      <c r="R403" s="69"/>
      <c r="S403" s="68" t="s">
        <v>106</v>
      </c>
      <c r="T403" s="56">
        <v>5</v>
      </c>
      <c r="U403" s="56">
        <v>3</v>
      </c>
    </row>
    <row r="404" spans="1:21" ht="14.25" customHeight="1" thickBot="1" x14ac:dyDescent="0.4">
      <c r="A404" s="58">
        <v>388</v>
      </c>
      <c r="B404" s="69" t="s">
        <v>79</v>
      </c>
      <c r="C404" s="69" t="s">
        <v>80</v>
      </c>
      <c r="D404" s="70" t="s">
        <v>137</v>
      </c>
      <c r="E404" s="69" t="s">
        <v>1860</v>
      </c>
      <c r="F404" s="69" t="s">
        <v>202</v>
      </c>
      <c r="G404" s="69" t="s">
        <v>54</v>
      </c>
      <c r="H404" s="70">
        <v>2012</v>
      </c>
      <c r="I404" s="69"/>
      <c r="J404" s="69" t="s">
        <v>2155</v>
      </c>
      <c r="K404" s="71" t="s">
        <v>2156</v>
      </c>
      <c r="L404" s="71" t="s">
        <v>2157</v>
      </c>
      <c r="M404" s="71" t="s">
        <v>2158</v>
      </c>
      <c r="N404" s="69" t="s">
        <v>57</v>
      </c>
      <c r="O404" s="64">
        <v>1</v>
      </c>
      <c r="P404" s="72">
        <v>13177550</v>
      </c>
      <c r="Q404" s="69" t="s">
        <v>2159</v>
      </c>
      <c r="R404" s="69"/>
      <c r="S404" s="68" t="s">
        <v>106</v>
      </c>
      <c r="T404" s="56">
        <v>5</v>
      </c>
      <c r="U404" s="56">
        <v>3</v>
      </c>
    </row>
    <row r="405" spans="1:21" ht="14.25" customHeight="1" x14ac:dyDescent="0.35">
      <c r="A405" s="47">
        <v>389</v>
      </c>
      <c r="B405" s="69" t="s">
        <v>79</v>
      </c>
      <c r="C405" s="69" t="s">
        <v>80</v>
      </c>
      <c r="D405" s="70" t="s">
        <v>146</v>
      </c>
      <c r="E405" s="69" t="s">
        <v>2149</v>
      </c>
      <c r="F405" s="69" t="s">
        <v>88</v>
      </c>
      <c r="G405" s="69" t="s">
        <v>54</v>
      </c>
      <c r="H405" s="70">
        <v>2010</v>
      </c>
      <c r="I405" s="69"/>
      <c r="J405" s="69" t="s">
        <v>2160</v>
      </c>
      <c r="K405" s="71" t="s">
        <v>2161</v>
      </c>
      <c r="L405" s="71" t="s">
        <v>2162</v>
      </c>
      <c r="M405" s="71" t="s">
        <v>2163</v>
      </c>
      <c r="N405" s="69" t="s">
        <v>57</v>
      </c>
      <c r="O405" s="64">
        <v>1</v>
      </c>
      <c r="P405" s="72">
        <v>17565000</v>
      </c>
      <c r="Q405" s="69" t="s">
        <v>2164</v>
      </c>
      <c r="R405" s="69"/>
      <c r="S405" s="68" t="s">
        <v>106</v>
      </c>
      <c r="T405" s="56">
        <v>5</v>
      </c>
      <c r="U405" s="56">
        <v>3</v>
      </c>
    </row>
    <row r="406" spans="1:21" ht="14.25" customHeight="1" thickBot="1" x14ac:dyDescent="0.4">
      <c r="A406" s="58">
        <v>390</v>
      </c>
      <c r="B406" s="69" t="s">
        <v>79</v>
      </c>
      <c r="C406" s="69" t="s">
        <v>80</v>
      </c>
      <c r="D406" s="70" t="s">
        <v>154</v>
      </c>
      <c r="E406" s="69" t="s">
        <v>2149</v>
      </c>
      <c r="F406" s="69" t="s">
        <v>88</v>
      </c>
      <c r="G406" s="69" t="s">
        <v>54</v>
      </c>
      <c r="H406" s="70">
        <v>2010</v>
      </c>
      <c r="I406" s="69"/>
      <c r="J406" s="69" t="s">
        <v>2165</v>
      </c>
      <c r="K406" s="71" t="s">
        <v>2166</v>
      </c>
      <c r="L406" s="71" t="s">
        <v>2167</v>
      </c>
      <c r="M406" s="71" t="s">
        <v>2168</v>
      </c>
      <c r="N406" s="69" t="s">
        <v>57</v>
      </c>
      <c r="O406" s="64">
        <v>1</v>
      </c>
      <c r="P406" s="72">
        <v>17565000</v>
      </c>
      <c r="Q406" s="69" t="s">
        <v>2164</v>
      </c>
      <c r="R406" s="69"/>
      <c r="S406" s="68" t="s">
        <v>106</v>
      </c>
      <c r="T406" s="56">
        <v>5</v>
      </c>
      <c r="U406" s="56">
        <v>3</v>
      </c>
    </row>
    <row r="407" spans="1:21" ht="14.25" customHeight="1" x14ac:dyDescent="0.35">
      <c r="A407" s="47">
        <v>391</v>
      </c>
      <c r="B407" s="69" t="s">
        <v>79</v>
      </c>
      <c r="C407" s="69" t="s">
        <v>80</v>
      </c>
      <c r="D407" s="70" t="s">
        <v>161</v>
      </c>
      <c r="E407" s="69" t="s">
        <v>2149</v>
      </c>
      <c r="F407" s="69" t="s">
        <v>88</v>
      </c>
      <c r="G407" s="69" t="s">
        <v>54</v>
      </c>
      <c r="H407" s="70">
        <v>2010</v>
      </c>
      <c r="I407" s="69"/>
      <c r="J407" s="69" t="s">
        <v>2169</v>
      </c>
      <c r="K407" s="71" t="s">
        <v>2170</v>
      </c>
      <c r="L407" s="71" t="s">
        <v>2171</v>
      </c>
      <c r="M407" s="71" t="s">
        <v>2172</v>
      </c>
      <c r="N407" s="69" t="s">
        <v>57</v>
      </c>
      <c r="O407" s="64">
        <v>1</v>
      </c>
      <c r="P407" s="72">
        <v>17565000</v>
      </c>
      <c r="Q407" s="69" t="s">
        <v>2154</v>
      </c>
      <c r="R407" s="69"/>
      <c r="S407" s="68" t="s">
        <v>106</v>
      </c>
      <c r="T407" s="56">
        <v>5</v>
      </c>
      <c r="U407" s="56">
        <v>3</v>
      </c>
    </row>
    <row r="408" spans="1:21" ht="14.25" customHeight="1" thickBot="1" x14ac:dyDescent="0.4">
      <c r="A408" s="58">
        <v>392</v>
      </c>
      <c r="B408" s="69" t="s">
        <v>79</v>
      </c>
      <c r="C408" s="69" t="s">
        <v>80</v>
      </c>
      <c r="D408" s="70" t="s">
        <v>169</v>
      </c>
      <c r="E408" s="69" t="s">
        <v>2173</v>
      </c>
      <c r="F408" s="69" t="s">
        <v>88</v>
      </c>
      <c r="G408" s="69" t="s">
        <v>54</v>
      </c>
      <c r="H408" s="70">
        <v>2008</v>
      </c>
      <c r="I408" s="69"/>
      <c r="J408" s="69" t="s">
        <v>2174</v>
      </c>
      <c r="K408" s="71" t="s">
        <v>2175</v>
      </c>
      <c r="L408" s="71" t="s">
        <v>2176</v>
      </c>
      <c r="M408" s="71"/>
      <c r="N408" s="69" t="s">
        <v>57</v>
      </c>
      <c r="O408" s="64">
        <v>1</v>
      </c>
      <c r="P408" s="72">
        <v>16950000</v>
      </c>
      <c r="Q408" s="69" t="s">
        <v>2177</v>
      </c>
      <c r="R408" s="69"/>
      <c r="S408" s="68" t="s">
        <v>106</v>
      </c>
      <c r="T408" s="56">
        <v>5</v>
      </c>
      <c r="U408" s="56">
        <v>3</v>
      </c>
    </row>
    <row r="409" spans="1:21" ht="14.25" customHeight="1" x14ac:dyDescent="0.35">
      <c r="A409" s="47">
        <v>393</v>
      </c>
      <c r="B409" s="69" t="s">
        <v>79</v>
      </c>
      <c r="C409" s="69" t="s">
        <v>80</v>
      </c>
      <c r="D409" s="70" t="s">
        <v>176</v>
      </c>
      <c r="E409" s="69" t="s">
        <v>2178</v>
      </c>
      <c r="F409" s="69" t="s">
        <v>2179</v>
      </c>
      <c r="G409" s="69" t="s">
        <v>54</v>
      </c>
      <c r="H409" s="70">
        <v>2015</v>
      </c>
      <c r="I409" s="69"/>
      <c r="J409" s="69" t="s">
        <v>2180</v>
      </c>
      <c r="K409" s="71" t="s">
        <v>2181</v>
      </c>
      <c r="L409" s="71" t="s">
        <v>2182</v>
      </c>
      <c r="M409" s="71" t="s">
        <v>2183</v>
      </c>
      <c r="N409" s="69" t="s">
        <v>57</v>
      </c>
      <c r="O409" s="64">
        <v>1</v>
      </c>
      <c r="P409" s="72">
        <v>18876000</v>
      </c>
      <c r="Q409" s="69" t="s">
        <v>621</v>
      </c>
      <c r="R409" s="69"/>
      <c r="S409" s="68" t="s">
        <v>106</v>
      </c>
      <c r="T409" s="56">
        <v>5</v>
      </c>
      <c r="U409" s="56">
        <v>3</v>
      </c>
    </row>
    <row r="410" spans="1:21" ht="14.25" customHeight="1" thickBot="1" x14ac:dyDescent="0.4">
      <c r="A410" s="58">
        <v>394</v>
      </c>
      <c r="B410" s="69" t="s">
        <v>79</v>
      </c>
      <c r="C410" s="69" t="s">
        <v>80</v>
      </c>
      <c r="D410" s="70" t="s">
        <v>1236</v>
      </c>
      <c r="E410" s="69" t="s">
        <v>147</v>
      </c>
      <c r="F410" s="69" t="s">
        <v>148</v>
      </c>
      <c r="G410" s="69" t="s">
        <v>140</v>
      </c>
      <c r="H410" s="70">
        <v>2015</v>
      </c>
      <c r="I410" s="69"/>
      <c r="J410" s="69" t="s">
        <v>2184</v>
      </c>
      <c r="K410" s="71" t="s">
        <v>2185</v>
      </c>
      <c r="L410" s="71" t="s">
        <v>2186</v>
      </c>
      <c r="M410" s="71" t="s">
        <v>2187</v>
      </c>
      <c r="N410" s="69" t="s">
        <v>57</v>
      </c>
      <c r="O410" s="64">
        <v>1</v>
      </c>
      <c r="P410" s="72">
        <v>19430000</v>
      </c>
      <c r="Q410" s="69" t="s">
        <v>2188</v>
      </c>
      <c r="R410" s="69"/>
      <c r="S410" s="68" t="s">
        <v>106</v>
      </c>
      <c r="T410" s="56">
        <v>5</v>
      </c>
      <c r="U410" s="56">
        <v>3</v>
      </c>
    </row>
    <row r="411" spans="1:21" ht="14.25" customHeight="1" x14ac:dyDescent="0.35">
      <c r="A411" s="47">
        <v>395</v>
      </c>
      <c r="B411" s="69" t="s">
        <v>79</v>
      </c>
      <c r="C411" s="69" t="s">
        <v>80</v>
      </c>
      <c r="D411" s="70" t="s">
        <v>181</v>
      </c>
      <c r="E411" s="69" t="s">
        <v>2189</v>
      </c>
      <c r="F411" s="69" t="s">
        <v>217</v>
      </c>
      <c r="G411" s="69" t="s">
        <v>247</v>
      </c>
      <c r="H411" s="70">
        <v>2020</v>
      </c>
      <c r="I411" s="69" t="s">
        <v>63</v>
      </c>
      <c r="J411" s="69" t="s">
        <v>2190</v>
      </c>
      <c r="K411" s="71" t="s">
        <v>2191</v>
      </c>
      <c r="L411" s="71" t="s">
        <v>2192</v>
      </c>
      <c r="M411" s="71" t="s">
        <v>2193</v>
      </c>
      <c r="N411" s="69" t="s">
        <v>57</v>
      </c>
      <c r="O411" s="64">
        <v>1</v>
      </c>
      <c r="P411" s="72">
        <v>23800000</v>
      </c>
      <c r="Q411" s="69" t="s">
        <v>2194</v>
      </c>
      <c r="R411" s="69"/>
      <c r="S411" s="68" t="s">
        <v>106</v>
      </c>
      <c r="T411" s="56">
        <v>5</v>
      </c>
      <c r="U411" s="56">
        <v>3</v>
      </c>
    </row>
    <row r="412" spans="1:21" ht="14.25" customHeight="1" thickBot="1" x14ac:dyDescent="0.4">
      <c r="A412" s="58">
        <v>396</v>
      </c>
      <c r="B412" s="69" t="s">
        <v>79</v>
      </c>
      <c r="C412" s="69" t="s">
        <v>80</v>
      </c>
      <c r="D412" s="70" t="s">
        <v>187</v>
      </c>
      <c r="E412" s="69" t="s">
        <v>2189</v>
      </c>
      <c r="F412" s="69" t="s">
        <v>217</v>
      </c>
      <c r="G412" s="69" t="s">
        <v>247</v>
      </c>
      <c r="H412" s="70">
        <v>2020</v>
      </c>
      <c r="I412" s="69" t="s">
        <v>63</v>
      </c>
      <c r="J412" s="69" t="s">
        <v>2195</v>
      </c>
      <c r="K412" s="71" t="s">
        <v>2196</v>
      </c>
      <c r="L412" s="71" t="s">
        <v>2197</v>
      </c>
      <c r="M412" s="71" t="s">
        <v>2198</v>
      </c>
      <c r="N412" s="69" t="s">
        <v>57</v>
      </c>
      <c r="O412" s="64">
        <v>1</v>
      </c>
      <c r="P412" s="72">
        <v>23800000</v>
      </c>
      <c r="Q412" s="69" t="s">
        <v>2194</v>
      </c>
      <c r="R412" s="69"/>
      <c r="S412" s="68" t="s">
        <v>106</v>
      </c>
      <c r="T412" s="56">
        <v>5</v>
      </c>
      <c r="U412" s="56">
        <v>3</v>
      </c>
    </row>
    <row r="413" spans="1:21" ht="14.25" customHeight="1" x14ac:dyDescent="0.35">
      <c r="A413" s="47">
        <v>397</v>
      </c>
      <c r="B413" s="69" t="s">
        <v>79</v>
      </c>
      <c r="C413" s="69" t="s">
        <v>80</v>
      </c>
      <c r="D413" s="70" t="s">
        <v>190</v>
      </c>
      <c r="E413" s="69" t="s">
        <v>2189</v>
      </c>
      <c r="F413" s="69" t="s">
        <v>217</v>
      </c>
      <c r="G413" s="69" t="s">
        <v>247</v>
      </c>
      <c r="H413" s="70">
        <v>2020</v>
      </c>
      <c r="I413" s="69" t="s">
        <v>63</v>
      </c>
      <c r="J413" s="69" t="s">
        <v>2199</v>
      </c>
      <c r="K413" s="71" t="s">
        <v>2200</v>
      </c>
      <c r="L413" s="71" t="s">
        <v>2201</v>
      </c>
      <c r="M413" s="71" t="s">
        <v>2202</v>
      </c>
      <c r="N413" s="69" t="s">
        <v>57</v>
      </c>
      <c r="O413" s="64">
        <v>1</v>
      </c>
      <c r="P413" s="72">
        <v>23800000</v>
      </c>
      <c r="Q413" s="69" t="s">
        <v>2194</v>
      </c>
      <c r="R413" s="69"/>
      <c r="S413" s="68" t="s">
        <v>106</v>
      </c>
      <c r="T413" s="56">
        <v>5</v>
      </c>
      <c r="U413" s="56">
        <v>3</v>
      </c>
    </row>
    <row r="414" spans="1:21" ht="14.25" customHeight="1" thickBot="1" x14ac:dyDescent="0.4">
      <c r="A414" s="58">
        <v>398</v>
      </c>
      <c r="B414" s="69" t="s">
        <v>79</v>
      </c>
      <c r="C414" s="69" t="s">
        <v>80</v>
      </c>
      <c r="D414" s="70" t="s">
        <v>192</v>
      </c>
      <c r="E414" s="69" t="s">
        <v>2189</v>
      </c>
      <c r="F414" s="69" t="s">
        <v>217</v>
      </c>
      <c r="G414" s="69" t="s">
        <v>247</v>
      </c>
      <c r="H414" s="70">
        <v>2020</v>
      </c>
      <c r="I414" s="69" t="s">
        <v>63</v>
      </c>
      <c r="J414" s="69" t="s">
        <v>2203</v>
      </c>
      <c r="K414" s="71" t="s">
        <v>2204</v>
      </c>
      <c r="L414" s="71" t="s">
        <v>2205</v>
      </c>
      <c r="M414" s="71" t="s">
        <v>2206</v>
      </c>
      <c r="N414" s="69" t="s">
        <v>57</v>
      </c>
      <c r="O414" s="64">
        <v>1</v>
      </c>
      <c r="P414" s="72">
        <v>23800000</v>
      </c>
      <c r="Q414" s="69" t="s">
        <v>2194</v>
      </c>
      <c r="R414" s="69"/>
      <c r="S414" s="68" t="s">
        <v>106</v>
      </c>
      <c r="T414" s="56">
        <v>5</v>
      </c>
      <c r="U414" s="56">
        <v>3</v>
      </c>
    </row>
    <row r="415" spans="1:21" ht="14.25" customHeight="1" x14ac:dyDescent="0.35">
      <c r="A415" s="47">
        <v>399</v>
      </c>
      <c r="B415" s="69" t="s">
        <v>79</v>
      </c>
      <c r="C415" s="69" t="s">
        <v>80</v>
      </c>
      <c r="D415" s="70" t="s">
        <v>194</v>
      </c>
      <c r="E415" s="69" t="s">
        <v>2100</v>
      </c>
      <c r="F415" s="69" t="s">
        <v>82</v>
      </c>
      <c r="G415" s="69" t="s">
        <v>54</v>
      </c>
      <c r="H415" s="70">
        <v>2004</v>
      </c>
      <c r="I415" s="69"/>
      <c r="J415" s="69" t="s">
        <v>2207</v>
      </c>
      <c r="K415" s="71" t="s">
        <v>2208</v>
      </c>
      <c r="L415" s="71" t="s">
        <v>2209</v>
      </c>
      <c r="M415" s="71" t="s">
        <v>2210</v>
      </c>
      <c r="N415" s="69" t="s">
        <v>57</v>
      </c>
      <c r="O415" s="64">
        <v>1</v>
      </c>
      <c r="P415" s="72">
        <v>12750000</v>
      </c>
      <c r="Q415" s="69" t="s">
        <v>2105</v>
      </c>
      <c r="R415" s="69"/>
      <c r="S415" s="68" t="s">
        <v>106</v>
      </c>
      <c r="T415" s="56">
        <v>5</v>
      </c>
      <c r="U415" s="56">
        <v>3</v>
      </c>
    </row>
    <row r="416" spans="1:21" ht="14.25" customHeight="1" thickBot="1" x14ac:dyDescent="0.4">
      <c r="A416" s="58">
        <v>400</v>
      </c>
      <c r="B416" s="69" t="s">
        <v>79</v>
      </c>
      <c r="C416" s="69" t="s">
        <v>80</v>
      </c>
      <c r="D416" s="70" t="s">
        <v>2211</v>
      </c>
      <c r="E416" s="69" t="s">
        <v>63</v>
      </c>
      <c r="F416" s="93">
        <v>150</v>
      </c>
      <c r="G416" s="69" t="s">
        <v>247</v>
      </c>
      <c r="H416" s="70">
        <v>2023</v>
      </c>
      <c r="I416" s="69" t="s">
        <v>63</v>
      </c>
      <c r="J416" s="105" t="s">
        <v>2212</v>
      </c>
      <c r="K416" s="105" t="s">
        <v>2213</v>
      </c>
      <c r="L416" s="106" t="s">
        <v>2214</v>
      </c>
      <c r="M416" s="105" t="s">
        <v>2215</v>
      </c>
      <c r="N416" s="69" t="s">
        <v>44</v>
      </c>
      <c r="O416" s="64">
        <v>1</v>
      </c>
      <c r="P416" s="72">
        <v>71224000</v>
      </c>
      <c r="Q416" s="69" t="s">
        <v>2216</v>
      </c>
      <c r="R416" s="69"/>
      <c r="S416" s="68" t="s">
        <v>106</v>
      </c>
      <c r="T416" s="56">
        <v>5</v>
      </c>
      <c r="U416" s="56">
        <v>3</v>
      </c>
    </row>
    <row r="417" spans="1:21" ht="14.25" customHeight="1" x14ac:dyDescent="0.35">
      <c r="A417" s="47">
        <v>401</v>
      </c>
      <c r="B417" s="69" t="s">
        <v>79</v>
      </c>
      <c r="C417" s="69" t="s">
        <v>80</v>
      </c>
      <c r="D417" s="70" t="s">
        <v>2217</v>
      </c>
      <c r="E417" s="69" t="s">
        <v>2218</v>
      </c>
      <c r="F417" s="93">
        <v>149.15</v>
      </c>
      <c r="G417" s="69" t="s">
        <v>247</v>
      </c>
      <c r="H417" s="70">
        <v>2024</v>
      </c>
      <c r="I417" s="69" t="s">
        <v>63</v>
      </c>
      <c r="J417" s="107" t="s">
        <v>2219</v>
      </c>
      <c r="K417" s="108" t="s">
        <v>2220</v>
      </c>
      <c r="L417" s="109" t="s">
        <v>2221</v>
      </c>
      <c r="M417" s="108" t="s">
        <v>2222</v>
      </c>
      <c r="N417" s="69" t="s">
        <v>44</v>
      </c>
      <c r="O417" s="64">
        <v>1</v>
      </c>
      <c r="P417" s="72">
        <v>111900000</v>
      </c>
      <c r="Q417" s="69" t="s">
        <v>2223</v>
      </c>
      <c r="R417" s="69"/>
      <c r="S417" s="68" t="s">
        <v>106</v>
      </c>
      <c r="T417" s="56">
        <v>5</v>
      </c>
      <c r="U417" s="56">
        <v>3</v>
      </c>
    </row>
    <row r="418" spans="1:21" ht="14.25" customHeight="1" thickBot="1" x14ac:dyDescent="0.4">
      <c r="A418" s="58">
        <v>402</v>
      </c>
      <c r="B418" s="69" t="s">
        <v>79</v>
      </c>
      <c r="C418" s="69" t="s">
        <v>80</v>
      </c>
      <c r="D418" s="70" t="s">
        <v>2224</v>
      </c>
      <c r="E418" s="69" t="s">
        <v>2225</v>
      </c>
      <c r="F418" s="93">
        <v>109.51</v>
      </c>
      <c r="G418" s="69" t="s">
        <v>247</v>
      </c>
      <c r="H418" s="70">
        <v>2024</v>
      </c>
      <c r="I418" s="69" t="s">
        <v>63</v>
      </c>
      <c r="J418" s="110" t="s">
        <v>2226</v>
      </c>
      <c r="K418" s="111" t="s">
        <v>2227</v>
      </c>
      <c r="L418" s="112" t="s">
        <v>2228</v>
      </c>
      <c r="M418" s="108" t="s">
        <v>2229</v>
      </c>
      <c r="N418" s="69" t="s">
        <v>44</v>
      </c>
      <c r="O418" s="64">
        <v>1</v>
      </c>
      <c r="P418" s="72">
        <v>40810000</v>
      </c>
      <c r="Q418" s="69" t="s">
        <v>2230</v>
      </c>
      <c r="R418" s="69"/>
      <c r="S418" s="68" t="s">
        <v>106</v>
      </c>
      <c r="T418" s="56">
        <v>5</v>
      </c>
      <c r="U418" s="56">
        <v>3</v>
      </c>
    </row>
    <row r="419" spans="1:21" ht="14.25" customHeight="1" x14ac:dyDescent="0.35">
      <c r="A419" s="47">
        <v>403</v>
      </c>
      <c r="B419" s="69" t="s">
        <v>79</v>
      </c>
      <c r="C419" s="69" t="s">
        <v>80</v>
      </c>
      <c r="D419" s="70" t="s">
        <v>2231</v>
      </c>
      <c r="E419" s="69" t="s">
        <v>63</v>
      </c>
      <c r="F419" s="93">
        <v>150</v>
      </c>
      <c r="G419" s="69" t="s">
        <v>247</v>
      </c>
      <c r="H419" s="70">
        <v>2025</v>
      </c>
      <c r="I419" s="69" t="s">
        <v>63</v>
      </c>
      <c r="J419" s="107" t="s">
        <v>2232</v>
      </c>
      <c r="K419" s="107" t="s">
        <v>2233</v>
      </c>
      <c r="L419" s="93" t="s">
        <v>2234</v>
      </c>
      <c r="M419" s="107" t="s">
        <v>2235</v>
      </c>
      <c r="N419" s="69" t="s">
        <v>44</v>
      </c>
      <c r="O419" s="64">
        <v>1</v>
      </c>
      <c r="P419" s="72">
        <v>75018000</v>
      </c>
      <c r="Q419" s="69" t="s">
        <v>2223</v>
      </c>
      <c r="R419" s="69"/>
      <c r="S419" s="68" t="s">
        <v>106</v>
      </c>
      <c r="T419" s="56">
        <v>5</v>
      </c>
      <c r="U419" s="56">
        <v>3</v>
      </c>
    </row>
    <row r="420" spans="1:21" ht="14.25" customHeight="1" thickBot="1" x14ac:dyDescent="0.4">
      <c r="A420" s="58">
        <v>404</v>
      </c>
      <c r="B420" s="69" t="s">
        <v>79</v>
      </c>
      <c r="C420" s="69" t="s">
        <v>80</v>
      </c>
      <c r="D420" s="70" t="s">
        <v>2236</v>
      </c>
      <c r="E420" s="69" t="s">
        <v>63</v>
      </c>
      <c r="F420" s="93">
        <v>156.93</v>
      </c>
      <c r="G420" s="69" t="s">
        <v>247</v>
      </c>
      <c r="H420" s="70">
        <v>2025</v>
      </c>
      <c r="I420" s="69" t="s">
        <v>63</v>
      </c>
      <c r="J420" s="107" t="s">
        <v>2237</v>
      </c>
      <c r="K420" s="107" t="s">
        <v>2238</v>
      </c>
      <c r="L420" s="93" t="s">
        <v>2239</v>
      </c>
      <c r="M420" s="113" t="s">
        <v>2240</v>
      </c>
      <c r="N420" s="69" t="s">
        <v>44</v>
      </c>
      <c r="O420" s="64">
        <v>1</v>
      </c>
      <c r="P420" s="72">
        <v>69803613</v>
      </c>
      <c r="Q420" s="69" t="s">
        <v>2241</v>
      </c>
      <c r="R420" s="69"/>
      <c r="S420" s="68" t="s">
        <v>106</v>
      </c>
      <c r="T420" s="56">
        <v>5</v>
      </c>
      <c r="U420" s="56">
        <v>3</v>
      </c>
    </row>
    <row r="421" spans="1:21" ht="14.25" customHeight="1" x14ac:dyDescent="0.35">
      <c r="A421" s="47">
        <v>405</v>
      </c>
      <c r="B421" s="69" t="s">
        <v>79</v>
      </c>
      <c r="C421" s="69" t="s">
        <v>80</v>
      </c>
      <c r="D421" s="70" t="s">
        <v>264</v>
      </c>
      <c r="E421" s="69" t="s">
        <v>2242</v>
      </c>
      <c r="F421" s="69"/>
      <c r="G421" s="69" t="s">
        <v>247</v>
      </c>
      <c r="H421" s="70">
        <v>2026</v>
      </c>
      <c r="I421" s="69" t="s">
        <v>63</v>
      </c>
      <c r="J421" s="69" t="s">
        <v>63</v>
      </c>
      <c r="K421" s="71" t="s">
        <v>63</v>
      </c>
      <c r="L421" s="71" t="s">
        <v>63</v>
      </c>
      <c r="M421" s="71" t="s">
        <v>63</v>
      </c>
      <c r="N421" s="69" t="s">
        <v>44</v>
      </c>
      <c r="O421" s="64">
        <v>1</v>
      </c>
      <c r="P421" s="72">
        <v>38411000</v>
      </c>
      <c r="Q421" s="69" t="s">
        <v>2243</v>
      </c>
      <c r="R421" s="69"/>
      <c r="S421" s="68" t="s">
        <v>106</v>
      </c>
      <c r="T421" s="56">
        <v>5</v>
      </c>
      <c r="U421" s="56">
        <v>3</v>
      </c>
    </row>
    <row r="422" spans="1:21" ht="14.25" customHeight="1" thickBot="1" x14ac:dyDescent="0.4">
      <c r="A422" s="58">
        <v>406</v>
      </c>
      <c r="B422" s="69" t="s">
        <v>2244</v>
      </c>
      <c r="C422" s="69" t="s">
        <v>2245</v>
      </c>
      <c r="D422" s="70" t="s">
        <v>51</v>
      </c>
      <c r="E422" s="69" t="s">
        <v>2246</v>
      </c>
      <c r="F422" s="69" t="s">
        <v>293</v>
      </c>
      <c r="G422" s="69" t="s">
        <v>415</v>
      </c>
      <c r="H422" s="70">
        <v>2019</v>
      </c>
      <c r="I422" s="69" t="s">
        <v>63</v>
      </c>
      <c r="J422" s="69" t="s">
        <v>2247</v>
      </c>
      <c r="K422" s="71" t="s">
        <v>2248</v>
      </c>
      <c r="L422" s="71" t="s">
        <v>2249</v>
      </c>
      <c r="M422" s="71" t="s">
        <v>2250</v>
      </c>
      <c r="N422" s="69" t="s">
        <v>57</v>
      </c>
      <c r="O422" s="64">
        <v>1</v>
      </c>
      <c r="P422" s="72">
        <v>33000000</v>
      </c>
      <c r="Q422" s="69" t="s">
        <v>63</v>
      </c>
      <c r="R422" s="69"/>
      <c r="S422" s="68" t="s">
        <v>106</v>
      </c>
      <c r="T422" s="56">
        <v>5</v>
      </c>
      <c r="U422" s="56">
        <v>3</v>
      </c>
    </row>
    <row r="423" spans="1:21" ht="14.25" customHeight="1" x14ac:dyDescent="0.35">
      <c r="A423" s="47">
        <v>407</v>
      </c>
      <c r="B423" s="69" t="s">
        <v>2244</v>
      </c>
      <c r="C423" s="69" t="s">
        <v>2245</v>
      </c>
      <c r="D423" s="70" t="s">
        <v>59</v>
      </c>
      <c r="E423" s="69" t="s">
        <v>2246</v>
      </c>
      <c r="F423" s="69" t="s">
        <v>293</v>
      </c>
      <c r="G423" s="69" t="s">
        <v>415</v>
      </c>
      <c r="H423" s="70">
        <v>2019</v>
      </c>
      <c r="I423" s="69" t="s">
        <v>63</v>
      </c>
      <c r="J423" s="69" t="s">
        <v>2251</v>
      </c>
      <c r="K423" s="71" t="s">
        <v>2252</v>
      </c>
      <c r="L423" s="71" t="s">
        <v>2253</v>
      </c>
      <c r="M423" s="71" t="s">
        <v>2254</v>
      </c>
      <c r="N423" s="69" t="s">
        <v>57</v>
      </c>
      <c r="O423" s="64">
        <v>1</v>
      </c>
      <c r="P423" s="72">
        <v>33000000</v>
      </c>
      <c r="Q423" s="69" t="s">
        <v>63</v>
      </c>
      <c r="R423" s="69"/>
      <c r="S423" s="68" t="s">
        <v>106</v>
      </c>
      <c r="T423" s="56">
        <v>5</v>
      </c>
      <c r="U423" s="56">
        <v>3</v>
      </c>
    </row>
    <row r="424" spans="1:21" ht="14.25" customHeight="1" thickBot="1" x14ac:dyDescent="0.4">
      <c r="A424" s="58">
        <v>408</v>
      </c>
      <c r="B424" s="69" t="s">
        <v>2244</v>
      </c>
      <c r="C424" s="69" t="s">
        <v>2245</v>
      </c>
      <c r="D424" s="70" t="s">
        <v>97</v>
      </c>
      <c r="E424" s="69" t="s">
        <v>2246</v>
      </c>
      <c r="F424" s="69" t="s">
        <v>293</v>
      </c>
      <c r="G424" s="69" t="s">
        <v>415</v>
      </c>
      <c r="H424" s="70">
        <v>2019</v>
      </c>
      <c r="I424" s="69" t="s">
        <v>63</v>
      </c>
      <c r="J424" s="69" t="s">
        <v>2255</v>
      </c>
      <c r="K424" s="71" t="s">
        <v>2256</v>
      </c>
      <c r="L424" s="71" t="s">
        <v>2257</v>
      </c>
      <c r="M424" s="71" t="s">
        <v>2258</v>
      </c>
      <c r="N424" s="69" t="s">
        <v>57</v>
      </c>
      <c r="O424" s="64">
        <v>1</v>
      </c>
      <c r="P424" s="72">
        <v>33000000</v>
      </c>
      <c r="Q424" s="69" t="s">
        <v>63</v>
      </c>
      <c r="R424" s="69"/>
      <c r="S424" s="68" t="s">
        <v>106</v>
      </c>
      <c r="T424" s="56">
        <v>5</v>
      </c>
      <c r="U424" s="56">
        <v>3</v>
      </c>
    </row>
    <row r="425" spans="1:21" ht="14.25" customHeight="1" x14ac:dyDescent="0.35">
      <c r="A425" s="47">
        <v>409</v>
      </c>
      <c r="B425" s="69" t="s">
        <v>2244</v>
      </c>
      <c r="C425" s="69" t="s">
        <v>2245</v>
      </c>
      <c r="D425" s="70" t="s">
        <v>101</v>
      </c>
      <c r="E425" s="69" t="s">
        <v>2246</v>
      </c>
      <c r="F425" s="69" t="s">
        <v>293</v>
      </c>
      <c r="G425" s="69" t="s">
        <v>415</v>
      </c>
      <c r="H425" s="70">
        <v>2019</v>
      </c>
      <c r="I425" s="69" t="s">
        <v>63</v>
      </c>
      <c r="J425" s="69" t="s">
        <v>2259</v>
      </c>
      <c r="K425" s="71" t="s">
        <v>2260</v>
      </c>
      <c r="L425" s="71" t="s">
        <v>2261</v>
      </c>
      <c r="M425" s="71" t="s">
        <v>2262</v>
      </c>
      <c r="N425" s="69" t="s">
        <v>57</v>
      </c>
      <c r="O425" s="64">
        <v>1</v>
      </c>
      <c r="P425" s="72">
        <v>33000000</v>
      </c>
      <c r="Q425" s="69" t="s">
        <v>63</v>
      </c>
      <c r="R425" s="69"/>
      <c r="S425" s="68" t="s">
        <v>106</v>
      </c>
      <c r="T425" s="56">
        <v>5</v>
      </c>
      <c r="U425" s="56">
        <v>3</v>
      </c>
    </row>
    <row r="426" spans="1:21" ht="14.25" customHeight="1" thickBot="1" x14ac:dyDescent="0.4">
      <c r="A426" s="58">
        <v>410</v>
      </c>
      <c r="B426" s="69" t="s">
        <v>2244</v>
      </c>
      <c r="C426" s="69" t="s">
        <v>2245</v>
      </c>
      <c r="D426" s="70" t="s">
        <v>107</v>
      </c>
      <c r="E426" s="69" t="s">
        <v>63</v>
      </c>
      <c r="F426" s="93" t="s">
        <v>2263</v>
      </c>
      <c r="G426" s="69" t="s">
        <v>415</v>
      </c>
      <c r="H426" s="70">
        <v>2023</v>
      </c>
      <c r="I426" s="69" t="s">
        <v>63</v>
      </c>
      <c r="J426" s="105" t="s">
        <v>2264</v>
      </c>
      <c r="K426" s="105" t="s">
        <v>2265</v>
      </c>
      <c r="L426" s="114" t="s">
        <v>2266</v>
      </c>
      <c r="M426" s="115" t="s">
        <v>2267</v>
      </c>
      <c r="N426" s="69" t="s">
        <v>44</v>
      </c>
      <c r="O426" s="64">
        <v>1</v>
      </c>
      <c r="P426" s="72">
        <v>27450000</v>
      </c>
      <c r="Q426" s="69" t="s">
        <v>2268</v>
      </c>
      <c r="R426" s="69"/>
      <c r="S426" s="68" t="s">
        <v>106</v>
      </c>
      <c r="T426" s="56">
        <v>5</v>
      </c>
      <c r="U426" s="56">
        <v>3</v>
      </c>
    </row>
    <row r="427" spans="1:21" ht="14.25" customHeight="1" x14ac:dyDescent="0.35">
      <c r="A427" s="47">
        <v>411</v>
      </c>
      <c r="B427" s="69" t="s">
        <v>2244</v>
      </c>
      <c r="C427" s="69" t="s">
        <v>2245</v>
      </c>
      <c r="D427" s="70" t="s">
        <v>2269</v>
      </c>
      <c r="E427" s="69" t="s">
        <v>63</v>
      </c>
      <c r="F427" s="93">
        <v>156.93</v>
      </c>
      <c r="G427" s="69" t="s">
        <v>415</v>
      </c>
      <c r="H427" s="70">
        <v>2023</v>
      </c>
      <c r="I427" s="69" t="s">
        <v>63</v>
      </c>
      <c r="J427" s="105" t="s">
        <v>2270</v>
      </c>
      <c r="K427" s="105" t="s">
        <v>2271</v>
      </c>
      <c r="L427" s="114" t="s">
        <v>2272</v>
      </c>
      <c r="M427" s="115" t="s">
        <v>2273</v>
      </c>
      <c r="N427" s="69" t="s">
        <v>44</v>
      </c>
      <c r="O427" s="64">
        <v>1</v>
      </c>
      <c r="P427" s="72">
        <v>82350000</v>
      </c>
      <c r="Q427" s="69" t="s">
        <v>2274</v>
      </c>
      <c r="R427" s="69"/>
      <c r="S427" s="68" t="s">
        <v>106</v>
      </c>
      <c r="T427" s="56">
        <v>5</v>
      </c>
      <c r="U427" s="56">
        <v>3</v>
      </c>
    </row>
    <row r="428" spans="1:21" ht="14.25" customHeight="1" thickBot="1" x14ac:dyDescent="0.4">
      <c r="A428" s="58">
        <v>412</v>
      </c>
      <c r="B428" s="69" t="s">
        <v>2244</v>
      </c>
      <c r="C428" s="69" t="s">
        <v>2245</v>
      </c>
      <c r="D428" s="70" t="s">
        <v>2275</v>
      </c>
      <c r="E428" s="69" t="s">
        <v>63</v>
      </c>
      <c r="F428" s="93">
        <v>149</v>
      </c>
      <c r="G428" s="69" t="s">
        <v>415</v>
      </c>
      <c r="H428" s="70">
        <v>2023</v>
      </c>
      <c r="I428" s="69" t="s">
        <v>63</v>
      </c>
      <c r="J428" s="105" t="s">
        <v>2276</v>
      </c>
      <c r="K428" s="105" t="s">
        <v>2277</v>
      </c>
      <c r="L428" s="114" t="s">
        <v>2278</v>
      </c>
      <c r="M428" s="115" t="s">
        <v>2279</v>
      </c>
      <c r="N428" s="69" t="s">
        <v>44</v>
      </c>
      <c r="O428" s="64">
        <v>1</v>
      </c>
      <c r="P428" s="72">
        <v>103837314</v>
      </c>
      <c r="Q428" s="69" t="s">
        <v>2280</v>
      </c>
      <c r="R428" s="69"/>
      <c r="S428" s="68" t="s">
        <v>106</v>
      </c>
      <c r="T428" s="56">
        <v>5</v>
      </c>
      <c r="U428" s="56">
        <v>3</v>
      </c>
    </row>
    <row r="429" spans="1:21" ht="14.25" customHeight="1" x14ac:dyDescent="0.35">
      <c r="A429" s="47">
        <v>413</v>
      </c>
      <c r="B429" s="69" t="s">
        <v>2244</v>
      </c>
      <c r="C429" s="69" t="s">
        <v>2245</v>
      </c>
      <c r="D429" s="70" t="s">
        <v>2281</v>
      </c>
      <c r="E429" s="69" t="s">
        <v>63</v>
      </c>
      <c r="F429" s="93">
        <v>150</v>
      </c>
      <c r="G429" s="69" t="s">
        <v>415</v>
      </c>
      <c r="H429" s="70">
        <v>2023</v>
      </c>
      <c r="I429" s="69" t="s">
        <v>63</v>
      </c>
      <c r="J429" s="105" t="s">
        <v>2282</v>
      </c>
      <c r="K429" s="105" t="s">
        <v>2283</v>
      </c>
      <c r="L429" s="114" t="s">
        <v>2284</v>
      </c>
      <c r="M429" s="115" t="s">
        <v>2285</v>
      </c>
      <c r="N429" s="69" t="s">
        <v>44</v>
      </c>
      <c r="O429" s="64">
        <v>1</v>
      </c>
      <c r="P429" s="72">
        <v>217297500</v>
      </c>
      <c r="Q429" s="69" t="s">
        <v>2286</v>
      </c>
      <c r="R429" s="69"/>
      <c r="S429" s="68" t="s">
        <v>106</v>
      </c>
      <c r="T429" s="56">
        <v>5</v>
      </c>
      <c r="U429" s="56">
        <v>3</v>
      </c>
    </row>
    <row r="430" spans="1:21" ht="14.25" customHeight="1" thickBot="1" x14ac:dyDescent="0.4">
      <c r="A430" s="58">
        <v>414</v>
      </c>
      <c r="B430" s="69" t="s">
        <v>2244</v>
      </c>
      <c r="C430" s="69" t="s">
        <v>2245</v>
      </c>
      <c r="D430" s="70" t="s">
        <v>176</v>
      </c>
      <c r="E430" s="69" t="s">
        <v>63</v>
      </c>
      <c r="F430" s="93" t="s">
        <v>2263</v>
      </c>
      <c r="G430" s="69" t="s">
        <v>415</v>
      </c>
      <c r="H430" s="70">
        <v>2023</v>
      </c>
      <c r="I430" s="69" t="s">
        <v>63</v>
      </c>
      <c r="J430" s="105" t="s">
        <v>2287</v>
      </c>
      <c r="K430" s="105" t="s">
        <v>2288</v>
      </c>
      <c r="L430" s="114" t="s">
        <v>2289</v>
      </c>
      <c r="M430" s="115" t="s">
        <v>2290</v>
      </c>
      <c r="N430" s="69" t="s">
        <v>44</v>
      </c>
      <c r="O430" s="64">
        <v>1</v>
      </c>
      <c r="P430" s="72">
        <v>27450000</v>
      </c>
      <c r="Q430" s="69" t="s">
        <v>2274</v>
      </c>
      <c r="R430" s="69"/>
      <c r="S430" s="68" t="s">
        <v>106</v>
      </c>
      <c r="T430" s="56">
        <v>5</v>
      </c>
      <c r="U430" s="56">
        <v>3</v>
      </c>
    </row>
    <row r="431" spans="1:21" ht="14.25" customHeight="1" x14ac:dyDescent="0.35">
      <c r="A431" s="47">
        <v>415</v>
      </c>
      <c r="B431" s="69" t="s">
        <v>2244</v>
      </c>
      <c r="C431" s="69" t="s">
        <v>2245</v>
      </c>
      <c r="D431" s="70" t="s">
        <v>2291</v>
      </c>
      <c r="E431" s="69" t="s">
        <v>63</v>
      </c>
      <c r="F431" s="93">
        <v>149.15</v>
      </c>
      <c r="G431" s="69" t="s">
        <v>415</v>
      </c>
      <c r="H431" s="70">
        <v>2023</v>
      </c>
      <c r="I431" s="69" t="s">
        <v>63</v>
      </c>
      <c r="J431" s="105" t="s">
        <v>2292</v>
      </c>
      <c r="K431" s="105" t="s">
        <v>2293</v>
      </c>
      <c r="L431" s="114" t="s">
        <v>2294</v>
      </c>
      <c r="M431" s="115" t="s">
        <v>2295</v>
      </c>
      <c r="N431" s="69" t="s">
        <v>44</v>
      </c>
      <c r="O431" s="64">
        <v>1</v>
      </c>
      <c r="P431" s="72">
        <v>178060000</v>
      </c>
      <c r="Q431" s="69" t="s">
        <v>2296</v>
      </c>
      <c r="R431" s="69"/>
      <c r="S431" s="68" t="s">
        <v>106</v>
      </c>
      <c r="T431" s="56">
        <v>5</v>
      </c>
      <c r="U431" s="56">
        <v>3</v>
      </c>
    </row>
    <row r="432" spans="1:21" ht="14.25" customHeight="1" thickBot="1" x14ac:dyDescent="0.4">
      <c r="A432" s="58">
        <v>416</v>
      </c>
      <c r="B432" s="69" t="s">
        <v>2297</v>
      </c>
      <c r="C432" s="69" t="s">
        <v>2298</v>
      </c>
      <c r="D432" s="70" t="s">
        <v>51</v>
      </c>
      <c r="E432" s="69" t="s">
        <v>63</v>
      </c>
      <c r="F432" s="116">
        <v>3907</v>
      </c>
      <c r="G432" s="69" t="s">
        <v>415</v>
      </c>
      <c r="H432" s="70">
        <v>2025</v>
      </c>
      <c r="I432" s="69" t="s">
        <v>63</v>
      </c>
      <c r="J432" s="117" t="s">
        <v>2299</v>
      </c>
      <c r="K432" s="117" t="s">
        <v>2300</v>
      </c>
      <c r="L432" s="118" t="s">
        <v>2301</v>
      </c>
      <c r="M432" s="118" t="s">
        <v>2302</v>
      </c>
      <c r="N432" s="69" t="s">
        <v>44</v>
      </c>
      <c r="O432" s="64">
        <v>1</v>
      </c>
      <c r="P432" s="72">
        <v>847596000</v>
      </c>
      <c r="Q432" s="69" t="s">
        <v>2303</v>
      </c>
      <c r="R432" s="69"/>
      <c r="S432" s="68" t="s">
        <v>106</v>
      </c>
      <c r="T432" s="56">
        <v>5</v>
      </c>
      <c r="U432" s="56">
        <v>6</v>
      </c>
    </row>
    <row r="433" spans="1:21" ht="14.25" customHeight="1" x14ac:dyDescent="0.35">
      <c r="A433" s="47">
        <v>417</v>
      </c>
      <c r="B433" s="69" t="s">
        <v>2304</v>
      </c>
      <c r="C433" s="69" t="s">
        <v>2305</v>
      </c>
      <c r="D433" s="70" t="s">
        <v>51</v>
      </c>
      <c r="E433" s="69" t="s">
        <v>2306</v>
      </c>
      <c r="F433" s="69" t="s">
        <v>2307</v>
      </c>
      <c r="G433" s="69" t="s">
        <v>2308</v>
      </c>
      <c r="H433" s="70">
        <v>2016</v>
      </c>
      <c r="I433" s="69" t="s">
        <v>63</v>
      </c>
      <c r="J433" s="69" t="s">
        <v>2309</v>
      </c>
      <c r="K433" s="119" t="s">
        <v>2310</v>
      </c>
      <c r="L433" s="71" t="s">
        <v>2311</v>
      </c>
      <c r="M433" s="71" t="s">
        <v>2312</v>
      </c>
      <c r="N433" s="69" t="s">
        <v>57</v>
      </c>
      <c r="O433" s="64">
        <v>1</v>
      </c>
      <c r="P433" s="72">
        <v>350000000</v>
      </c>
      <c r="Q433" s="69" t="s">
        <v>2313</v>
      </c>
      <c r="R433" s="69"/>
      <c r="S433" s="68" t="s">
        <v>106</v>
      </c>
      <c r="T433" s="56">
        <v>5</v>
      </c>
      <c r="U433" s="56">
        <v>6</v>
      </c>
    </row>
    <row r="434" spans="1:21" ht="14.25" customHeight="1" thickBot="1" x14ac:dyDescent="0.4">
      <c r="A434" s="58">
        <v>418</v>
      </c>
      <c r="B434" s="69" t="s">
        <v>2304</v>
      </c>
      <c r="C434" s="69" t="s">
        <v>2305</v>
      </c>
      <c r="D434" s="70" t="s">
        <v>59</v>
      </c>
      <c r="E434" s="69" t="s">
        <v>2306</v>
      </c>
      <c r="F434" s="69" t="s">
        <v>2307</v>
      </c>
      <c r="G434" s="69" t="s">
        <v>2312</v>
      </c>
      <c r="H434" s="70">
        <v>2016</v>
      </c>
      <c r="I434" s="69" t="s">
        <v>63</v>
      </c>
      <c r="J434" s="95" t="s">
        <v>2314</v>
      </c>
      <c r="K434" s="120" t="s">
        <v>2315</v>
      </c>
      <c r="L434" s="71" t="s">
        <v>2316</v>
      </c>
      <c r="M434" s="71" t="s">
        <v>2317</v>
      </c>
      <c r="N434" s="69" t="s">
        <v>57</v>
      </c>
      <c r="O434" s="64">
        <v>1</v>
      </c>
      <c r="P434" s="72">
        <v>350000000</v>
      </c>
      <c r="Q434" s="69" t="s">
        <v>2313</v>
      </c>
      <c r="R434" s="69"/>
      <c r="S434" s="68" t="s">
        <v>106</v>
      </c>
      <c r="T434" s="56">
        <v>5</v>
      </c>
      <c r="U434" s="56">
        <v>6</v>
      </c>
    </row>
    <row r="435" spans="1:21" ht="14.25" customHeight="1" x14ac:dyDescent="0.35">
      <c r="A435" s="47">
        <v>419</v>
      </c>
      <c r="B435" s="69" t="s">
        <v>2304</v>
      </c>
      <c r="C435" s="69" t="s">
        <v>2305</v>
      </c>
      <c r="D435" s="70" t="s">
        <v>97</v>
      </c>
      <c r="E435" s="69" t="s">
        <v>2306</v>
      </c>
      <c r="F435" s="69" t="s">
        <v>2307</v>
      </c>
      <c r="G435" s="69" t="s">
        <v>2318</v>
      </c>
      <c r="H435" s="70">
        <v>2016</v>
      </c>
      <c r="I435" s="69" t="s">
        <v>63</v>
      </c>
      <c r="J435" s="69" t="s">
        <v>2319</v>
      </c>
      <c r="K435" s="71" t="s">
        <v>2320</v>
      </c>
      <c r="L435" s="71" t="s">
        <v>2321</v>
      </c>
      <c r="M435" s="71" t="s">
        <v>2318</v>
      </c>
      <c r="N435" s="69" t="s">
        <v>57</v>
      </c>
      <c r="O435" s="64">
        <v>1</v>
      </c>
      <c r="P435" s="72">
        <v>350000000</v>
      </c>
      <c r="Q435" s="69" t="s">
        <v>2313</v>
      </c>
      <c r="R435" s="69"/>
      <c r="S435" s="68" t="s">
        <v>106</v>
      </c>
      <c r="T435" s="56">
        <v>5</v>
      </c>
      <c r="U435" s="56">
        <v>6</v>
      </c>
    </row>
    <row r="436" spans="1:21" ht="14.25" customHeight="1" thickBot="1" x14ac:dyDescent="0.4">
      <c r="A436" s="58">
        <v>420</v>
      </c>
      <c r="B436" s="69" t="s">
        <v>2304</v>
      </c>
      <c r="C436" s="69" t="s">
        <v>2305</v>
      </c>
      <c r="D436" s="70" t="s">
        <v>101</v>
      </c>
      <c r="E436" s="69" t="s">
        <v>2306</v>
      </c>
      <c r="F436" s="69" t="s">
        <v>2307</v>
      </c>
      <c r="G436" s="69" t="s">
        <v>2308</v>
      </c>
      <c r="H436" s="70">
        <v>2016</v>
      </c>
      <c r="I436" s="69" t="s">
        <v>63</v>
      </c>
      <c r="J436" s="69" t="s">
        <v>2309</v>
      </c>
      <c r="K436" s="71" t="s">
        <v>2322</v>
      </c>
      <c r="L436" s="71" t="s">
        <v>2323</v>
      </c>
      <c r="M436" s="71" t="s">
        <v>2308</v>
      </c>
      <c r="N436" s="69" t="s">
        <v>57</v>
      </c>
      <c r="O436" s="64">
        <v>1</v>
      </c>
      <c r="P436" s="72">
        <v>350000000</v>
      </c>
      <c r="Q436" s="69" t="s">
        <v>2313</v>
      </c>
      <c r="R436" s="69"/>
      <c r="S436" s="68" t="s">
        <v>106</v>
      </c>
      <c r="T436" s="56">
        <v>5</v>
      </c>
      <c r="U436" s="56">
        <v>6</v>
      </c>
    </row>
    <row r="437" spans="1:21" ht="14.25" customHeight="1" x14ac:dyDescent="0.35">
      <c r="A437" s="47">
        <v>421</v>
      </c>
      <c r="B437" s="69" t="s">
        <v>2324</v>
      </c>
      <c r="C437" s="69" t="s">
        <v>2325</v>
      </c>
      <c r="D437" s="70" t="s">
        <v>51</v>
      </c>
      <c r="E437" s="69" t="s">
        <v>63</v>
      </c>
      <c r="F437" s="93">
        <v>4.7779999999999996</v>
      </c>
      <c r="G437" s="69" t="s">
        <v>415</v>
      </c>
      <c r="H437" s="70">
        <v>2023</v>
      </c>
      <c r="I437" s="69" t="s">
        <v>63</v>
      </c>
      <c r="J437" s="105" t="s">
        <v>2326</v>
      </c>
      <c r="K437" s="105" t="s">
        <v>2327</v>
      </c>
      <c r="L437" s="115" t="s">
        <v>2328</v>
      </c>
      <c r="M437" s="115" t="s">
        <v>2329</v>
      </c>
      <c r="N437" s="69" t="s">
        <v>44</v>
      </c>
      <c r="O437" s="64">
        <v>1</v>
      </c>
      <c r="P437" s="72">
        <v>988000000</v>
      </c>
      <c r="Q437" s="69" t="s">
        <v>2330</v>
      </c>
      <c r="R437" s="69"/>
      <c r="S437" s="68" t="s">
        <v>106</v>
      </c>
      <c r="T437" s="56">
        <v>5</v>
      </c>
      <c r="U437" s="56">
        <v>6</v>
      </c>
    </row>
    <row r="438" spans="1:21" ht="14.25" customHeight="1" thickBot="1" x14ac:dyDescent="0.4">
      <c r="A438" s="58">
        <v>422</v>
      </c>
      <c r="B438" s="69" t="s">
        <v>1806</v>
      </c>
      <c r="C438" s="69" t="s">
        <v>1807</v>
      </c>
      <c r="D438" s="70" t="s">
        <v>97</v>
      </c>
      <c r="E438" s="69" t="s">
        <v>2331</v>
      </c>
      <c r="F438" s="69" t="s">
        <v>2332</v>
      </c>
      <c r="G438" s="69" t="s">
        <v>54</v>
      </c>
      <c r="H438" s="70">
        <v>2023</v>
      </c>
      <c r="I438" s="69" t="s">
        <v>63</v>
      </c>
      <c r="J438" s="69" t="s">
        <v>2333</v>
      </c>
      <c r="K438" s="71" t="s">
        <v>2334</v>
      </c>
      <c r="L438" s="71" t="s">
        <v>2335</v>
      </c>
      <c r="M438" s="71" t="s">
        <v>2336</v>
      </c>
      <c r="N438" s="69" t="s">
        <v>44</v>
      </c>
      <c r="O438" s="64">
        <v>1</v>
      </c>
      <c r="P438" s="72">
        <v>554200000</v>
      </c>
      <c r="Q438" s="69" t="s">
        <v>2337</v>
      </c>
      <c r="R438" s="69"/>
      <c r="S438" s="68" t="s">
        <v>128</v>
      </c>
      <c r="T438" s="56">
        <v>6</v>
      </c>
      <c r="U438" s="56">
        <v>4</v>
      </c>
    </row>
    <row r="439" spans="1:21" ht="14.25" customHeight="1" x14ac:dyDescent="0.35">
      <c r="A439" s="47">
        <v>423</v>
      </c>
      <c r="B439" s="69" t="s">
        <v>70</v>
      </c>
      <c r="C439" s="69" t="s">
        <v>71</v>
      </c>
      <c r="D439" s="70" t="s">
        <v>51</v>
      </c>
      <c r="E439" s="69" t="s">
        <v>2338</v>
      </c>
      <c r="F439" s="69">
        <v>1462</v>
      </c>
      <c r="G439" s="69" t="s">
        <v>140</v>
      </c>
      <c r="H439" s="70">
        <v>2024</v>
      </c>
      <c r="I439" s="69" t="s">
        <v>63</v>
      </c>
      <c r="J439" s="69" t="s">
        <v>2339</v>
      </c>
      <c r="K439" s="71" t="s">
        <v>2340</v>
      </c>
      <c r="L439" s="71" t="s">
        <v>2341</v>
      </c>
      <c r="M439" s="71" t="s">
        <v>2342</v>
      </c>
      <c r="N439" s="69" t="s">
        <v>44</v>
      </c>
      <c r="O439" s="64">
        <v>1</v>
      </c>
      <c r="P439" s="72">
        <v>190000000</v>
      </c>
      <c r="Q439" s="69" t="s">
        <v>2343</v>
      </c>
      <c r="R439" s="69"/>
      <c r="S439" s="68" t="s">
        <v>128</v>
      </c>
      <c r="T439" s="56">
        <v>6</v>
      </c>
      <c r="U439" s="56">
        <v>4</v>
      </c>
    </row>
    <row r="440" spans="1:21" ht="14.25" customHeight="1" thickBot="1" x14ac:dyDescent="0.4">
      <c r="A440" s="58">
        <v>424</v>
      </c>
      <c r="B440" s="69" t="s">
        <v>79</v>
      </c>
      <c r="C440" s="69" t="s">
        <v>80</v>
      </c>
      <c r="D440" s="70" t="s">
        <v>51</v>
      </c>
      <c r="E440" s="69" t="s">
        <v>1383</v>
      </c>
      <c r="F440" s="69" t="s">
        <v>163</v>
      </c>
      <c r="G440" s="69" t="s">
        <v>140</v>
      </c>
      <c r="H440" s="70">
        <v>2015</v>
      </c>
      <c r="I440" s="69" t="s">
        <v>63</v>
      </c>
      <c r="J440" s="69" t="s">
        <v>2344</v>
      </c>
      <c r="K440" s="71" t="s">
        <v>2345</v>
      </c>
      <c r="L440" s="71" t="s">
        <v>2346</v>
      </c>
      <c r="M440" s="71" t="s">
        <v>2347</v>
      </c>
      <c r="N440" s="69" t="s">
        <v>57</v>
      </c>
      <c r="O440" s="64">
        <v>1</v>
      </c>
      <c r="P440" s="72">
        <v>14962333</v>
      </c>
      <c r="Q440" s="69" t="s">
        <v>2348</v>
      </c>
      <c r="R440" s="69"/>
      <c r="S440" s="68" t="s">
        <v>128</v>
      </c>
      <c r="T440" s="56">
        <v>6</v>
      </c>
      <c r="U440" s="56">
        <v>3</v>
      </c>
    </row>
    <row r="441" spans="1:21" ht="14.25" customHeight="1" x14ac:dyDescent="0.35">
      <c r="A441" s="47">
        <v>425</v>
      </c>
      <c r="B441" s="69" t="s">
        <v>79</v>
      </c>
      <c r="C441" s="69" t="s">
        <v>80</v>
      </c>
      <c r="D441" s="70" t="s">
        <v>59</v>
      </c>
      <c r="E441" s="69" t="s">
        <v>147</v>
      </c>
      <c r="F441" s="69" t="s">
        <v>148</v>
      </c>
      <c r="G441" s="69" t="s">
        <v>140</v>
      </c>
      <c r="H441" s="70">
        <v>2015</v>
      </c>
      <c r="I441" s="69"/>
      <c r="J441" s="69" t="s">
        <v>2349</v>
      </c>
      <c r="K441" s="71" t="s">
        <v>2350</v>
      </c>
      <c r="L441" s="71" t="s">
        <v>2351</v>
      </c>
      <c r="M441" s="71" t="s">
        <v>2352</v>
      </c>
      <c r="N441" s="69" t="s">
        <v>57</v>
      </c>
      <c r="O441" s="64">
        <v>1</v>
      </c>
      <c r="P441" s="72">
        <v>19430000</v>
      </c>
      <c r="Q441" s="69" t="s">
        <v>2353</v>
      </c>
      <c r="R441" s="69"/>
      <c r="S441" s="68" t="s">
        <v>128</v>
      </c>
      <c r="T441" s="56">
        <v>6</v>
      </c>
      <c r="U441" s="56">
        <v>3</v>
      </c>
    </row>
    <row r="442" spans="1:21" ht="14.25" customHeight="1" thickBot="1" x14ac:dyDescent="0.4">
      <c r="A442" s="58">
        <v>426</v>
      </c>
      <c r="B442" s="69" t="s">
        <v>79</v>
      </c>
      <c r="C442" s="69" t="s">
        <v>80</v>
      </c>
      <c r="D442" s="70" t="s">
        <v>97</v>
      </c>
      <c r="E442" s="69" t="s">
        <v>2354</v>
      </c>
      <c r="F442" s="69" t="s">
        <v>88</v>
      </c>
      <c r="G442" s="69" t="s">
        <v>140</v>
      </c>
      <c r="H442" s="70">
        <v>2010</v>
      </c>
      <c r="I442" s="69" t="s">
        <v>63</v>
      </c>
      <c r="J442" s="69" t="s">
        <v>2355</v>
      </c>
      <c r="K442" s="71" t="s">
        <v>2356</v>
      </c>
      <c r="L442" s="71" t="s">
        <v>2357</v>
      </c>
      <c r="M442" s="71" t="s">
        <v>2358</v>
      </c>
      <c r="N442" s="69" t="s">
        <v>57</v>
      </c>
      <c r="O442" s="64">
        <v>1</v>
      </c>
      <c r="P442" s="72">
        <v>17890000</v>
      </c>
      <c r="Q442" s="69" t="s">
        <v>2359</v>
      </c>
      <c r="R442" s="69"/>
      <c r="S442" s="68" t="s">
        <v>128</v>
      </c>
      <c r="T442" s="56">
        <v>6</v>
      </c>
      <c r="U442" s="56">
        <v>3</v>
      </c>
    </row>
    <row r="443" spans="1:21" ht="14.25" customHeight="1" x14ac:dyDescent="0.35">
      <c r="A443" s="47">
        <v>427</v>
      </c>
      <c r="B443" s="69" t="s">
        <v>79</v>
      </c>
      <c r="C443" s="69" t="s">
        <v>80</v>
      </c>
      <c r="D443" s="70" t="s">
        <v>101</v>
      </c>
      <c r="E443" s="69" t="s">
        <v>2354</v>
      </c>
      <c r="F443" s="69" t="s">
        <v>88</v>
      </c>
      <c r="G443" s="69" t="s">
        <v>140</v>
      </c>
      <c r="H443" s="70">
        <v>2010</v>
      </c>
      <c r="I443" s="69" t="s">
        <v>63</v>
      </c>
      <c r="J443" s="69" t="s">
        <v>2360</v>
      </c>
      <c r="K443" s="71" t="s">
        <v>2361</v>
      </c>
      <c r="L443" s="71" t="s">
        <v>2362</v>
      </c>
      <c r="M443" s="71" t="s">
        <v>2363</v>
      </c>
      <c r="N443" s="69" t="s">
        <v>57</v>
      </c>
      <c r="O443" s="64">
        <v>1</v>
      </c>
      <c r="P443" s="72">
        <v>17890000</v>
      </c>
      <c r="Q443" s="69" t="s">
        <v>2364</v>
      </c>
      <c r="R443" s="69"/>
      <c r="S443" s="68" t="s">
        <v>128</v>
      </c>
      <c r="T443" s="56">
        <v>6</v>
      </c>
      <c r="U443" s="56">
        <v>3</v>
      </c>
    </row>
    <row r="444" spans="1:21" ht="14.25" customHeight="1" thickBot="1" x14ac:dyDescent="0.4">
      <c r="A444" s="58">
        <v>428</v>
      </c>
      <c r="B444" s="69" t="s">
        <v>79</v>
      </c>
      <c r="C444" s="69" t="s">
        <v>80</v>
      </c>
      <c r="D444" s="70" t="s">
        <v>107</v>
      </c>
      <c r="E444" s="69" t="s">
        <v>2354</v>
      </c>
      <c r="F444" s="69" t="s">
        <v>88</v>
      </c>
      <c r="G444" s="69" t="s">
        <v>140</v>
      </c>
      <c r="H444" s="70">
        <v>2010</v>
      </c>
      <c r="I444" s="69" t="s">
        <v>63</v>
      </c>
      <c r="J444" s="69" t="s">
        <v>2365</v>
      </c>
      <c r="K444" s="71" t="s">
        <v>2366</v>
      </c>
      <c r="L444" s="71" t="s">
        <v>2367</v>
      </c>
      <c r="M444" s="71" t="s">
        <v>2368</v>
      </c>
      <c r="N444" s="69" t="s">
        <v>57</v>
      </c>
      <c r="O444" s="64">
        <v>1</v>
      </c>
      <c r="P444" s="72">
        <v>17890000</v>
      </c>
      <c r="Q444" s="69" t="s">
        <v>2369</v>
      </c>
      <c r="R444" s="69"/>
      <c r="S444" s="68" t="s">
        <v>128</v>
      </c>
      <c r="T444" s="56">
        <v>6</v>
      </c>
      <c r="U444" s="56">
        <v>3</v>
      </c>
    </row>
    <row r="445" spans="1:21" ht="14.25" customHeight="1" x14ac:dyDescent="0.35">
      <c r="A445" s="47">
        <v>429</v>
      </c>
      <c r="B445" s="69" t="s">
        <v>79</v>
      </c>
      <c r="C445" s="69" t="s">
        <v>80</v>
      </c>
      <c r="D445" s="70" t="s">
        <v>116</v>
      </c>
      <c r="E445" s="69" t="s">
        <v>2354</v>
      </c>
      <c r="F445" s="69" t="s">
        <v>88</v>
      </c>
      <c r="G445" s="69" t="s">
        <v>140</v>
      </c>
      <c r="H445" s="70">
        <v>2010</v>
      </c>
      <c r="I445" s="69" t="s">
        <v>63</v>
      </c>
      <c r="J445" s="69" t="s">
        <v>2370</v>
      </c>
      <c r="K445" s="71" t="s">
        <v>2371</v>
      </c>
      <c r="L445" s="71" t="s">
        <v>2372</v>
      </c>
      <c r="M445" s="71" t="s">
        <v>2373</v>
      </c>
      <c r="N445" s="69" t="s">
        <v>57</v>
      </c>
      <c r="O445" s="64">
        <v>1</v>
      </c>
      <c r="P445" s="72">
        <v>17890000</v>
      </c>
      <c r="Q445" s="69" t="s">
        <v>2374</v>
      </c>
      <c r="R445" s="69"/>
      <c r="S445" s="68" t="s">
        <v>128</v>
      </c>
      <c r="T445" s="56">
        <v>6</v>
      </c>
      <c r="U445" s="56">
        <v>3</v>
      </c>
    </row>
    <row r="446" spans="1:21" ht="14.25" customHeight="1" thickBot="1" x14ac:dyDescent="0.4">
      <c r="A446" s="58">
        <v>430</v>
      </c>
      <c r="B446" s="69" t="s">
        <v>79</v>
      </c>
      <c r="C446" s="69" t="s">
        <v>80</v>
      </c>
      <c r="D446" s="70" t="s">
        <v>841</v>
      </c>
      <c r="E446" s="69" t="s">
        <v>2354</v>
      </c>
      <c r="F446" s="69" t="s">
        <v>88</v>
      </c>
      <c r="G446" s="69" t="s">
        <v>140</v>
      </c>
      <c r="H446" s="70">
        <v>2010</v>
      </c>
      <c r="I446" s="69" t="s">
        <v>63</v>
      </c>
      <c r="J446" s="69" t="s">
        <v>2375</v>
      </c>
      <c r="K446" s="71" t="s">
        <v>2376</v>
      </c>
      <c r="L446" s="71" t="s">
        <v>2377</v>
      </c>
      <c r="M446" s="71" t="s">
        <v>2378</v>
      </c>
      <c r="N446" s="69" t="s">
        <v>57</v>
      </c>
      <c r="O446" s="64">
        <v>1</v>
      </c>
      <c r="P446" s="72">
        <v>17890000</v>
      </c>
      <c r="Q446" s="69" t="s">
        <v>2379</v>
      </c>
      <c r="R446" s="69"/>
      <c r="S446" s="68" t="s">
        <v>128</v>
      </c>
      <c r="T446" s="56">
        <v>6</v>
      </c>
      <c r="U446" s="56">
        <v>3</v>
      </c>
    </row>
    <row r="447" spans="1:21" ht="14.25" customHeight="1" x14ac:dyDescent="0.35">
      <c r="A447" s="47">
        <v>431</v>
      </c>
      <c r="B447" s="69" t="s">
        <v>79</v>
      </c>
      <c r="C447" s="69" t="s">
        <v>80</v>
      </c>
      <c r="D447" s="70" t="s">
        <v>904</v>
      </c>
      <c r="E447" s="69" t="s">
        <v>2354</v>
      </c>
      <c r="F447" s="69" t="s">
        <v>88</v>
      </c>
      <c r="G447" s="69" t="s">
        <v>140</v>
      </c>
      <c r="H447" s="70">
        <v>2010</v>
      </c>
      <c r="I447" s="69" t="s">
        <v>63</v>
      </c>
      <c r="J447" s="69" t="s">
        <v>2380</v>
      </c>
      <c r="K447" s="71" t="s">
        <v>2381</v>
      </c>
      <c r="L447" s="71" t="s">
        <v>2382</v>
      </c>
      <c r="M447" s="71" t="s">
        <v>2383</v>
      </c>
      <c r="N447" s="69" t="s">
        <v>57</v>
      </c>
      <c r="O447" s="64">
        <v>1</v>
      </c>
      <c r="P447" s="72">
        <v>17890000</v>
      </c>
      <c r="Q447" s="69" t="s">
        <v>2384</v>
      </c>
      <c r="R447" s="69"/>
      <c r="S447" s="68" t="s">
        <v>128</v>
      </c>
      <c r="T447" s="56">
        <v>6</v>
      </c>
      <c r="U447" s="56">
        <v>3</v>
      </c>
    </row>
    <row r="448" spans="1:21" ht="14.25" customHeight="1" thickBot="1" x14ac:dyDescent="0.4">
      <c r="A448" s="58">
        <v>432</v>
      </c>
      <c r="B448" s="69" t="s">
        <v>79</v>
      </c>
      <c r="C448" s="69" t="s">
        <v>80</v>
      </c>
      <c r="D448" s="70" t="s">
        <v>122</v>
      </c>
      <c r="E448" s="69" t="s">
        <v>2385</v>
      </c>
      <c r="F448" s="69" t="s">
        <v>2386</v>
      </c>
      <c r="G448" s="69" t="s">
        <v>54</v>
      </c>
      <c r="H448" s="70">
        <v>2008</v>
      </c>
      <c r="I448" s="69"/>
      <c r="J448" s="69" t="s">
        <v>2387</v>
      </c>
      <c r="K448" s="71" t="s">
        <v>2388</v>
      </c>
      <c r="L448" s="71" t="s">
        <v>2389</v>
      </c>
      <c r="M448" s="71" t="s">
        <v>2390</v>
      </c>
      <c r="N448" s="69" t="s">
        <v>57</v>
      </c>
      <c r="O448" s="64">
        <v>1</v>
      </c>
      <c r="P448" s="72">
        <v>16950000</v>
      </c>
      <c r="Q448" s="69" t="s">
        <v>2391</v>
      </c>
      <c r="R448" s="69"/>
      <c r="S448" s="68" t="s">
        <v>128</v>
      </c>
      <c r="T448" s="56">
        <v>6</v>
      </c>
      <c r="U448" s="56">
        <v>3</v>
      </c>
    </row>
    <row r="449" spans="1:21" ht="14.25" customHeight="1" x14ac:dyDescent="0.35">
      <c r="A449" s="47">
        <v>433</v>
      </c>
      <c r="B449" s="69" t="s">
        <v>79</v>
      </c>
      <c r="C449" s="69" t="s">
        <v>80</v>
      </c>
      <c r="D449" s="70" t="s">
        <v>126</v>
      </c>
      <c r="E449" s="69" t="s">
        <v>2392</v>
      </c>
      <c r="F449" s="69" t="s">
        <v>88</v>
      </c>
      <c r="G449" s="69" t="s">
        <v>54</v>
      </c>
      <c r="H449" s="70">
        <v>2008</v>
      </c>
      <c r="I449" s="69" t="s">
        <v>63</v>
      </c>
      <c r="J449" s="69" t="s">
        <v>2393</v>
      </c>
      <c r="K449" s="71" t="s">
        <v>2394</v>
      </c>
      <c r="L449" s="71" t="s">
        <v>2395</v>
      </c>
      <c r="M449" s="71" t="s">
        <v>2396</v>
      </c>
      <c r="N449" s="69" t="s">
        <v>57</v>
      </c>
      <c r="O449" s="64">
        <v>1</v>
      </c>
      <c r="P449" s="72">
        <v>16950000</v>
      </c>
      <c r="Q449" s="69" t="s">
        <v>2397</v>
      </c>
      <c r="R449" s="69"/>
      <c r="S449" s="68" t="s">
        <v>128</v>
      </c>
      <c r="T449" s="56">
        <v>6</v>
      </c>
      <c r="U449" s="56">
        <v>3</v>
      </c>
    </row>
    <row r="450" spans="1:21" ht="14.25" customHeight="1" thickBot="1" x14ac:dyDescent="0.4">
      <c r="A450" s="58">
        <v>434</v>
      </c>
      <c r="B450" s="69" t="s">
        <v>79</v>
      </c>
      <c r="C450" s="69" t="s">
        <v>80</v>
      </c>
      <c r="D450" s="70" t="s">
        <v>132</v>
      </c>
      <c r="E450" s="69" t="s">
        <v>2398</v>
      </c>
      <c r="F450" s="69" t="s">
        <v>148</v>
      </c>
      <c r="G450" s="69" t="s">
        <v>140</v>
      </c>
      <c r="H450" s="70">
        <v>2023</v>
      </c>
      <c r="I450" s="69" t="s">
        <v>63</v>
      </c>
      <c r="J450" s="69" t="s">
        <v>2399</v>
      </c>
      <c r="K450" s="71" t="s">
        <v>2400</v>
      </c>
      <c r="L450" s="71" t="s">
        <v>2401</v>
      </c>
      <c r="M450" s="71" t="s">
        <v>2402</v>
      </c>
      <c r="N450" s="69" t="s">
        <v>44</v>
      </c>
      <c r="O450" s="64">
        <v>1</v>
      </c>
      <c r="P450" s="72">
        <v>22089000</v>
      </c>
      <c r="Q450" s="69" t="s">
        <v>2403</v>
      </c>
      <c r="R450" s="69"/>
      <c r="S450" s="68" t="s">
        <v>128</v>
      </c>
      <c r="T450" s="56">
        <v>6</v>
      </c>
      <c r="U450" s="56">
        <v>3</v>
      </c>
    </row>
    <row r="451" spans="1:21" ht="14.25" customHeight="1" x14ac:dyDescent="0.35">
      <c r="A451" s="47">
        <v>435</v>
      </c>
      <c r="B451" s="69" t="s">
        <v>79</v>
      </c>
      <c r="C451" s="69" t="s">
        <v>80</v>
      </c>
      <c r="D451" s="70" t="s">
        <v>137</v>
      </c>
      <c r="E451" s="69" t="s">
        <v>2404</v>
      </c>
      <c r="F451" s="69" t="s">
        <v>148</v>
      </c>
      <c r="G451" s="69" t="s">
        <v>140</v>
      </c>
      <c r="H451" s="70">
        <v>2023</v>
      </c>
      <c r="I451" s="69" t="s">
        <v>63</v>
      </c>
      <c r="J451" s="69" t="s">
        <v>2405</v>
      </c>
      <c r="K451" s="71" t="s">
        <v>2406</v>
      </c>
      <c r="L451" s="71" t="s">
        <v>2407</v>
      </c>
      <c r="M451" s="71" t="s">
        <v>2408</v>
      </c>
      <c r="N451" s="69" t="s">
        <v>44</v>
      </c>
      <c r="O451" s="64">
        <v>1</v>
      </c>
      <c r="P451" s="72">
        <v>22089000</v>
      </c>
      <c r="Q451" s="69" t="s">
        <v>2409</v>
      </c>
      <c r="R451" s="69"/>
      <c r="S451" s="68" t="s">
        <v>128</v>
      </c>
      <c r="T451" s="56">
        <v>6</v>
      </c>
      <c r="U451" s="56">
        <v>3</v>
      </c>
    </row>
    <row r="452" spans="1:21" ht="14.25" customHeight="1" thickBot="1" x14ac:dyDescent="0.4">
      <c r="A452" s="58">
        <v>436</v>
      </c>
      <c r="B452" s="69" t="s">
        <v>79</v>
      </c>
      <c r="C452" s="69" t="s">
        <v>80</v>
      </c>
      <c r="D452" s="70" t="s">
        <v>146</v>
      </c>
      <c r="E452" s="69" t="s">
        <v>2398</v>
      </c>
      <c r="F452" s="69" t="s">
        <v>148</v>
      </c>
      <c r="G452" s="69" t="s">
        <v>140</v>
      </c>
      <c r="H452" s="70">
        <v>2023</v>
      </c>
      <c r="I452" s="69" t="s">
        <v>63</v>
      </c>
      <c r="J452" s="69" t="s">
        <v>2410</v>
      </c>
      <c r="K452" s="71" t="s">
        <v>2411</v>
      </c>
      <c r="L452" s="71" t="s">
        <v>2412</v>
      </c>
      <c r="M452" s="71" t="s">
        <v>2413</v>
      </c>
      <c r="N452" s="69" t="s">
        <v>44</v>
      </c>
      <c r="O452" s="64">
        <v>1</v>
      </c>
      <c r="P452" s="72">
        <v>22089000</v>
      </c>
      <c r="Q452" s="69" t="s">
        <v>2414</v>
      </c>
      <c r="R452" s="69"/>
      <c r="S452" s="68" t="s">
        <v>128</v>
      </c>
      <c r="T452" s="56">
        <v>6</v>
      </c>
      <c r="U452" s="56">
        <v>3</v>
      </c>
    </row>
    <row r="453" spans="1:21" ht="14.25" customHeight="1" x14ac:dyDescent="0.35">
      <c r="A453" s="47">
        <v>437</v>
      </c>
      <c r="B453" s="69" t="s">
        <v>79</v>
      </c>
      <c r="C453" s="69" t="s">
        <v>80</v>
      </c>
      <c r="D453" s="70" t="s">
        <v>154</v>
      </c>
      <c r="E453" s="69" t="s">
        <v>2415</v>
      </c>
      <c r="F453" s="69" t="s">
        <v>2416</v>
      </c>
      <c r="G453" s="69" t="s">
        <v>2417</v>
      </c>
      <c r="H453" s="70">
        <v>2023</v>
      </c>
      <c r="I453" s="69" t="s">
        <v>63</v>
      </c>
      <c r="J453" s="69" t="s">
        <v>2418</v>
      </c>
      <c r="K453" s="71" t="s">
        <v>2419</v>
      </c>
      <c r="L453" s="71" t="s">
        <v>2420</v>
      </c>
      <c r="M453" s="71" t="s">
        <v>2421</v>
      </c>
      <c r="N453" s="69" t="s">
        <v>44</v>
      </c>
      <c r="O453" s="64">
        <v>1</v>
      </c>
      <c r="P453" s="72">
        <v>27450000</v>
      </c>
      <c r="Q453" s="69" t="s">
        <v>2422</v>
      </c>
      <c r="R453" s="69"/>
      <c r="S453" s="68" t="s">
        <v>128</v>
      </c>
      <c r="T453" s="56">
        <v>6</v>
      </c>
      <c r="U453" s="56">
        <v>3</v>
      </c>
    </row>
    <row r="454" spans="1:21" ht="14.25" customHeight="1" thickBot="1" x14ac:dyDescent="0.4">
      <c r="A454" s="58">
        <v>438</v>
      </c>
      <c r="B454" s="69" t="s">
        <v>79</v>
      </c>
      <c r="C454" s="69" t="s">
        <v>80</v>
      </c>
      <c r="D454" s="70" t="s">
        <v>161</v>
      </c>
      <c r="E454" s="69" t="s">
        <v>2415</v>
      </c>
      <c r="F454" s="69" t="s">
        <v>2416</v>
      </c>
      <c r="G454" s="69" t="s">
        <v>2417</v>
      </c>
      <c r="H454" s="70">
        <v>2023</v>
      </c>
      <c r="I454" s="69" t="s">
        <v>63</v>
      </c>
      <c r="J454" s="69" t="s">
        <v>2423</v>
      </c>
      <c r="K454" s="71" t="s">
        <v>2424</v>
      </c>
      <c r="L454" s="71" t="s">
        <v>2425</v>
      </c>
      <c r="M454" s="71" t="s">
        <v>2426</v>
      </c>
      <c r="N454" s="69" t="s">
        <v>44</v>
      </c>
      <c r="O454" s="64">
        <v>1</v>
      </c>
      <c r="P454" s="72">
        <v>27450000</v>
      </c>
      <c r="Q454" s="69" t="s">
        <v>2427</v>
      </c>
      <c r="R454" s="69"/>
      <c r="S454" s="68" t="s">
        <v>128</v>
      </c>
      <c r="T454" s="56">
        <v>6</v>
      </c>
      <c r="U454" s="56">
        <v>3</v>
      </c>
    </row>
    <row r="455" spans="1:21" ht="14.25" customHeight="1" x14ac:dyDescent="0.35">
      <c r="A455" s="47">
        <v>439</v>
      </c>
      <c r="B455" s="69" t="s">
        <v>79</v>
      </c>
      <c r="C455" s="69" t="s">
        <v>80</v>
      </c>
      <c r="D455" s="70" t="s">
        <v>169</v>
      </c>
      <c r="E455" s="69" t="s">
        <v>2415</v>
      </c>
      <c r="F455" s="69" t="s">
        <v>2416</v>
      </c>
      <c r="G455" s="69" t="s">
        <v>2417</v>
      </c>
      <c r="H455" s="70">
        <v>2023</v>
      </c>
      <c r="I455" s="69" t="s">
        <v>63</v>
      </c>
      <c r="J455" s="69" t="s">
        <v>2428</v>
      </c>
      <c r="K455" s="71" t="s">
        <v>2429</v>
      </c>
      <c r="L455" s="71" t="s">
        <v>2430</v>
      </c>
      <c r="M455" s="71" t="s">
        <v>2431</v>
      </c>
      <c r="N455" s="69" t="s">
        <v>44</v>
      </c>
      <c r="O455" s="64">
        <v>1</v>
      </c>
      <c r="P455" s="72">
        <v>27450000</v>
      </c>
      <c r="Q455" s="69" t="s">
        <v>2432</v>
      </c>
      <c r="R455" s="69"/>
      <c r="S455" s="68" t="s">
        <v>128</v>
      </c>
      <c r="T455" s="56">
        <v>6</v>
      </c>
      <c r="U455" s="56">
        <v>3</v>
      </c>
    </row>
    <row r="456" spans="1:21" ht="14.25" customHeight="1" thickBot="1" x14ac:dyDescent="0.4">
      <c r="A456" s="58">
        <v>440</v>
      </c>
      <c r="B456" s="69" t="s">
        <v>79</v>
      </c>
      <c r="C456" s="69" t="s">
        <v>80</v>
      </c>
      <c r="D456" s="70" t="s">
        <v>176</v>
      </c>
      <c r="E456" s="69" t="s">
        <v>2415</v>
      </c>
      <c r="F456" s="69" t="s">
        <v>2416</v>
      </c>
      <c r="G456" s="69" t="s">
        <v>2417</v>
      </c>
      <c r="H456" s="70">
        <v>2023</v>
      </c>
      <c r="I456" s="69" t="s">
        <v>63</v>
      </c>
      <c r="J456" s="69" t="s">
        <v>2433</v>
      </c>
      <c r="K456" s="71" t="s">
        <v>2434</v>
      </c>
      <c r="L456" s="71" t="s">
        <v>2435</v>
      </c>
      <c r="M456" s="71" t="s">
        <v>2436</v>
      </c>
      <c r="N456" s="69" t="s">
        <v>44</v>
      </c>
      <c r="O456" s="64">
        <v>1</v>
      </c>
      <c r="P456" s="72">
        <v>27450000</v>
      </c>
      <c r="Q456" s="69" t="s">
        <v>2437</v>
      </c>
      <c r="R456" s="69"/>
      <c r="S456" s="68" t="s">
        <v>128</v>
      </c>
      <c r="T456" s="56">
        <v>6</v>
      </c>
      <c r="U456" s="56">
        <v>3</v>
      </c>
    </row>
    <row r="457" spans="1:21" ht="14.25" customHeight="1" x14ac:dyDescent="0.35">
      <c r="A457" s="47">
        <v>441</v>
      </c>
      <c r="B457" s="69" t="s">
        <v>79</v>
      </c>
      <c r="C457" s="69" t="s">
        <v>80</v>
      </c>
      <c r="D457" s="70" t="s">
        <v>1236</v>
      </c>
      <c r="E457" s="69" t="s">
        <v>2415</v>
      </c>
      <c r="F457" s="69" t="s">
        <v>2416</v>
      </c>
      <c r="G457" s="69" t="s">
        <v>2417</v>
      </c>
      <c r="H457" s="70">
        <v>2023</v>
      </c>
      <c r="I457" s="69" t="s">
        <v>63</v>
      </c>
      <c r="J457" s="69" t="s">
        <v>2438</v>
      </c>
      <c r="K457" s="71" t="s">
        <v>2439</v>
      </c>
      <c r="L457" s="71" t="s">
        <v>2430</v>
      </c>
      <c r="M457" s="71" t="s">
        <v>2431</v>
      </c>
      <c r="N457" s="69" t="s">
        <v>44</v>
      </c>
      <c r="O457" s="64">
        <v>1</v>
      </c>
      <c r="P457" s="72">
        <v>27450000</v>
      </c>
      <c r="Q457" s="69" t="s">
        <v>2440</v>
      </c>
      <c r="R457" s="69"/>
      <c r="S457" s="68" t="s">
        <v>128</v>
      </c>
      <c r="T457" s="56">
        <v>6</v>
      </c>
      <c r="U457" s="56">
        <v>3</v>
      </c>
    </row>
    <row r="458" spans="1:21" ht="14.25" customHeight="1" thickBot="1" x14ac:dyDescent="0.4">
      <c r="A458" s="58">
        <v>442</v>
      </c>
      <c r="B458" s="69" t="s">
        <v>79</v>
      </c>
      <c r="C458" s="69" t="s">
        <v>80</v>
      </c>
      <c r="D458" s="70" t="s">
        <v>181</v>
      </c>
      <c r="E458" s="69" t="s">
        <v>2441</v>
      </c>
      <c r="F458" s="69" t="s">
        <v>2442</v>
      </c>
      <c r="G458" s="69" t="s">
        <v>2443</v>
      </c>
      <c r="H458" s="70">
        <v>2024</v>
      </c>
      <c r="I458" s="69" t="s">
        <v>63</v>
      </c>
      <c r="J458" s="69" t="s">
        <v>2444</v>
      </c>
      <c r="K458" s="71" t="s">
        <v>2445</v>
      </c>
      <c r="L458" s="71" t="s">
        <v>2446</v>
      </c>
      <c r="M458" s="71" t="s">
        <v>2447</v>
      </c>
      <c r="N458" s="69" t="s">
        <v>44</v>
      </c>
      <c r="O458" s="64">
        <v>1</v>
      </c>
      <c r="P458" s="72">
        <v>31000000</v>
      </c>
      <c r="Q458" s="69" t="s">
        <v>2448</v>
      </c>
      <c r="R458" s="69"/>
      <c r="S458" s="68" t="s">
        <v>128</v>
      </c>
      <c r="T458" s="56">
        <v>6</v>
      </c>
      <c r="U458" s="56">
        <v>3</v>
      </c>
    </row>
    <row r="459" spans="1:21" ht="14.25" customHeight="1" x14ac:dyDescent="0.35">
      <c r="A459" s="47">
        <v>443</v>
      </c>
      <c r="B459" s="69" t="s">
        <v>79</v>
      </c>
      <c r="C459" s="69" t="s">
        <v>80</v>
      </c>
      <c r="D459" s="70" t="s">
        <v>187</v>
      </c>
      <c r="E459" s="69" t="s">
        <v>2441</v>
      </c>
      <c r="F459" s="69" t="s">
        <v>2442</v>
      </c>
      <c r="G459" s="69" t="s">
        <v>2443</v>
      </c>
      <c r="H459" s="70">
        <v>2024</v>
      </c>
      <c r="I459" s="69" t="s">
        <v>63</v>
      </c>
      <c r="J459" s="69" t="s">
        <v>2449</v>
      </c>
      <c r="K459" s="71" t="s">
        <v>2450</v>
      </c>
      <c r="L459" s="71" t="s">
        <v>2451</v>
      </c>
      <c r="M459" s="71" t="s">
        <v>2452</v>
      </c>
      <c r="N459" s="69" t="s">
        <v>44</v>
      </c>
      <c r="O459" s="64">
        <v>1</v>
      </c>
      <c r="P459" s="72">
        <v>31000000</v>
      </c>
      <c r="Q459" s="69" t="s">
        <v>2453</v>
      </c>
      <c r="R459" s="69"/>
      <c r="S459" s="68" t="s">
        <v>128</v>
      </c>
      <c r="T459" s="56">
        <v>6</v>
      </c>
      <c r="U459" s="56">
        <v>3</v>
      </c>
    </row>
    <row r="460" spans="1:21" ht="14.25" customHeight="1" thickBot="1" x14ac:dyDescent="0.4">
      <c r="A460" s="58">
        <v>444</v>
      </c>
      <c r="B460" s="69" t="s">
        <v>79</v>
      </c>
      <c r="C460" s="69" t="s">
        <v>80</v>
      </c>
      <c r="D460" s="70" t="s">
        <v>190</v>
      </c>
      <c r="E460" s="69" t="s">
        <v>2441</v>
      </c>
      <c r="F460" s="69" t="s">
        <v>2442</v>
      </c>
      <c r="G460" s="69" t="s">
        <v>2443</v>
      </c>
      <c r="H460" s="70">
        <v>2024</v>
      </c>
      <c r="I460" s="69" t="s">
        <v>63</v>
      </c>
      <c r="J460" s="69" t="s">
        <v>2454</v>
      </c>
      <c r="K460" s="71" t="s">
        <v>2455</v>
      </c>
      <c r="L460" s="71" t="s">
        <v>2456</v>
      </c>
      <c r="M460" s="71" t="s">
        <v>2457</v>
      </c>
      <c r="N460" s="69" t="s">
        <v>44</v>
      </c>
      <c r="O460" s="64">
        <v>1</v>
      </c>
      <c r="P460" s="72">
        <v>31000000</v>
      </c>
      <c r="Q460" s="69" t="s">
        <v>2458</v>
      </c>
      <c r="R460" s="69"/>
      <c r="S460" s="68" t="s">
        <v>128</v>
      </c>
      <c r="T460" s="56">
        <v>6</v>
      </c>
      <c r="U460" s="56">
        <v>3</v>
      </c>
    </row>
    <row r="461" spans="1:21" ht="14.25" customHeight="1" x14ac:dyDescent="0.35">
      <c r="A461" s="47">
        <v>445</v>
      </c>
      <c r="B461" s="69" t="s">
        <v>79</v>
      </c>
      <c r="C461" s="69" t="s">
        <v>80</v>
      </c>
      <c r="D461" s="70" t="s">
        <v>192</v>
      </c>
      <c r="E461" s="69" t="s">
        <v>2441</v>
      </c>
      <c r="F461" s="69" t="s">
        <v>2442</v>
      </c>
      <c r="G461" s="69" t="s">
        <v>2443</v>
      </c>
      <c r="H461" s="70">
        <v>2024</v>
      </c>
      <c r="I461" s="69" t="s">
        <v>63</v>
      </c>
      <c r="J461" s="69" t="s">
        <v>2459</v>
      </c>
      <c r="K461" s="71" t="s">
        <v>2455</v>
      </c>
      <c r="L461" s="71" t="s">
        <v>2460</v>
      </c>
      <c r="M461" s="71" t="s">
        <v>2461</v>
      </c>
      <c r="N461" s="69" t="s">
        <v>44</v>
      </c>
      <c r="O461" s="64">
        <v>1</v>
      </c>
      <c r="P461" s="72">
        <v>31000000</v>
      </c>
      <c r="Q461" s="69" t="s">
        <v>2462</v>
      </c>
      <c r="R461" s="69"/>
      <c r="S461" s="68" t="s">
        <v>128</v>
      </c>
      <c r="T461" s="56">
        <v>6</v>
      </c>
      <c r="U461" s="56">
        <v>3</v>
      </c>
    </row>
    <row r="462" spans="1:21" ht="14.25" customHeight="1" thickBot="1" x14ac:dyDescent="0.4">
      <c r="A462" s="58">
        <v>446</v>
      </c>
      <c r="B462" s="69" t="s">
        <v>79</v>
      </c>
      <c r="C462" s="69" t="s">
        <v>80</v>
      </c>
      <c r="D462" s="70" t="s">
        <v>194</v>
      </c>
      <c r="E462" s="69" t="s">
        <v>2441</v>
      </c>
      <c r="F462" s="69" t="s">
        <v>2442</v>
      </c>
      <c r="G462" s="69" t="s">
        <v>2443</v>
      </c>
      <c r="H462" s="70">
        <v>2024</v>
      </c>
      <c r="I462" s="69" t="s">
        <v>63</v>
      </c>
      <c r="J462" s="69" t="s">
        <v>2463</v>
      </c>
      <c r="K462" s="71" t="s">
        <v>2464</v>
      </c>
      <c r="L462" s="71" t="s">
        <v>2465</v>
      </c>
      <c r="M462" s="71" t="s">
        <v>2466</v>
      </c>
      <c r="N462" s="69" t="s">
        <v>44</v>
      </c>
      <c r="O462" s="64">
        <v>1</v>
      </c>
      <c r="P462" s="72">
        <v>31000000</v>
      </c>
      <c r="Q462" s="69" t="s">
        <v>2467</v>
      </c>
      <c r="R462" s="69"/>
      <c r="S462" s="68" t="s">
        <v>128</v>
      </c>
      <c r="T462" s="56">
        <v>6</v>
      </c>
      <c r="U462" s="56">
        <v>3</v>
      </c>
    </row>
    <row r="463" spans="1:21" ht="14.25" customHeight="1" x14ac:dyDescent="0.35">
      <c r="A463" s="47">
        <v>447</v>
      </c>
      <c r="B463" s="69" t="s">
        <v>79</v>
      </c>
      <c r="C463" s="69" t="s">
        <v>80</v>
      </c>
      <c r="D463" s="70" t="s">
        <v>195</v>
      </c>
      <c r="E463" s="69" t="s">
        <v>2441</v>
      </c>
      <c r="F463" s="69" t="s">
        <v>2442</v>
      </c>
      <c r="G463" s="69" t="s">
        <v>2443</v>
      </c>
      <c r="H463" s="70">
        <v>2024</v>
      </c>
      <c r="I463" s="69" t="s">
        <v>63</v>
      </c>
      <c r="J463" s="69" t="s">
        <v>2468</v>
      </c>
      <c r="K463" s="71" t="s">
        <v>2469</v>
      </c>
      <c r="L463" s="71" t="s">
        <v>2470</v>
      </c>
      <c r="M463" s="71" t="s">
        <v>2471</v>
      </c>
      <c r="N463" s="69" t="s">
        <v>44</v>
      </c>
      <c r="O463" s="64">
        <v>1</v>
      </c>
      <c r="P463" s="72">
        <v>31000000</v>
      </c>
      <c r="Q463" s="69" t="s">
        <v>2472</v>
      </c>
      <c r="R463" s="69"/>
      <c r="S463" s="68" t="s">
        <v>128</v>
      </c>
      <c r="T463" s="56">
        <v>6</v>
      </c>
      <c r="U463" s="56">
        <v>3</v>
      </c>
    </row>
    <row r="464" spans="1:21" ht="14.25" customHeight="1" thickBot="1" x14ac:dyDescent="0.4">
      <c r="A464" s="58">
        <v>448</v>
      </c>
      <c r="B464" s="69" t="s">
        <v>1806</v>
      </c>
      <c r="C464" s="69" t="s">
        <v>1807</v>
      </c>
      <c r="D464" s="70" t="s">
        <v>59</v>
      </c>
      <c r="E464" s="69" t="s">
        <v>2473</v>
      </c>
      <c r="F464" s="69" t="s">
        <v>1595</v>
      </c>
      <c r="G464" s="69" t="s">
        <v>54</v>
      </c>
      <c r="H464" s="70">
        <v>2015</v>
      </c>
      <c r="I464" s="69" t="s">
        <v>2474</v>
      </c>
      <c r="J464" s="69" t="s">
        <v>2475</v>
      </c>
      <c r="K464" s="71" t="s">
        <v>2476</v>
      </c>
      <c r="L464" s="71" t="s">
        <v>2477</v>
      </c>
      <c r="M464" s="71" t="s">
        <v>2478</v>
      </c>
      <c r="N464" s="69" t="s">
        <v>57</v>
      </c>
      <c r="O464" s="64">
        <v>1</v>
      </c>
      <c r="P464" s="72">
        <v>270000000</v>
      </c>
      <c r="Q464" s="69" t="s">
        <v>2479</v>
      </c>
      <c r="R464" s="69"/>
      <c r="S464" s="121" t="s">
        <v>153</v>
      </c>
      <c r="T464" s="56">
        <v>7</v>
      </c>
      <c r="U464" s="56">
        <v>4</v>
      </c>
    </row>
    <row r="465" spans="1:21" ht="14.25" customHeight="1" x14ac:dyDescent="0.35">
      <c r="A465" s="47">
        <v>449</v>
      </c>
      <c r="B465" s="69" t="s">
        <v>2057</v>
      </c>
      <c r="C465" s="69" t="s">
        <v>2058</v>
      </c>
      <c r="D465" s="70" t="s">
        <v>51</v>
      </c>
      <c r="E465" s="69" t="s">
        <v>2480</v>
      </c>
      <c r="F465" s="69" t="s">
        <v>2481</v>
      </c>
      <c r="G465" s="69" t="s">
        <v>54</v>
      </c>
      <c r="H465" s="70">
        <v>2026</v>
      </c>
      <c r="I465" s="69" t="s">
        <v>63</v>
      </c>
      <c r="J465" s="69" t="s">
        <v>2482</v>
      </c>
      <c r="K465" s="71" t="s">
        <v>2483</v>
      </c>
      <c r="L465" s="71" t="s">
        <v>2484</v>
      </c>
      <c r="M465" s="122" t="s">
        <v>2485</v>
      </c>
      <c r="N465" s="69" t="s">
        <v>44</v>
      </c>
      <c r="O465" s="64">
        <v>1</v>
      </c>
      <c r="P465" s="72">
        <v>394100000</v>
      </c>
      <c r="Q465" s="69" t="s">
        <v>2486</v>
      </c>
      <c r="R465" s="69"/>
      <c r="S465" s="121" t="s">
        <v>153</v>
      </c>
      <c r="T465" s="56">
        <v>7</v>
      </c>
      <c r="U465" s="56">
        <v>4</v>
      </c>
    </row>
    <row r="466" spans="1:21" ht="14.25" customHeight="1" thickBot="1" x14ac:dyDescent="0.4">
      <c r="A466" s="58">
        <v>450</v>
      </c>
      <c r="B466" s="69" t="s">
        <v>2064</v>
      </c>
      <c r="C466" s="69" t="s">
        <v>2065</v>
      </c>
      <c r="D466" s="70" t="s">
        <v>51</v>
      </c>
      <c r="E466" s="69" t="s">
        <v>2487</v>
      </c>
      <c r="F466" s="69" t="s">
        <v>2488</v>
      </c>
      <c r="G466" s="69" t="s">
        <v>54</v>
      </c>
      <c r="H466" s="70">
        <v>2012</v>
      </c>
      <c r="I466" s="69" t="s">
        <v>63</v>
      </c>
      <c r="J466" s="69" t="s">
        <v>2489</v>
      </c>
      <c r="K466" s="71" t="s">
        <v>2490</v>
      </c>
      <c r="L466" s="71" t="s">
        <v>2491</v>
      </c>
      <c r="M466" s="71" t="s">
        <v>2492</v>
      </c>
      <c r="N466" s="69" t="s">
        <v>57</v>
      </c>
      <c r="O466" s="64">
        <v>1</v>
      </c>
      <c r="P466" s="72">
        <v>358291000</v>
      </c>
      <c r="Q466" s="69" t="s">
        <v>2493</v>
      </c>
      <c r="R466" s="69"/>
      <c r="S466" s="121" t="s">
        <v>153</v>
      </c>
      <c r="T466" s="56">
        <v>7</v>
      </c>
      <c r="U466" s="56">
        <v>6</v>
      </c>
    </row>
    <row r="467" spans="1:21" ht="14.25" customHeight="1" x14ac:dyDescent="0.35">
      <c r="A467" s="47">
        <v>451</v>
      </c>
      <c r="B467" s="69" t="s">
        <v>70</v>
      </c>
      <c r="C467" s="69" t="s">
        <v>71</v>
      </c>
      <c r="D467" s="70" t="s">
        <v>51</v>
      </c>
      <c r="E467" s="69" t="s">
        <v>2494</v>
      </c>
      <c r="F467" s="69" t="s">
        <v>2495</v>
      </c>
      <c r="G467" s="69" t="s">
        <v>54</v>
      </c>
      <c r="H467" s="70">
        <v>2013</v>
      </c>
      <c r="I467" s="69" t="s">
        <v>63</v>
      </c>
      <c r="J467" s="69" t="s">
        <v>2496</v>
      </c>
      <c r="K467" s="71" t="s">
        <v>2497</v>
      </c>
      <c r="L467" s="71" t="s">
        <v>2498</v>
      </c>
      <c r="M467" s="71" t="s">
        <v>2499</v>
      </c>
      <c r="N467" s="69" t="s">
        <v>57</v>
      </c>
      <c r="O467" s="64">
        <v>1</v>
      </c>
      <c r="P467" s="72">
        <v>343370000</v>
      </c>
      <c r="Q467" s="69" t="s">
        <v>2500</v>
      </c>
      <c r="R467" s="69"/>
      <c r="S467" s="121" t="s">
        <v>153</v>
      </c>
      <c r="T467" s="56">
        <v>7</v>
      </c>
      <c r="U467" s="56">
        <v>4</v>
      </c>
    </row>
    <row r="468" spans="1:21" ht="14.25" customHeight="1" thickBot="1" x14ac:dyDescent="0.4">
      <c r="A468" s="58">
        <v>452</v>
      </c>
      <c r="B468" s="69" t="s">
        <v>70</v>
      </c>
      <c r="C468" s="69" t="s">
        <v>71</v>
      </c>
      <c r="D468" s="70" t="s">
        <v>59</v>
      </c>
      <c r="E468" s="69" t="s">
        <v>2501</v>
      </c>
      <c r="F468" s="69" t="s">
        <v>1683</v>
      </c>
      <c r="G468" s="69" t="s">
        <v>140</v>
      </c>
      <c r="H468" s="70">
        <v>2017</v>
      </c>
      <c r="I468" s="69" t="s">
        <v>63</v>
      </c>
      <c r="J468" s="69" t="s">
        <v>2502</v>
      </c>
      <c r="K468" s="71" t="s">
        <v>2503</v>
      </c>
      <c r="L468" s="71" t="s">
        <v>2504</v>
      </c>
      <c r="M468" s="71" t="s">
        <v>2505</v>
      </c>
      <c r="N468" s="69" t="s">
        <v>57</v>
      </c>
      <c r="O468" s="64">
        <v>1</v>
      </c>
      <c r="P468" s="72">
        <v>399250000</v>
      </c>
      <c r="Q468" s="69" t="s">
        <v>2506</v>
      </c>
      <c r="R468" s="69"/>
      <c r="S468" s="121" t="s">
        <v>153</v>
      </c>
      <c r="T468" s="56">
        <v>7</v>
      </c>
      <c r="U468" s="56">
        <v>4</v>
      </c>
    </row>
    <row r="469" spans="1:21" ht="14.25" customHeight="1" x14ac:dyDescent="0.35">
      <c r="A469" s="47">
        <v>453</v>
      </c>
      <c r="B469" s="69" t="s">
        <v>79</v>
      </c>
      <c r="C469" s="69" t="s">
        <v>80</v>
      </c>
      <c r="D469" s="70" t="s">
        <v>59</v>
      </c>
      <c r="E469" s="69" t="s">
        <v>2507</v>
      </c>
      <c r="F469" s="69" t="s">
        <v>88</v>
      </c>
      <c r="G469" s="69" t="s">
        <v>54</v>
      </c>
      <c r="H469" s="70">
        <v>2004</v>
      </c>
      <c r="I469" s="69"/>
      <c r="J469" s="69" t="s">
        <v>2508</v>
      </c>
      <c r="K469" s="71" t="s">
        <v>2509</v>
      </c>
      <c r="L469" s="71" t="s">
        <v>2510</v>
      </c>
      <c r="M469" s="71" t="s">
        <v>2511</v>
      </c>
      <c r="N469" s="69" t="s">
        <v>57</v>
      </c>
      <c r="O469" s="64">
        <v>1</v>
      </c>
      <c r="P469" s="72">
        <v>18950000</v>
      </c>
      <c r="Q469" s="69" t="s">
        <v>2512</v>
      </c>
      <c r="R469" s="69"/>
      <c r="S469" s="121" t="s">
        <v>153</v>
      </c>
      <c r="T469" s="56">
        <v>7</v>
      </c>
      <c r="U469" s="56">
        <v>3</v>
      </c>
    </row>
    <row r="470" spans="1:21" ht="14.25" customHeight="1" thickBot="1" x14ac:dyDescent="0.4">
      <c r="A470" s="58">
        <v>454</v>
      </c>
      <c r="B470" s="69" t="s">
        <v>79</v>
      </c>
      <c r="C470" s="69" t="s">
        <v>80</v>
      </c>
      <c r="D470" s="70" t="s">
        <v>101</v>
      </c>
      <c r="E470" s="69" t="s">
        <v>2513</v>
      </c>
      <c r="F470" s="69" t="s">
        <v>202</v>
      </c>
      <c r="G470" s="69" t="s">
        <v>54</v>
      </c>
      <c r="H470" s="70">
        <v>2010</v>
      </c>
      <c r="I470" s="69"/>
      <c r="J470" s="69" t="s">
        <v>2514</v>
      </c>
      <c r="K470" s="71" t="s">
        <v>2515</v>
      </c>
      <c r="L470" s="71" t="s">
        <v>2516</v>
      </c>
      <c r="M470" s="71" t="s">
        <v>2517</v>
      </c>
      <c r="N470" s="69" t="s">
        <v>57</v>
      </c>
      <c r="O470" s="64">
        <v>1</v>
      </c>
      <c r="P470" s="72">
        <v>16050000</v>
      </c>
      <c r="Q470" s="69" t="s">
        <v>2518</v>
      </c>
      <c r="R470" s="69"/>
      <c r="S470" s="121" t="s">
        <v>153</v>
      </c>
      <c r="T470" s="56">
        <v>7</v>
      </c>
      <c r="U470" s="56">
        <v>3</v>
      </c>
    </row>
    <row r="471" spans="1:21" ht="14.25" customHeight="1" x14ac:dyDescent="0.35">
      <c r="A471" s="47">
        <v>455</v>
      </c>
      <c r="B471" s="69" t="s">
        <v>79</v>
      </c>
      <c r="C471" s="69" t="s">
        <v>80</v>
      </c>
      <c r="D471" s="70" t="s">
        <v>112</v>
      </c>
      <c r="E471" s="69" t="s">
        <v>147</v>
      </c>
      <c r="F471" s="69" t="s">
        <v>148</v>
      </c>
      <c r="G471" s="69" t="s">
        <v>140</v>
      </c>
      <c r="H471" s="70">
        <v>2015</v>
      </c>
      <c r="I471" s="69"/>
      <c r="J471" s="69" t="s">
        <v>2519</v>
      </c>
      <c r="K471" s="71" t="s">
        <v>2520</v>
      </c>
      <c r="L471" s="71" t="s">
        <v>2521</v>
      </c>
      <c r="M471" s="71" t="s">
        <v>2522</v>
      </c>
      <c r="N471" s="69" t="s">
        <v>57</v>
      </c>
      <c r="O471" s="64">
        <v>1</v>
      </c>
      <c r="P471" s="72">
        <v>19430000</v>
      </c>
      <c r="Q471" s="69" t="s">
        <v>2523</v>
      </c>
      <c r="R471" s="69"/>
      <c r="S471" s="121" t="s">
        <v>153</v>
      </c>
      <c r="T471" s="56">
        <v>7</v>
      </c>
      <c r="U471" s="56">
        <v>3</v>
      </c>
    </row>
    <row r="472" spans="1:21" ht="14.25" customHeight="1" thickBot="1" x14ac:dyDescent="0.4">
      <c r="A472" s="58">
        <v>456</v>
      </c>
      <c r="B472" s="69" t="s">
        <v>79</v>
      </c>
      <c r="C472" s="69" t="s">
        <v>80</v>
      </c>
      <c r="D472" s="70" t="s">
        <v>116</v>
      </c>
      <c r="E472" s="69" t="s">
        <v>2524</v>
      </c>
      <c r="F472" s="69" t="s">
        <v>217</v>
      </c>
      <c r="G472" s="69" t="s">
        <v>2525</v>
      </c>
      <c r="H472" s="70">
        <v>2020</v>
      </c>
      <c r="I472" s="69" t="s">
        <v>63</v>
      </c>
      <c r="J472" s="69" t="s">
        <v>2526</v>
      </c>
      <c r="K472" s="71" t="s">
        <v>2527</v>
      </c>
      <c r="L472" s="71" t="s">
        <v>2528</v>
      </c>
      <c r="M472" s="71" t="s">
        <v>2529</v>
      </c>
      <c r="N472" s="69" t="s">
        <v>57</v>
      </c>
      <c r="O472" s="64">
        <v>1</v>
      </c>
      <c r="P472" s="72">
        <v>33000000</v>
      </c>
      <c r="Q472" s="69" t="s">
        <v>2530</v>
      </c>
      <c r="R472" s="69"/>
      <c r="S472" s="121" t="s">
        <v>153</v>
      </c>
      <c r="T472" s="56">
        <v>7</v>
      </c>
      <c r="U472" s="56">
        <v>3</v>
      </c>
    </row>
    <row r="473" spans="1:21" ht="14.25" customHeight="1" x14ac:dyDescent="0.35">
      <c r="A473" s="47">
        <v>457</v>
      </c>
      <c r="B473" s="69" t="s">
        <v>79</v>
      </c>
      <c r="C473" s="69" t="s">
        <v>80</v>
      </c>
      <c r="D473" s="70" t="s">
        <v>841</v>
      </c>
      <c r="E473" s="69" t="s">
        <v>414</v>
      </c>
      <c r="F473" s="69" t="s">
        <v>217</v>
      </c>
      <c r="G473" s="69" t="s">
        <v>415</v>
      </c>
      <c r="H473" s="70">
        <v>2021</v>
      </c>
      <c r="I473" s="69" t="s">
        <v>63</v>
      </c>
      <c r="J473" s="123" t="s">
        <v>2531</v>
      </c>
      <c r="K473" s="71" t="s">
        <v>2532</v>
      </c>
      <c r="L473" s="71" t="s">
        <v>2533</v>
      </c>
      <c r="M473" s="71" t="s">
        <v>2534</v>
      </c>
      <c r="N473" s="69" t="s">
        <v>57</v>
      </c>
      <c r="O473" s="64">
        <v>1</v>
      </c>
      <c r="P473" s="72">
        <v>33100000</v>
      </c>
      <c r="Q473" s="69" t="s">
        <v>420</v>
      </c>
      <c r="R473" s="69"/>
      <c r="S473" s="121" t="s">
        <v>153</v>
      </c>
      <c r="T473" s="56">
        <v>7</v>
      </c>
      <c r="U473" s="56">
        <v>3</v>
      </c>
    </row>
    <row r="474" spans="1:21" ht="14.25" customHeight="1" thickBot="1" x14ac:dyDescent="0.4">
      <c r="A474" s="58">
        <v>458</v>
      </c>
      <c r="B474" s="69" t="s">
        <v>79</v>
      </c>
      <c r="C474" s="69" t="s">
        <v>80</v>
      </c>
      <c r="D474" s="70" t="s">
        <v>904</v>
      </c>
      <c r="E474" s="69" t="s">
        <v>414</v>
      </c>
      <c r="F474" s="69" t="s">
        <v>217</v>
      </c>
      <c r="G474" s="69" t="s">
        <v>415</v>
      </c>
      <c r="H474" s="70">
        <v>2021</v>
      </c>
      <c r="I474" s="69" t="s">
        <v>63</v>
      </c>
      <c r="J474" s="123" t="s">
        <v>2535</v>
      </c>
      <c r="K474" s="71" t="s">
        <v>2536</v>
      </c>
      <c r="L474" s="71" t="s">
        <v>2537</v>
      </c>
      <c r="M474" s="71" t="s">
        <v>2538</v>
      </c>
      <c r="N474" s="69" t="s">
        <v>57</v>
      </c>
      <c r="O474" s="64">
        <v>1</v>
      </c>
      <c r="P474" s="72">
        <v>33100000</v>
      </c>
      <c r="Q474" s="69" t="s">
        <v>420</v>
      </c>
      <c r="R474" s="69"/>
      <c r="S474" s="121" t="s">
        <v>153</v>
      </c>
      <c r="T474" s="56">
        <v>7</v>
      </c>
      <c r="U474" s="56">
        <v>3</v>
      </c>
    </row>
    <row r="475" spans="1:21" ht="14.25" customHeight="1" x14ac:dyDescent="0.35">
      <c r="A475" s="47">
        <v>459</v>
      </c>
      <c r="B475" s="69" t="s">
        <v>79</v>
      </c>
      <c r="C475" s="69" t="s">
        <v>80</v>
      </c>
      <c r="D475" s="70" t="s">
        <v>122</v>
      </c>
      <c r="E475" s="69" t="s">
        <v>414</v>
      </c>
      <c r="F475" s="69" t="s">
        <v>217</v>
      </c>
      <c r="G475" s="69" t="s">
        <v>415</v>
      </c>
      <c r="H475" s="70">
        <v>2021</v>
      </c>
      <c r="I475" s="69" t="s">
        <v>63</v>
      </c>
      <c r="J475" s="123" t="s">
        <v>2539</v>
      </c>
      <c r="K475" s="71" t="s">
        <v>2540</v>
      </c>
      <c r="L475" s="71" t="s">
        <v>2541</v>
      </c>
      <c r="M475" s="71" t="s">
        <v>2542</v>
      </c>
      <c r="N475" s="69" t="s">
        <v>57</v>
      </c>
      <c r="O475" s="64">
        <v>1</v>
      </c>
      <c r="P475" s="72">
        <v>33100000</v>
      </c>
      <c r="Q475" s="69" t="s">
        <v>420</v>
      </c>
      <c r="R475" s="69"/>
      <c r="S475" s="121" t="s">
        <v>153</v>
      </c>
      <c r="T475" s="56">
        <v>7</v>
      </c>
      <c r="U475" s="56">
        <v>3</v>
      </c>
    </row>
    <row r="476" spans="1:21" ht="14.25" customHeight="1" thickBot="1" x14ac:dyDescent="0.4">
      <c r="A476" s="58">
        <v>460</v>
      </c>
      <c r="B476" s="69" t="s">
        <v>79</v>
      </c>
      <c r="C476" s="69" t="s">
        <v>80</v>
      </c>
      <c r="D476" s="70" t="s">
        <v>126</v>
      </c>
      <c r="E476" s="69" t="s">
        <v>2543</v>
      </c>
      <c r="F476" s="69" t="s">
        <v>2544</v>
      </c>
      <c r="G476" s="69" t="s">
        <v>2545</v>
      </c>
      <c r="H476" s="70">
        <v>2025</v>
      </c>
      <c r="I476" s="69" t="s">
        <v>63</v>
      </c>
      <c r="J476" s="69" t="s">
        <v>2546</v>
      </c>
      <c r="K476" s="71" t="s">
        <v>2547</v>
      </c>
      <c r="L476" s="71" t="s">
        <v>2548</v>
      </c>
      <c r="M476" s="71" t="s">
        <v>2549</v>
      </c>
      <c r="N476" s="69" t="s">
        <v>44</v>
      </c>
      <c r="O476" s="64">
        <v>1</v>
      </c>
      <c r="P476" s="72">
        <v>31858000</v>
      </c>
      <c r="Q476" s="69" t="s">
        <v>2550</v>
      </c>
      <c r="R476" s="69"/>
      <c r="S476" s="121" t="s">
        <v>153</v>
      </c>
      <c r="T476" s="56">
        <v>7</v>
      </c>
      <c r="U476" s="56">
        <v>3</v>
      </c>
    </row>
    <row r="477" spans="1:21" ht="14.25" customHeight="1" x14ac:dyDescent="0.35">
      <c r="A477" s="47">
        <v>461</v>
      </c>
      <c r="B477" s="69" t="s">
        <v>1806</v>
      </c>
      <c r="C477" s="69" t="s">
        <v>1807</v>
      </c>
      <c r="D477" s="70" t="s">
        <v>51</v>
      </c>
      <c r="E477" s="69" t="s">
        <v>2551</v>
      </c>
      <c r="F477" s="69" t="s">
        <v>2552</v>
      </c>
      <c r="G477" s="69" t="s">
        <v>54</v>
      </c>
      <c r="H477" s="70">
        <v>2014</v>
      </c>
      <c r="I477" s="69" t="s">
        <v>63</v>
      </c>
      <c r="J477" s="69" t="s">
        <v>2553</v>
      </c>
      <c r="K477" s="71" t="s">
        <v>2554</v>
      </c>
      <c r="L477" s="71" t="s">
        <v>2555</v>
      </c>
      <c r="M477" s="71" t="s">
        <v>2556</v>
      </c>
      <c r="N477" s="69" t="s">
        <v>57</v>
      </c>
      <c r="O477" s="64">
        <v>1</v>
      </c>
      <c r="P477" s="72">
        <v>304130000</v>
      </c>
      <c r="Q477" s="69" t="s">
        <v>2557</v>
      </c>
      <c r="R477" s="69"/>
      <c r="S477" s="68" t="s">
        <v>182</v>
      </c>
      <c r="T477" s="56">
        <v>8</v>
      </c>
      <c r="U477" s="56">
        <v>4</v>
      </c>
    </row>
    <row r="478" spans="1:21" ht="14.25" customHeight="1" thickBot="1" x14ac:dyDescent="0.4">
      <c r="A478" s="58">
        <v>462</v>
      </c>
      <c r="B478" s="69" t="s">
        <v>1806</v>
      </c>
      <c r="C478" s="69" t="s">
        <v>1807</v>
      </c>
      <c r="D478" s="70" t="s">
        <v>59</v>
      </c>
      <c r="E478" s="69" t="s">
        <v>2558</v>
      </c>
      <c r="F478" s="69" t="s">
        <v>2559</v>
      </c>
      <c r="G478" s="69" t="s">
        <v>54</v>
      </c>
      <c r="H478" s="70">
        <v>2011</v>
      </c>
      <c r="I478" s="69" t="s">
        <v>63</v>
      </c>
      <c r="J478" s="69" t="s">
        <v>2560</v>
      </c>
      <c r="K478" s="71" t="s">
        <v>2561</v>
      </c>
      <c r="L478" s="71" t="s">
        <v>2562</v>
      </c>
      <c r="M478" s="71" t="s">
        <v>2563</v>
      </c>
      <c r="N478" s="69" t="s">
        <v>57</v>
      </c>
      <c r="O478" s="64">
        <v>1</v>
      </c>
      <c r="P478" s="72">
        <v>228815000</v>
      </c>
      <c r="Q478" s="69" t="s">
        <v>2564</v>
      </c>
      <c r="R478" s="69"/>
      <c r="S478" s="68" t="s">
        <v>182</v>
      </c>
      <c r="T478" s="56">
        <v>8</v>
      </c>
      <c r="U478" s="56">
        <v>4</v>
      </c>
    </row>
    <row r="479" spans="1:21" ht="14.25" customHeight="1" x14ac:dyDescent="0.35">
      <c r="A479" s="47">
        <v>463</v>
      </c>
      <c r="B479" s="69" t="s">
        <v>79</v>
      </c>
      <c r="C479" s="69" t="s">
        <v>80</v>
      </c>
      <c r="D479" s="70" t="s">
        <v>51</v>
      </c>
      <c r="E479" s="69" t="s">
        <v>1110</v>
      </c>
      <c r="F479" s="69" t="s">
        <v>163</v>
      </c>
      <c r="G479" s="69" t="s">
        <v>140</v>
      </c>
      <c r="H479" s="70">
        <v>2017</v>
      </c>
      <c r="I479" s="69" t="s">
        <v>63</v>
      </c>
      <c r="J479" s="69" t="s">
        <v>2565</v>
      </c>
      <c r="K479" s="71" t="s">
        <v>2566</v>
      </c>
      <c r="L479" s="71" t="s">
        <v>2567</v>
      </c>
      <c r="M479" s="71" t="s">
        <v>2568</v>
      </c>
      <c r="N479" s="69" t="s">
        <v>57</v>
      </c>
      <c r="O479" s="64">
        <v>1</v>
      </c>
      <c r="P479" s="72">
        <v>15846600</v>
      </c>
      <c r="Q479" s="69" t="s">
        <v>2564</v>
      </c>
      <c r="R479" s="69"/>
      <c r="S479" s="68" t="s">
        <v>182</v>
      </c>
      <c r="T479" s="56">
        <v>8</v>
      </c>
      <c r="U479" s="56">
        <v>3</v>
      </c>
    </row>
    <row r="480" spans="1:21" ht="14.25" customHeight="1" thickBot="1" x14ac:dyDescent="0.4">
      <c r="A480" s="58">
        <v>464</v>
      </c>
      <c r="B480" s="69" t="s">
        <v>79</v>
      </c>
      <c r="C480" s="69" t="s">
        <v>80</v>
      </c>
      <c r="D480" s="70" t="s">
        <v>59</v>
      </c>
      <c r="E480" s="69" t="s">
        <v>1110</v>
      </c>
      <c r="F480" s="69" t="s">
        <v>163</v>
      </c>
      <c r="G480" s="69" t="s">
        <v>140</v>
      </c>
      <c r="H480" s="70">
        <v>2017</v>
      </c>
      <c r="I480" s="69" t="s">
        <v>63</v>
      </c>
      <c r="J480" s="69" t="s">
        <v>2569</v>
      </c>
      <c r="K480" s="71" t="s">
        <v>2570</v>
      </c>
      <c r="L480" s="71" t="s">
        <v>2571</v>
      </c>
      <c r="M480" s="71" t="s">
        <v>2572</v>
      </c>
      <c r="N480" s="69" t="s">
        <v>57</v>
      </c>
      <c r="O480" s="64">
        <v>1</v>
      </c>
      <c r="P480" s="72">
        <v>15846600</v>
      </c>
      <c r="Q480" s="69" t="s">
        <v>2573</v>
      </c>
      <c r="R480" s="69"/>
      <c r="S480" s="68" t="s">
        <v>182</v>
      </c>
      <c r="T480" s="56">
        <v>8</v>
      </c>
      <c r="U480" s="56">
        <v>3</v>
      </c>
    </row>
    <row r="481" spans="1:21" ht="14.25" customHeight="1" x14ac:dyDescent="0.35">
      <c r="A481" s="47">
        <v>465</v>
      </c>
      <c r="B481" s="69" t="s">
        <v>79</v>
      </c>
      <c r="C481" s="69" t="s">
        <v>80</v>
      </c>
      <c r="D481" s="70" t="s">
        <v>97</v>
      </c>
      <c r="E481" s="69" t="s">
        <v>2574</v>
      </c>
      <c r="F481" s="69" t="s">
        <v>88</v>
      </c>
      <c r="G481" s="69" t="s">
        <v>140</v>
      </c>
      <c r="H481" s="70">
        <v>2015</v>
      </c>
      <c r="I481" s="69"/>
      <c r="J481" s="69" t="s">
        <v>2575</v>
      </c>
      <c r="K481" s="71" t="s">
        <v>2576</v>
      </c>
      <c r="L481" s="71" t="s">
        <v>2577</v>
      </c>
      <c r="M481" s="71" t="s">
        <v>2578</v>
      </c>
      <c r="N481" s="69" t="s">
        <v>57</v>
      </c>
      <c r="O481" s="64">
        <v>1</v>
      </c>
      <c r="P481" s="72">
        <v>16898000</v>
      </c>
      <c r="Q481" s="69" t="s">
        <v>2579</v>
      </c>
      <c r="R481" s="69"/>
      <c r="S481" s="68" t="s">
        <v>182</v>
      </c>
      <c r="T481" s="56">
        <v>8</v>
      </c>
      <c r="U481" s="56">
        <v>3</v>
      </c>
    </row>
    <row r="482" spans="1:21" ht="14.25" customHeight="1" thickBot="1" x14ac:dyDescent="0.4">
      <c r="A482" s="58">
        <v>466</v>
      </c>
      <c r="B482" s="69" t="s">
        <v>79</v>
      </c>
      <c r="C482" s="69" t="s">
        <v>80</v>
      </c>
      <c r="D482" s="70" t="s">
        <v>101</v>
      </c>
      <c r="E482" s="69" t="s">
        <v>230</v>
      </c>
      <c r="F482" s="69" t="s">
        <v>231</v>
      </c>
      <c r="G482" s="69" t="s">
        <v>54</v>
      </c>
      <c r="H482" s="70">
        <v>2013</v>
      </c>
      <c r="I482" s="69" t="s">
        <v>63</v>
      </c>
      <c r="J482" s="69" t="s">
        <v>2580</v>
      </c>
      <c r="K482" s="71" t="s">
        <v>2581</v>
      </c>
      <c r="L482" s="71" t="s">
        <v>2582</v>
      </c>
      <c r="M482" s="71" t="s">
        <v>2583</v>
      </c>
      <c r="N482" s="69" t="s">
        <v>57</v>
      </c>
      <c r="O482" s="64">
        <v>1</v>
      </c>
      <c r="P482" s="72">
        <v>18004100</v>
      </c>
      <c r="Q482" s="69" t="s">
        <v>2584</v>
      </c>
      <c r="R482" s="69"/>
      <c r="S482" s="68" t="s">
        <v>182</v>
      </c>
      <c r="T482" s="56">
        <v>8</v>
      </c>
      <c r="U482" s="56">
        <v>3</v>
      </c>
    </row>
    <row r="483" spans="1:21" ht="14.25" customHeight="1" x14ac:dyDescent="0.35">
      <c r="A483" s="47">
        <v>467</v>
      </c>
      <c r="B483" s="69" t="s">
        <v>79</v>
      </c>
      <c r="C483" s="69" t="s">
        <v>80</v>
      </c>
      <c r="D483" s="70" t="s">
        <v>107</v>
      </c>
      <c r="E483" s="69" t="s">
        <v>2585</v>
      </c>
      <c r="F483" s="69">
        <v>110</v>
      </c>
      <c r="G483" s="69" t="s">
        <v>63</v>
      </c>
      <c r="H483" s="70">
        <v>2021</v>
      </c>
      <c r="I483" s="69" t="s">
        <v>63</v>
      </c>
      <c r="J483" s="69" t="s">
        <v>2586</v>
      </c>
      <c r="K483" s="71" t="s">
        <v>2587</v>
      </c>
      <c r="L483" s="71" t="s">
        <v>2588</v>
      </c>
      <c r="M483" s="71" t="s">
        <v>2589</v>
      </c>
      <c r="N483" s="69" t="s">
        <v>57</v>
      </c>
      <c r="O483" s="64">
        <v>1</v>
      </c>
      <c r="P483" s="72">
        <v>17500000</v>
      </c>
      <c r="Q483" s="69" t="s">
        <v>2590</v>
      </c>
      <c r="R483" s="69"/>
      <c r="S483" s="68" t="s">
        <v>182</v>
      </c>
      <c r="T483" s="56">
        <v>8</v>
      </c>
      <c r="U483" s="56">
        <v>3</v>
      </c>
    </row>
    <row r="484" spans="1:21" ht="14.25" customHeight="1" thickBot="1" x14ac:dyDescent="0.4">
      <c r="A484" s="58">
        <v>468</v>
      </c>
      <c r="B484" s="69" t="s">
        <v>79</v>
      </c>
      <c r="C484" s="69" t="s">
        <v>80</v>
      </c>
      <c r="D484" s="70" t="s">
        <v>112</v>
      </c>
      <c r="E484" s="69" t="s">
        <v>2585</v>
      </c>
      <c r="F484" s="69">
        <v>110</v>
      </c>
      <c r="G484" s="69" t="s">
        <v>63</v>
      </c>
      <c r="H484" s="70">
        <v>2021</v>
      </c>
      <c r="I484" s="69" t="s">
        <v>63</v>
      </c>
      <c r="J484" s="69" t="s">
        <v>2591</v>
      </c>
      <c r="K484" s="71" t="s">
        <v>2592</v>
      </c>
      <c r="L484" s="71" t="s">
        <v>2593</v>
      </c>
      <c r="M484" s="71" t="s">
        <v>2594</v>
      </c>
      <c r="N484" s="69" t="s">
        <v>57</v>
      </c>
      <c r="O484" s="64">
        <v>1</v>
      </c>
      <c r="P484" s="72">
        <v>17500000</v>
      </c>
      <c r="Q484" s="69" t="s">
        <v>2595</v>
      </c>
      <c r="R484" s="69"/>
      <c r="S484" s="68" t="s">
        <v>182</v>
      </c>
      <c r="T484" s="56">
        <v>8</v>
      </c>
      <c r="U484" s="56">
        <v>3</v>
      </c>
    </row>
    <row r="485" spans="1:21" ht="14.25" customHeight="1" x14ac:dyDescent="0.35">
      <c r="A485" s="47">
        <v>469</v>
      </c>
      <c r="B485" s="69" t="s">
        <v>79</v>
      </c>
      <c r="C485" s="69" t="s">
        <v>80</v>
      </c>
      <c r="D485" s="70" t="s">
        <v>116</v>
      </c>
      <c r="E485" s="69" t="s">
        <v>2596</v>
      </c>
      <c r="F485" s="69" t="s">
        <v>88</v>
      </c>
      <c r="G485" s="69" t="s">
        <v>54</v>
      </c>
      <c r="H485" s="70">
        <v>2008</v>
      </c>
      <c r="I485" s="69"/>
      <c r="J485" s="69" t="s">
        <v>2597</v>
      </c>
      <c r="K485" s="71" t="s">
        <v>2598</v>
      </c>
      <c r="L485" s="71" t="s">
        <v>2599</v>
      </c>
      <c r="M485" s="71" t="s">
        <v>2600</v>
      </c>
      <c r="N485" s="69" t="s">
        <v>57</v>
      </c>
      <c r="O485" s="64">
        <v>1</v>
      </c>
      <c r="P485" s="72">
        <v>16000000</v>
      </c>
      <c r="Q485" s="69" t="s">
        <v>2579</v>
      </c>
      <c r="R485" s="69"/>
      <c r="S485" s="68" t="s">
        <v>182</v>
      </c>
      <c r="T485" s="56">
        <v>8</v>
      </c>
      <c r="U485" s="56">
        <v>3</v>
      </c>
    </row>
    <row r="486" spans="1:21" ht="14.25" customHeight="1" thickBot="1" x14ac:dyDescent="0.4">
      <c r="A486" s="58">
        <v>470</v>
      </c>
      <c r="B486" s="69" t="s">
        <v>79</v>
      </c>
      <c r="C486" s="69" t="s">
        <v>80</v>
      </c>
      <c r="D486" s="70" t="s">
        <v>841</v>
      </c>
      <c r="E486" s="69" t="s">
        <v>2601</v>
      </c>
      <c r="F486" s="69" t="s">
        <v>88</v>
      </c>
      <c r="G486" s="69" t="s">
        <v>54</v>
      </c>
      <c r="H486" s="70">
        <v>2010</v>
      </c>
      <c r="I486" s="69"/>
      <c r="J486" s="69" t="s">
        <v>2602</v>
      </c>
      <c r="K486" s="71" t="s">
        <v>2603</v>
      </c>
      <c r="L486" s="71" t="s">
        <v>2604</v>
      </c>
      <c r="M486" s="71" t="s">
        <v>2605</v>
      </c>
      <c r="N486" s="69" t="s">
        <v>57</v>
      </c>
      <c r="O486" s="64">
        <v>1</v>
      </c>
      <c r="P486" s="72">
        <v>16433000</v>
      </c>
      <c r="Q486" s="69" t="s">
        <v>2606</v>
      </c>
      <c r="R486" s="69"/>
      <c r="S486" s="68" t="s">
        <v>182</v>
      </c>
      <c r="T486" s="56">
        <v>8</v>
      </c>
      <c r="U486" s="56">
        <v>3</v>
      </c>
    </row>
    <row r="487" spans="1:21" ht="14.25" customHeight="1" x14ac:dyDescent="0.35">
      <c r="A487" s="47">
        <v>471</v>
      </c>
      <c r="B487" s="69" t="s">
        <v>2244</v>
      </c>
      <c r="C487" s="69" t="s">
        <v>2245</v>
      </c>
      <c r="D487" s="70" t="s">
        <v>51</v>
      </c>
      <c r="E487" s="69" t="s">
        <v>2607</v>
      </c>
      <c r="F487" s="69" t="s">
        <v>231</v>
      </c>
      <c r="G487" s="69" t="s">
        <v>140</v>
      </c>
      <c r="H487" s="70">
        <v>2015</v>
      </c>
      <c r="I487" s="69"/>
      <c r="J487" s="69" t="s">
        <v>2608</v>
      </c>
      <c r="K487" s="71" t="s">
        <v>2609</v>
      </c>
      <c r="L487" s="71" t="s">
        <v>2610</v>
      </c>
      <c r="M487" s="71" t="s">
        <v>2611</v>
      </c>
      <c r="N487" s="69" t="s">
        <v>57</v>
      </c>
      <c r="O487" s="64">
        <v>1</v>
      </c>
      <c r="P487" s="72">
        <v>33600000</v>
      </c>
      <c r="Q487" s="69" t="s">
        <v>2612</v>
      </c>
      <c r="R487" s="69"/>
      <c r="S487" s="68" t="s">
        <v>182</v>
      </c>
      <c r="T487" s="56">
        <v>8</v>
      </c>
      <c r="U487" s="56">
        <v>3</v>
      </c>
    </row>
    <row r="488" spans="1:21" ht="14.25" customHeight="1" thickBot="1" x14ac:dyDescent="0.4">
      <c r="A488" s="58">
        <v>472</v>
      </c>
      <c r="B488" s="69" t="s">
        <v>1806</v>
      </c>
      <c r="C488" s="69" t="s">
        <v>1807</v>
      </c>
      <c r="D488" s="70" t="s">
        <v>51</v>
      </c>
      <c r="E488" s="69" t="s">
        <v>2613</v>
      </c>
      <c r="F488" s="69" t="s">
        <v>2559</v>
      </c>
      <c r="G488" s="69" t="s">
        <v>54</v>
      </c>
      <c r="H488" s="70">
        <v>2013</v>
      </c>
      <c r="I488" s="69" t="s">
        <v>63</v>
      </c>
      <c r="J488" s="69" t="s">
        <v>2614</v>
      </c>
      <c r="K488" s="71" t="s">
        <v>2615</v>
      </c>
      <c r="L488" s="71" t="s">
        <v>2616</v>
      </c>
      <c r="M488" s="71" t="s">
        <v>2617</v>
      </c>
      <c r="N488" s="69" t="s">
        <v>57</v>
      </c>
      <c r="O488" s="64">
        <v>1</v>
      </c>
      <c r="P488" s="72">
        <v>239750000</v>
      </c>
      <c r="Q488" s="69" t="s">
        <v>2618</v>
      </c>
      <c r="R488" s="69"/>
      <c r="S488" s="121" t="s">
        <v>193</v>
      </c>
      <c r="T488" s="56">
        <v>9</v>
      </c>
      <c r="U488" s="56">
        <v>4</v>
      </c>
    </row>
    <row r="489" spans="1:21" ht="14.25" customHeight="1" x14ac:dyDescent="0.35">
      <c r="A489" s="47">
        <v>473</v>
      </c>
      <c r="B489" s="69" t="s">
        <v>70</v>
      </c>
      <c r="C489" s="69" t="s">
        <v>71</v>
      </c>
      <c r="D489" s="70" t="s">
        <v>51</v>
      </c>
      <c r="E489" s="69" t="s">
        <v>2619</v>
      </c>
      <c r="F489" s="69" t="s">
        <v>1683</v>
      </c>
      <c r="G489" s="69" t="s">
        <v>140</v>
      </c>
      <c r="H489" s="70">
        <v>2015</v>
      </c>
      <c r="I489" s="69"/>
      <c r="J489" s="69" t="s">
        <v>2620</v>
      </c>
      <c r="K489" s="71" t="s">
        <v>2621</v>
      </c>
      <c r="L489" s="71" t="s">
        <v>2622</v>
      </c>
      <c r="M489" s="71" t="s">
        <v>2623</v>
      </c>
      <c r="N489" s="69" t="s">
        <v>57</v>
      </c>
      <c r="O489" s="64">
        <v>1</v>
      </c>
      <c r="P489" s="72">
        <v>374510000</v>
      </c>
      <c r="Q489" s="69" t="s">
        <v>2624</v>
      </c>
      <c r="R489" s="69"/>
      <c r="S489" s="121" t="s">
        <v>193</v>
      </c>
      <c r="T489" s="56">
        <v>9</v>
      </c>
      <c r="U489" s="56">
        <v>4</v>
      </c>
    </row>
    <row r="490" spans="1:21" ht="14.25" customHeight="1" thickBot="1" x14ac:dyDescent="0.4">
      <c r="A490" s="58">
        <v>474</v>
      </c>
      <c r="B490" s="69" t="s">
        <v>70</v>
      </c>
      <c r="C490" s="69" t="s">
        <v>71</v>
      </c>
      <c r="D490" s="70" t="s">
        <v>59</v>
      </c>
      <c r="E490" s="69" t="s">
        <v>2625</v>
      </c>
      <c r="F490" s="69" t="s">
        <v>2626</v>
      </c>
      <c r="G490" s="69" t="s">
        <v>415</v>
      </c>
      <c r="H490" s="70">
        <v>2019</v>
      </c>
      <c r="I490" s="69" t="s">
        <v>63</v>
      </c>
      <c r="J490" s="69" t="s">
        <v>2627</v>
      </c>
      <c r="K490" s="71" t="s">
        <v>2628</v>
      </c>
      <c r="L490" s="71" t="s">
        <v>2629</v>
      </c>
      <c r="M490" s="71" t="s">
        <v>2630</v>
      </c>
      <c r="N490" s="69" t="s">
        <v>57</v>
      </c>
      <c r="O490" s="64">
        <v>1</v>
      </c>
      <c r="P490" s="72">
        <v>549010000</v>
      </c>
      <c r="Q490" s="69" t="s">
        <v>2631</v>
      </c>
      <c r="R490" s="69"/>
      <c r="S490" s="121" t="s">
        <v>193</v>
      </c>
      <c r="T490" s="56">
        <v>9</v>
      </c>
      <c r="U490" s="56">
        <v>4</v>
      </c>
    </row>
    <row r="491" spans="1:21" ht="14.25" customHeight="1" x14ac:dyDescent="0.35">
      <c r="A491" s="47">
        <v>475</v>
      </c>
      <c r="B491" s="69" t="s">
        <v>79</v>
      </c>
      <c r="C491" s="69" t="s">
        <v>80</v>
      </c>
      <c r="D491" s="70" t="s">
        <v>51</v>
      </c>
      <c r="E491" s="69" t="s">
        <v>147</v>
      </c>
      <c r="F491" s="69" t="s">
        <v>148</v>
      </c>
      <c r="G491" s="69" t="s">
        <v>140</v>
      </c>
      <c r="H491" s="70">
        <v>2015</v>
      </c>
      <c r="I491" s="69" t="s">
        <v>63</v>
      </c>
      <c r="J491" s="69" t="s">
        <v>2632</v>
      </c>
      <c r="K491" s="71" t="s">
        <v>2633</v>
      </c>
      <c r="L491" s="71" t="s">
        <v>2634</v>
      </c>
      <c r="M491" s="71" t="s">
        <v>2635</v>
      </c>
      <c r="N491" s="69" t="s">
        <v>57</v>
      </c>
      <c r="O491" s="64">
        <v>1</v>
      </c>
      <c r="P491" s="72">
        <v>19430000</v>
      </c>
      <c r="Q491" s="69" t="s">
        <v>2636</v>
      </c>
      <c r="R491" s="69"/>
      <c r="S491" s="121" t="s">
        <v>193</v>
      </c>
      <c r="T491" s="56">
        <v>9</v>
      </c>
      <c r="U491" s="56">
        <v>3</v>
      </c>
    </row>
    <row r="492" spans="1:21" ht="14.25" customHeight="1" thickBot="1" x14ac:dyDescent="0.4">
      <c r="A492" s="58">
        <v>476</v>
      </c>
      <c r="B492" s="69" t="s">
        <v>79</v>
      </c>
      <c r="C492" s="69" t="s">
        <v>80</v>
      </c>
      <c r="D492" s="70" t="s">
        <v>59</v>
      </c>
      <c r="E492" s="69" t="s">
        <v>1847</v>
      </c>
      <c r="F492" s="69" t="s">
        <v>88</v>
      </c>
      <c r="G492" s="69" t="s">
        <v>2637</v>
      </c>
      <c r="H492" s="70">
        <v>2010</v>
      </c>
      <c r="I492" s="69" t="s">
        <v>63</v>
      </c>
      <c r="J492" s="69" t="s">
        <v>2638</v>
      </c>
      <c r="K492" s="71" t="s">
        <v>2639</v>
      </c>
      <c r="L492" s="71" t="s">
        <v>2640</v>
      </c>
      <c r="M492" s="71" t="s">
        <v>2641</v>
      </c>
      <c r="N492" s="69" t="s">
        <v>57</v>
      </c>
      <c r="O492" s="64">
        <v>1</v>
      </c>
      <c r="P492" s="72">
        <v>17800000</v>
      </c>
      <c r="Q492" s="69" t="s">
        <v>2642</v>
      </c>
      <c r="R492" s="69"/>
      <c r="S492" s="121" t="s">
        <v>193</v>
      </c>
      <c r="T492" s="56">
        <v>9</v>
      </c>
      <c r="U492" s="56">
        <v>3</v>
      </c>
    </row>
    <row r="493" spans="1:21" ht="14.25" customHeight="1" x14ac:dyDescent="0.35">
      <c r="A493" s="47">
        <v>477</v>
      </c>
      <c r="B493" s="69" t="s">
        <v>79</v>
      </c>
      <c r="C493" s="69" t="s">
        <v>80</v>
      </c>
      <c r="D493" s="70" t="s">
        <v>97</v>
      </c>
      <c r="E493" s="69" t="s">
        <v>1847</v>
      </c>
      <c r="F493" s="69" t="s">
        <v>88</v>
      </c>
      <c r="G493" s="69" t="s">
        <v>2637</v>
      </c>
      <c r="H493" s="70">
        <v>2008</v>
      </c>
      <c r="I493" s="69" t="s">
        <v>63</v>
      </c>
      <c r="J493" s="69" t="s">
        <v>2643</v>
      </c>
      <c r="K493" s="71" t="s">
        <v>2644</v>
      </c>
      <c r="L493" s="71" t="s">
        <v>2645</v>
      </c>
      <c r="M493" s="71" t="s">
        <v>2646</v>
      </c>
      <c r="N493" s="69" t="s">
        <v>57</v>
      </c>
      <c r="O493" s="64">
        <v>1</v>
      </c>
      <c r="P493" s="72">
        <v>16950000</v>
      </c>
      <c r="Q493" s="69" t="s">
        <v>2647</v>
      </c>
      <c r="R493" s="69"/>
      <c r="S493" s="121" t="s">
        <v>193</v>
      </c>
      <c r="T493" s="56">
        <v>9</v>
      </c>
      <c r="U493" s="56">
        <v>3</v>
      </c>
    </row>
    <row r="494" spans="1:21" ht="14.25" customHeight="1" thickBot="1" x14ac:dyDescent="0.4">
      <c r="A494" s="58">
        <v>478</v>
      </c>
      <c r="B494" s="69" t="s">
        <v>79</v>
      </c>
      <c r="C494" s="69" t="s">
        <v>80</v>
      </c>
      <c r="D494" s="70" t="s">
        <v>101</v>
      </c>
      <c r="E494" s="69" t="s">
        <v>2648</v>
      </c>
      <c r="F494" s="69" t="s">
        <v>2386</v>
      </c>
      <c r="G494" s="69" t="s">
        <v>54</v>
      </c>
      <c r="H494" s="70">
        <v>2007</v>
      </c>
      <c r="I494" s="69" t="s">
        <v>63</v>
      </c>
      <c r="J494" s="69" t="s">
        <v>2649</v>
      </c>
      <c r="K494" s="71" t="s">
        <v>2650</v>
      </c>
      <c r="L494" s="71" t="s">
        <v>2651</v>
      </c>
      <c r="M494" s="71" t="s">
        <v>2652</v>
      </c>
      <c r="N494" s="69" t="s">
        <v>57</v>
      </c>
      <c r="O494" s="64">
        <v>1</v>
      </c>
      <c r="P494" s="72">
        <v>14500000</v>
      </c>
      <c r="Q494" s="69" t="s">
        <v>2653</v>
      </c>
      <c r="R494" s="69"/>
      <c r="S494" s="121" t="s">
        <v>193</v>
      </c>
      <c r="T494" s="56">
        <v>9</v>
      </c>
      <c r="U494" s="56">
        <v>3</v>
      </c>
    </row>
    <row r="495" spans="1:21" ht="14.25" customHeight="1" x14ac:dyDescent="0.35">
      <c r="A495" s="47">
        <v>479</v>
      </c>
      <c r="B495" s="69" t="s">
        <v>79</v>
      </c>
      <c r="C495" s="69" t="s">
        <v>80</v>
      </c>
      <c r="D495" s="70" t="s">
        <v>107</v>
      </c>
      <c r="E495" s="69" t="s">
        <v>2654</v>
      </c>
      <c r="F495" s="69" t="s">
        <v>82</v>
      </c>
      <c r="G495" s="69" t="s">
        <v>2637</v>
      </c>
      <c r="H495" s="70">
        <v>2008</v>
      </c>
      <c r="I495" s="69" t="s">
        <v>63</v>
      </c>
      <c r="J495" s="69" t="s">
        <v>2655</v>
      </c>
      <c r="K495" s="71" t="s">
        <v>2656</v>
      </c>
      <c r="L495" s="71" t="s">
        <v>2657</v>
      </c>
      <c r="M495" s="71" t="s">
        <v>2658</v>
      </c>
      <c r="N495" s="69" t="s">
        <v>57</v>
      </c>
      <c r="O495" s="64">
        <v>1</v>
      </c>
      <c r="P495" s="72">
        <v>10525000</v>
      </c>
      <c r="Q495" s="69" t="s">
        <v>2659</v>
      </c>
      <c r="R495" s="69"/>
      <c r="S495" s="121" t="s">
        <v>193</v>
      </c>
      <c r="T495" s="56">
        <v>9</v>
      </c>
      <c r="U495" s="56">
        <v>3</v>
      </c>
    </row>
    <row r="496" spans="1:21" ht="14.25" customHeight="1" thickBot="1" x14ac:dyDescent="0.4">
      <c r="A496" s="58">
        <v>480</v>
      </c>
      <c r="B496" s="69" t="s">
        <v>79</v>
      </c>
      <c r="C496" s="69" t="s">
        <v>80</v>
      </c>
      <c r="D496" s="70" t="s">
        <v>112</v>
      </c>
      <c r="E496" s="69" t="s">
        <v>1847</v>
      </c>
      <c r="F496" s="69" t="s">
        <v>88</v>
      </c>
      <c r="G496" s="69" t="s">
        <v>2637</v>
      </c>
      <c r="H496" s="70">
        <v>2010</v>
      </c>
      <c r="I496" s="69" t="s">
        <v>63</v>
      </c>
      <c r="J496" s="69" t="s">
        <v>2660</v>
      </c>
      <c r="K496" s="71" t="s">
        <v>2661</v>
      </c>
      <c r="L496" s="71" t="s">
        <v>2662</v>
      </c>
      <c r="M496" s="71" t="s">
        <v>2663</v>
      </c>
      <c r="N496" s="69" t="s">
        <v>57</v>
      </c>
      <c r="O496" s="64">
        <v>1</v>
      </c>
      <c r="P496" s="72">
        <v>17800000</v>
      </c>
      <c r="Q496" s="69" t="s">
        <v>2664</v>
      </c>
      <c r="R496" s="69"/>
      <c r="S496" s="121" t="s">
        <v>193</v>
      </c>
      <c r="T496" s="56">
        <v>9</v>
      </c>
      <c r="U496" s="56">
        <v>3</v>
      </c>
    </row>
    <row r="497" spans="1:21" ht="28.5" customHeight="1" x14ac:dyDescent="0.35">
      <c r="A497" s="47">
        <v>481</v>
      </c>
      <c r="B497" s="69" t="s">
        <v>79</v>
      </c>
      <c r="C497" s="69" t="s">
        <v>80</v>
      </c>
      <c r="D497" s="70" t="s">
        <v>116</v>
      </c>
      <c r="E497" s="69" t="s">
        <v>216</v>
      </c>
      <c r="F497" s="69" t="s">
        <v>217</v>
      </c>
      <c r="G497" s="69" t="s">
        <v>54</v>
      </c>
      <c r="H497" s="70">
        <v>2012</v>
      </c>
      <c r="I497" s="69"/>
      <c r="J497" s="69" t="s">
        <v>2665</v>
      </c>
      <c r="K497" s="71" t="s">
        <v>2666</v>
      </c>
      <c r="L497" s="71" t="s">
        <v>2667</v>
      </c>
      <c r="M497" s="71" t="s">
        <v>2668</v>
      </c>
      <c r="N497" s="69" t="s">
        <v>57</v>
      </c>
      <c r="O497" s="64">
        <v>1</v>
      </c>
      <c r="P497" s="72">
        <v>19426600</v>
      </c>
      <c r="Q497" s="69" t="s">
        <v>2669</v>
      </c>
      <c r="R497" s="69"/>
      <c r="S497" s="121" t="s">
        <v>193</v>
      </c>
      <c r="T497" s="56">
        <v>9</v>
      </c>
      <c r="U497" s="56">
        <v>3</v>
      </c>
    </row>
    <row r="498" spans="1:21" ht="14.25" customHeight="1" thickBot="1" x14ac:dyDescent="0.4">
      <c r="A498" s="58">
        <v>482</v>
      </c>
      <c r="B498" s="69" t="s">
        <v>79</v>
      </c>
      <c r="C498" s="69" t="s">
        <v>80</v>
      </c>
      <c r="D498" s="70" t="s">
        <v>841</v>
      </c>
      <c r="E498" s="69" t="s">
        <v>2670</v>
      </c>
      <c r="F498" s="69" t="s">
        <v>443</v>
      </c>
      <c r="G498" s="69" t="s">
        <v>2637</v>
      </c>
      <c r="H498" s="70">
        <v>2007</v>
      </c>
      <c r="I498" s="69" t="s">
        <v>63</v>
      </c>
      <c r="J498" s="69" t="s">
        <v>2671</v>
      </c>
      <c r="K498" s="71" t="s">
        <v>2672</v>
      </c>
      <c r="L498" s="71" t="s">
        <v>2673</v>
      </c>
      <c r="M498" s="71" t="s">
        <v>2674</v>
      </c>
      <c r="N498" s="69" t="s">
        <v>57</v>
      </c>
      <c r="O498" s="64">
        <v>1</v>
      </c>
      <c r="P498" s="72">
        <v>10525000</v>
      </c>
      <c r="Q498" s="69" t="s">
        <v>2675</v>
      </c>
      <c r="R498" s="69"/>
      <c r="S498" s="121" t="s">
        <v>193</v>
      </c>
      <c r="T498" s="56">
        <v>9</v>
      </c>
      <c r="U498" s="56">
        <v>3</v>
      </c>
    </row>
    <row r="499" spans="1:21" ht="14.25" customHeight="1" x14ac:dyDescent="0.35">
      <c r="A499" s="47">
        <v>483</v>
      </c>
      <c r="B499" s="69" t="s">
        <v>2676</v>
      </c>
      <c r="C499" s="69" t="s">
        <v>2677</v>
      </c>
      <c r="D499" s="70" t="s">
        <v>51</v>
      </c>
      <c r="E499" s="69" t="s">
        <v>2678</v>
      </c>
      <c r="F499" s="69" t="s">
        <v>88</v>
      </c>
      <c r="G499" s="69" t="s">
        <v>2679</v>
      </c>
      <c r="H499" s="70">
        <v>2010</v>
      </c>
      <c r="I499" s="69"/>
      <c r="J499" s="69" t="s">
        <v>2680</v>
      </c>
      <c r="K499" s="71" t="s">
        <v>2681</v>
      </c>
      <c r="L499" s="71" t="s">
        <v>2682</v>
      </c>
      <c r="M499" s="71" t="s">
        <v>2683</v>
      </c>
      <c r="N499" s="69" t="s">
        <v>57</v>
      </c>
      <c r="O499" s="64">
        <v>1</v>
      </c>
      <c r="P499" s="72">
        <v>17300000</v>
      </c>
      <c r="Q499" s="69" t="s">
        <v>2684</v>
      </c>
      <c r="R499" s="69"/>
      <c r="S499" s="121" t="s">
        <v>193</v>
      </c>
      <c r="T499" s="56">
        <v>9</v>
      </c>
      <c r="U499" s="56">
        <v>3</v>
      </c>
    </row>
    <row r="500" spans="1:21" ht="14.25" customHeight="1" thickBot="1" x14ac:dyDescent="0.4">
      <c r="A500" s="58">
        <v>484</v>
      </c>
      <c r="B500" s="69" t="s">
        <v>2685</v>
      </c>
      <c r="C500" s="69" t="s">
        <v>2686</v>
      </c>
      <c r="D500" s="70" t="s">
        <v>51</v>
      </c>
      <c r="E500" s="69" t="s">
        <v>2687</v>
      </c>
      <c r="F500" s="69" t="s">
        <v>231</v>
      </c>
      <c r="G500" s="69" t="s">
        <v>2679</v>
      </c>
      <c r="H500" s="70">
        <v>2010</v>
      </c>
      <c r="I500" s="69"/>
      <c r="J500" s="69" t="s">
        <v>2688</v>
      </c>
      <c r="K500" s="71" t="s">
        <v>2689</v>
      </c>
      <c r="L500" s="71" t="s">
        <v>2690</v>
      </c>
      <c r="M500" s="71"/>
      <c r="N500" s="69" t="s">
        <v>57</v>
      </c>
      <c r="O500" s="64">
        <v>1</v>
      </c>
      <c r="P500" s="72">
        <v>34535000</v>
      </c>
      <c r="Q500" s="69" t="s">
        <v>2669</v>
      </c>
      <c r="R500" s="69"/>
      <c r="S500" s="121" t="s">
        <v>193</v>
      </c>
      <c r="T500" s="56">
        <v>9</v>
      </c>
      <c r="U500" s="56">
        <v>3</v>
      </c>
    </row>
    <row r="501" spans="1:21" ht="14.25" customHeight="1" x14ac:dyDescent="0.35">
      <c r="A501" s="47">
        <v>485</v>
      </c>
      <c r="B501" s="69" t="s">
        <v>1745</v>
      </c>
      <c r="C501" s="69" t="s">
        <v>1746</v>
      </c>
      <c r="D501" s="70" t="s">
        <v>51</v>
      </c>
      <c r="E501" s="69" t="s">
        <v>1755</v>
      </c>
      <c r="F501" s="69" t="s">
        <v>2691</v>
      </c>
      <c r="G501" s="69" t="s">
        <v>140</v>
      </c>
      <c r="H501" s="70">
        <v>2016</v>
      </c>
      <c r="I501" s="69"/>
      <c r="J501" s="69" t="s">
        <v>2692</v>
      </c>
      <c r="K501" s="71" t="s">
        <v>2693</v>
      </c>
      <c r="L501" s="71" t="s">
        <v>2694</v>
      </c>
      <c r="M501" s="71" t="s">
        <v>2695</v>
      </c>
      <c r="N501" s="69" t="s">
        <v>57</v>
      </c>
      <c r="O501" s="64">
        <v>1</v>
      </c>
      <c r="P501" s="72">
        <v>185080000</v>
      </c>
      <c r="Q501" s="69" t="s">
        <v>1793</v>
      </c>
      <c r="R501" s="69"/>
      <c r="S501" s="121" t="s">
        <v>204</v>
      </c>
      <c r="T501" s="56">
        <v>10</v>
      </c>
      <c r="U501" s="56">
        <v>4</v>
      </c>
    </row>
    <row r="502" spans="1:21" ht="14.25" customHeight="1" thickBot="1" x14ac:dyDescent="0.4">
      <c r="A502" s="58">
        <v>486</v>
      </c>
      <c r="B502" s="69" t="s">
        <v>70</v>
      </c>
      <c r="C502" s="69" t="s">
        <v>71</v>
      </c>
      <c r="D502" s="70" t="s">
        <v>59</v>
      </c>
      <c r="E502" s="69" t="s">
        <v>2696</v>
      </c>
      <c r="F502" s="124" t="s">
        <v>2697</v>
      </c>
      <c r="G502" s="69" t="s">
        <v>63</v>
      </c>
      <c r="H502" s="70">
        <v>2025</v>
      </c>
      <c r="I502" s="69" t="s">
        <v>63</v>
      </c>
      <c r="J502" s="69" t="s">
        <v>2698</v>
      </c>
      <c r="K502" s="71" t="s">
        <v>2699</v>
      </c>
      <c r="L502" s="71" t="s">
        <v>2700</v>
      </c>
      <c r="M502" s="71" t="s">
        <v>2701</v>
      </c>
      <c r="N502" s="69" t="s">
        <v>422</v>
      </c>
      <c r="O502" s="64">
        <v>1</v>
      </c>
      <c r="P502" s="72">
        <v>287707200</v>
      </c>
      <c r="Q502" s="69" t="s">
        <v>2702</v>
      </c>
      <c r="R502" s="69"/>
      <c r="S502" s="121" t="s">
        <v>204</v>
      </c>
      <c r="T502" s="56">
        <v>10</v>
      </c>
      <c r="U502" s="56">
        <v>4</v>
      </c>
    </row>
    <row r="503" spans="1:21" ht="14.25" customHeight="1" x14ac:dyDescent="0.35">
      <c r="A503" s="47">
        <v>487</v>
      </c>
      <c r="B503" s="69" t="s">
        <v>79</v>
      </c>
      <c r="C503" s="69" t="s">
        <v>80</v>
      </c>
      <c r="D503" s="70" t="s">
        <v>51</v>
      </c>
      <c r="E503" s="69" t="s">
        <v>162</v>
      </c>
      <c r="F503" s="69" t="s">
        <v>163</v>
      </c>
      <c r="G503" s="69" t="s">
        <v>140</v>
      </c>
      <c r="H503" s="70">
        <v>2018</v>
      </c>
      <c r="I503" s="69" t="s">
        <v>63</v>
      </c>
      <c r="J503" s="69" t="s">
        <v>2703</v>
      </c>
      <c r="K503" s="71" t="s">
        <v>2704</v>
      </c>
      <c r="L503" s="71" t="s">
        <v>2705</v>
      </c>
      <c r="M503" s="71" t="s">
        <v>2706</v>
      </c>
      <c r="N503" s="69" t="s">
        <v>57</v>
      </c>
      <c r="O503" s="64">
        <v>1</v>
      </c>
      <c r="P503" s="72">
        <v>15534000</v>
      </c>
      <c r="Q503" s="69" t="s">
        <v>168</v>
      </c>
      <c r="R503" s="69"/>
      <c r="S503" s="121" t="s">
        <v>204</v>
      </c>
      <c r="T503" s="56">
        <v>10</v>
      </c>
      <c r="U503" s="56">
        <v>3</v>
      </c>
    </row>
    <row r="504" spans="1:21" ht="14.25" customHeight="1" thickBot="1" x14ac:dyDescent="0.4">
      <c r="A504" s="58">
        <v>488</v>
      </c>
      <c r="B504" s="69" t="s">
        <v>79</v>
      </c>
      <c r="C504" s="69" t="s">
        <v>80</v>
      </c>
      <c r="D504" s="70" t="s">
        <v>59</v>
      </c>
      <c r="E504" s="69" t="s">
        <v>1383</v>
      </c>
      <c r="F504" s="69" t="s">
        <v>163</v>
      </c>
      <c r="G504" s="69" t="s">
        <v>140</v>
      </c>
      <c r="H504" s="70">
        <v>2015</v>
      </c>
      <c r="I504" s="69"/>
      <c r="J504" s="69" t="s">
        <v>2707</v>
      </c>
      <c r="K504" s="71" t="s">
        <v>2708</v>
      </c>
      <c r="L504" s="71" t="s">
        <v>2709</v>
      </c>
      <c r="M504" s="71" t="s">
        <v>2710</v>
      </c>
      <c r="N504" s="69" t="s">
        <v>57</v>
      </c>
      <c r="O504" s="64">
        <v>1</v>
      </c>
      <c r="P504" s="72">
        <v>14962333</v>
      </c>
      <c r="Q504" s="69" t="s">
        <v>2711</v>
      </c>
      <c r="R504" s="69"/>
      <c r="S504" s="121" t="s">
        <v>204</v>
      </c>
      <c r="T504" s="56">
        <v>10</v>
      </c>
      <c r="U504" s="56">
        <v>3</v>
      </c>
    </row>
    <row r="505" spans="1:21" ht="14.25" customHeight="1" x14ac:dyDescent="0.35">
      <c r="A505" s="47">
        <v>489</v>
      </c>
      <c r="B505" s="69" t="s">
        <v>79</v>
      </c>
      <c r="C505" s="69" t="s">
        <v>80</v>
      </c>
      <c r="D505" s="70" t="s">
        <v>97</v>
      </c>
      <c r="E505" s="69" t="s">
        <v>147</v>
      </c>
      <c r="F505" s="69" t="s">
        <v>148</v>
      </c>
      <c r="G505" s="69" t="s">
        <v>140</v>
      </c>
      <c r="H505" s="70">
        <v>2015</v>
      </c>
      <c r="I505" s="69"/>
      <c r="J505" s="69" t="s">
        <v>2712</v>
      </c>
      <c r="K505" s="71" t="s">
        <v>2713</v>
      </c>
      <c r="L505" s="71" t="s">
        <v>2714</v>
      </c>
      <c r="M505" s="71" t="s">
        <v>2715</v>
      </c>
      <c r="N505" s="69" t="s">
        <v>57</v>
      </c>
      <c r="O505" s="64">
        <v>1</v>
      </c>
      <c r="P505" s="72">
        <v>19430000</v>
      </c>
      <c r="Q505" s="69" t="s">
        <v>2716</v>
      </c>
      <c r="R505" s="69"/>
      <c r="S505" s="121" t="s">
        <v>204</v>
      </c>
      <c r="T505" s="56">
        <v>10</v>
      </c>
      <c r="U505" s="56">
        <v>3</v>
      </c>
    </row>
    <row r="506" spans="1:21" ht="14.25" customHeight="1" thickBot="1" x14ac:dyDescent="0.4">
      <c r="A506" s="58">
        <v>490</v>
      </c>
      <c r="B506" s="69" t="s">
        <v>79</v>
      </c>
      <c r="C506" s="69" t="s">
        <v>80</v>
      </c>
      <c r="D506" s="70" t="s">
        <v>101</v>
      </c>
      <c r="E506" s="69" t="s">
        <v>2717</v>
      </c>
      <c r="F506" s="69" t="s">
        <v>202</v>
      </c>
      <c r="G506" s="69" t="s">
        <v>247</v>
      </c>
      <c r="H506" s="70">
        <v>2008</v>
      </c>
      <c r="I506" s="69"/>
      <c r="J506" s="69" t="s">
        <v>2718</v>
      </c>
      <c r="K506" s="71" t="s">
        <v>2719</v>
      </c>
      <c r="L506" s="71" t="s">
        <v>2720</v>
      </c>
      <c r="M506" s="71" t="s">
        <v>2721</v>
      </c>
      <c r="N506" s="69" t="s">
        <v>57</v>
      </c>
      <c r="O506" s="64">
        <v>1</v>
      </c>
      <c r="P506" s="72">
        <v>14765000</v>
      </c>
      <c r="Q506" s="69" t="s">
        <v>2722</v>
      </c>
      <c r="R506" s="69"/>
      <c r="S506" s="121" t="s">
        <v>204</v>
      </c>
      <c r="T506" s="56">
        <v>10</v>
      </c>
      <c r="U506" s="56">
        <v>3</v>
      </c>
    </row>
    <row r="507" spans="1:21" ht="14.25" customHeight="1" x14ac:dyDescent="0.35">
      <c r="A507" s="47">
        <v>491</v>
      </c>
      <c r="B507" s="69" t="s">
        <v>79</v>
      </c>
      <c r="C507" s="69" t="s">
        <v>80</v>
      </c>
      <c r="D507" s="70" t="s">
        <v>107</v>
      </c>
      <c r="E507" s="69" t="s">
        <v>2717</v>
      </c>
      <c r="F507" s="69" t="s">
        <v>202</v>
      </c>
      <c r="G507" s="69" t="s">
        <v>247</v>
      </c>
      <c r="H507" s="70">
        <v>2008</v>
      </c>
      <c r="I507" s="69"/>
      <c r="J507" s="69" t="s">
        <v>2723</v>
      </c>
      <c r="K507" s="71" t="s">
        <v>2724</v>
      </c>
      <c r="L507" s="71" t="s">
        <v>2725</v>
      </c>
      <c r="M507" s="71" t="s">
        <v>2726</v>
      </c>
      <c r="N507" s="69" t="s">
        <v>57</v>
      </c>
      <c r="O507" s="64">
        <v>1</v>
      </c>
      <c r="P507" s="72">
        <v>14765000</v>
      </c>
      <c r="Q507" s="69" t="s">
        <v>2727</v>
      </c>
      <c r="R507" s="69"/>
      <c r="S507" s="121" t="s">
        <v>204</v>
      </c>
      <c r="T507" s="56">
        <v>10</v>
      </c>
      <c r="U507" s="56">
        <v>3</v>
      </c>
    </row>
    <row r="508" spans="1:21" ht="14.25" customHeight="1" thickBot="1" x14ac:dyDescent="0.4">
      <c r="A508" s="58">
        <v>492</v>
      </c>
      <c r="B508" s="69" t="s">
        <v>79</v>
      </c>
      <c r="C508" s="69" t="s">
        <v>80</v>
      </c>
      <c r="D508" s="70" t="s">
        <v>112</v>
      </c>
      <c r="E508" s="69" t="s">
        <v>2717</v>
      </c>
      <c r="F508" s="69" t="s">
        <v>202</v>
      </c>
      <c r="G508" s="69" t="s">
        <v>247</v>
      </c>
      <c r="H508" s="70">
        <v>2008</v>
      </c>
      <c r="I508" s="69"/>
      <c r="J508" s="69" t="s">
        <v>2728</v>
      </c>
      <c r="K508" s="71" t="s">
        <v>2729</v>
      </c>
      <c r="L508" s="71" t="s">
        <v>2730</v>
      </c>
      <c r="M508" s="71" t="s">
        <v>2731</v>
      </c>
      <c r="N508" s="69" t="s">
        <v>57</v>
      </c>
      <c r="O508" s="64">
        <v>1</v>
      </c>
      <c r="P508" s="72">
        <v>14765000</v>
      </c>
      <c r="Q508" s="69" t="s">
        <v>2732</v>
      </c>
      <c r="R508" s="69"/>
      <c r="S508" s="121" t="s">
        <v>204</v>
      </c>
      <c r="T508" s="56">
        <v>10</v>
      </c>
      <c r="U508" s="56">
        <v>3</v>
      </c>
    </row>
    <row r="509" spans="1:21" ht="14.25" customHeight="1" x14ac:dyDescent="0.35">
      <c r="A509" s="47">
        <v>493</v>
      </c>
      <c r="B509" s="69" t="s">
        <v>79</v>
      </c>
      <c r="C509" s="69" t="s">
        <v>80</v>
      </c>
      <c r="D509" s="70" t="s">
        <v>116</v>
      </c>
      <c r="E509" s="69" t="s">
        <v>2513</v>
      </c>
      <c r="F509" s="69" t="s">
        <v>202</v>
      </c>
      <c r="G509" s="69" t="s">
        <v>54</v>
      </c>
      <c r="H509" s="70">
        <v>2010</v>
      </c>
      <c r="I509" s="69"/>
      <c r="J509" s="69" t="s">
        <v>2733</v>
      </c>
      <c r="K509" s="71" t="s">
        <v>2734</v>
      </c>
      <c r="L509" s="71" t="s">
        <v>2735</v>
      </c>
      <c r="M509" s="71" t="s">
        <v>2736</v>
      </c>
      <c r="N509" s="69" t="s">
        <v>57</v>
      </c>
      <c r="O509" s="64">
        <v>1</v>
      </c>
      <c r="P509" s="72">
        <v>16050000</v>
      </c>
      <c r="Q509" s="69" t="s">
        <v>2737</v>
      </c>
      <c r="R509" s="69"/>
      <c r="S509" s="121" t="s">
        <v>204</v>
      </c>
      <c r="T509" s="56">
        <v>10</v>
      </c>
      <c r="U509" s="56">
        <v>3</v>
      </c>
    </row>
    <row r="510" spans="1:21" ht="14.25" customHeight="1" thickBot="1" x14ac:dyDescent="0.4">
      <c r="A510" s="58">
        <v>494</v>
      </c>
      <c r="B510" s="69" t="s">
        <v>79</v>
      </c>
      <c r="C510" s="69" t="s">
        <v>80</v>
      </c>
      <c r="D510" s="70" t="s">
        <v>841</v>
      </c>
      <c r="E510" s="69" t="s">
        <v>2738</v>
      </c>
      <c r="F510" s="69" t="s">
        <v>2739</v>
      </c>
      <c r="G510" s="69" t="s">
        <v>247</v>
      </c>
      <c r="H510" s="70">
        <v>2010</v>
      </c>
      <c r="I510" s="69"/>
      <c r="J510" s="69" t="s">
        <v>2740</v>
      </c>
      <c r="K510" s="71" t="s">
        <v>2741</v>
      </c>
      <c r="L510" s="71" t="s">
        <v>2742</v>
      </c>
      <c r="M510" s="71" t="s">
        <v>2743</v>
      </c>
      <c r="N510" s="69" t="s">
        <v>57</v>
      </c>
      <c r="O510" s="64">
        <v>1</v>
      </c>
      <c r="P510" s="72">
        <v>17350000</v>
      </c>
      <c r="Q510" s="69" t="s">
        <v>2744</v>
      </c>
      <c r="R510" s="69"/>
      <c r="S510" s="121" t="s">
        <v>204</v>
      </c>
      <c r="T510" s="56">
        <v>10</v>
      </c>
      <c r="U510" s="56">
        <v>3</v>
      </c>
    </row>
    <row r="511" spans="1:21" ht="14.25" customHeight="1" x14ac:dyDescent="0.35">
      <c r="A511" s="47">
        <v>495</v>
      </c>
      <c r="B511" s="69" t="s">
        <v>79</v>
      </c>
      <c r="C511" s="69" t="s">
        <v>80</v>
      </c>
      <c r="D511" s="70" t="s">
        <v>122</v>
      </c>
      <c r="E511" s="69" t="s">
        <v>1860</v>
      </c>
      <c r="F511" s="69" t="s">
        <v>202</v>
      </c>
      <c r="G511" s="69" t="s">
        <v>54</v>
      </c>
      <c r="H511" s="70">
        <v>2012</v>
      </c>
      <c r="I511" s="69"/>
      <c r="J511" s="69" t="s">
        <v>2745</v>
      </c>
      <c r="K511" s="71" t="s">
        <v>2746</v>
      </c>
      <c r="L511" s="71" t="s">
        <v>2747</v>
      </c>
      <c r="M511" s="71" t="s">
        <v>2748</v>
      </c>
      <c r="N511" s="69" t="s">
        <v>57</v>
      </c>
      <c r="O511" s="64">
        <v>1</v>
      </c>
      <c r="P511" s="72">
        <v>13177550</v>
      </c>
      <c r="Q511" s="69" t="s">
        <v>2749</v>
      </c>
      <c r="R511" s="69"/>
      <c r="S511" s="121" t="s">
        <v>204</v>
      </c>
      <c r="T511" s="56">
        <v>10</v>
      </c>
      <c r="U511" s="56">
        <v>3</v>
      </c>
    </row>
    <row r="512" spans="1:21" ht="14.25" customHeight="1" thickBot="1" x14ac:dyDescent="0.4">
      <c r="A512" s="58">
        <v>496</v>
      </c>
      <c r="B512" s="69" t="s">
        <v>79</v>
      </c>
      <c r="C512" s="69" t="s">
        <v>80</v>
      </c>
      <c r="D512" s="70" t="s">
        <v>126</v>
      </c>
      <c r="E512" s="69" t="s">
        <v>1860</v>
      </c>
      <c r="F512" s="69" t="s">
        <v>202</v>
      </c>
      <c r="G512" s="69" t="s">
        <v>54</v>
      </c>
      <c r="H512" s="70">
        <v>2012</v>
      </c>
      <c r="I512" s="69"/>
      <c r="J512" s="69" t="s">
        <v>2750</v>
      </c>
      <c r="K512" s="71" t="s">
        <v>2751</v>
      </c>
      <c r="L512" s="71" t="s">
        <v>2752</v>
      </c>
      <c r="M512" s="71" t="s">
        <v>2753</v>
      </c>
      <c r="N512" s="69" t="s">
        <v>57</v>
      </c>
      <c r="O512" s="64">
        <v>1</v>
      </c>
      <c r="P512" s="72">
        <v>13177550</v>
      </c>
      <c r="Q512" s="69" t="s">
        <v>2754</v>
      </c>
      <c r="R512" s="69"/>
      <c r="S512" s="121" t="s">
        <v>204</v>
      </c>
      <c r="T512" s="56">
        <v>10</v>
      </c>
      <c r="U512" s="56">
        <v>3</v>
      </c>
    </row>
    <row r="513" spans="1:21" ht="14.25" customHeight="1" x14ac:dyDescent="0.35">
      <c r="A513" s="47">
        <v>497</v>
      </c>
      <c r="B513" s="69" t="s">
        <v>79</v>
      </c>
      <c r="C513" s="69" t="s">
        <v>80</v>
      </c>
      <c r="D513" s="70" t="s">
        <v>132</v>
      </c>
      <c r="E513" s="69" t="s">
        <v>1860</v>
      </c>
      <c r="F513" s="69" t="s">
        <v>202</v>
      </c>
      <c r="G513" s="69" t="s">
        <v>54</v>
      </c>
      <c r="H513" s="70">
        <v>2012</v>
      </c>
      <c r="I513" s="69"/>
      <c r="J513" s="69" t="s">
        <v>2755</v>
      </c>
      <c r="K513" s="71" t="s">
        <v>2756</v>
      </c>
      <c r="L513" s="71" t="s">
        <v>2757</v>
      </c>
      <c r="M513" s="71" t="s">
        <v>2758</v>
      </c>
      <c r="N513" s="69" t="s">
        <v>57</v>
      </c>
      <c r="O513" s="64">
        <v>1</v>
      </c>
      <c r="P513" s="72">
        <v>13177550</v>
      </c>
      <c r="Q513" s="69" t="s">
        <v>2759</v>
      </c>
      <c r="R513" s="69"/>
      <c r="S513" s="121" t="s">
        <v>204</v>
      </c>
      <c r="T513" s="56">
        <v>10</v>
      </c>
      <c r="U513" s="56">
        <v>3</v>
      </c>
    </row>
    <row r="514" spans="1:21" ht="14.25" customHeight="1" thickBot="1" x14ac:dyDescent="0.4">
      <c r="A514" s="58">
        <v>498</v>
      </c>
      <c r="B514" s="69" t="s">
        <v>79</v>
      </c>
      <c r="C514" s="69" t="s">
        <v>80</v>
      </c>
      <c r="D514" s="70" t="s">
        <v>137</v>
      </c>
      <c r="E514" s="69" t="s">
        <v>2760</v>
      </c>
      <c r="F514" s="69" t="s">
        <v>217</v>
      </c>
      <c r="G514" s="69" t="s">
        <v>54</v>
      </c>
      <c r="H514" s="70">
        <v>2012</v>
      </c>
      <c r="I514" s="69"/>
      <c r="J514" s="69" t="s">
        <v>2761</v>
      </c>
      <c r="K514" s="71" t="s">
        <v>2762</v>
      </c>
      <c r="L514" s="71" t="s">
        <v>2763</v>
      </c>
      <c r="M514" s="71" t="s">
        <v>2764</v>
      </c>
      <c r="N514" s="69" t="s">
        <v>57</v>
      </c>
      <c r="O514" s="64">
        <v>1</v>
      </c>
      <c r="P514" s="72">
        <v>27400000</v>
      </c>
      <c r="Q514" s="69" t="s">
        <v>2765</v>
      </c>
      <c r="R514" s="69"/>
      <c r="S514" s="121" t="s">
        <v>204</v>
      </c>
      <c r="T514" s="56">
        <v>10</v>
      </c>
      <c r="U514" s="56">
        <v>3</v>
      </c>
    </row>
    <row r="515" spans="1:21" ht="14.25" customHeight="1" x14ac:dyDescent="0.35">
      <c r="A515" s="47">
        <v>499</v>
      </c>
      <c r="B515" s="69" t="s">
        <v>79</v>
      </c>
      <c r="C515" s="69" t="s">
        <v>80</v>
      </c>
      <c r="D515" s="70" t="s">
        <v>2766</v>
      </c>
      <c r="E515" s="69" t="s">
        <v>2178</v>
      </c>
      <c r="F515" s="69" t="s">
        <v>2179</v>
      </c>
      <c r="G515" s="69" t="s">
        <v>54</v>
      </c>
      <c r="H515" s="70">
        <v>2015</v>
      </c>
      <c r="I515" s="69"/>
      <c r="J515" s="69" t="s">
        <v>2767</v>
      </c>
      <c r="K515" s="71" t="s">
        <v>2768</v>
      </c>
      <c r="L515" s="71" t="s">
        <v>2769</v>
      </c>
      <c r="M515" s="71" t="s">
        <v>2770</v>
      </c>
      <c r="N515" s="69" t="s">
        <v>57</v>
      </c>
      <c r="O515" s="64">
        <v>1</v>
      </c>
      <c r="P515" s="72">
        <v>18876000</v>
      </c>
      <c r="Q515" s="69" t="s">
        <v>621</v>
      </c>
      <c r="R515" s="69"/>
      <c r="S515" s="121" t="s">
        <v>204</v>
      </c>
      <c r="T515" s="56">
        <v>10</v>
      </c>
      <c r="U515" s="56">
        <v>3</v>
      </c>
    </row>
    <row r="516" spans="1:21" ht="14.25" customHeight="1" thickBot="1" x14ac:dyDescent="0.4">
      <c r="A516" s="58">
        <v>500</v>
      </c>
      <c r="B516" s="69" t="s">
        <v>1745</v>
      </c>
      <c r="C516" s="69" t="s">
        <v>1746</v>
      </c>
      <c r="D516" s="70" t="s">
        <v>51</v>
      </c>
      <c r="E516" s="69" t="s">
        <v>2771</v>
      </c>
      <c r="F516" s="69" t="s">
        <v>2772</v>
      </c>
      <c r="G516" s="69" t="s">
        <v>62</v>
      </c>
      <c r="H516" s="70">
        <v>2019</v>
      </c>
      <c r="I516" s="69" t="s">
        <v>2773</v>
      </c>
      <c r="J516" s="69" t="s">
        <v>2774</v>
      </c>
      <c r="K516" s="71" t="s">
        <v>2775</v>
      </c>
      <c r="L516" s="71" t="s">
        <v>2776</v>
      </c>
      <c r="M516" s="71" t="s">
        <v>2777</v>
      </c>
      <c r="N516" s="69" t="s">
        <v>57</v>
      </c>
      <c r="O516" s="64">
        <v>1</v>
      </c>
      <c r="P516" s="72">
        <v>512695000</v>
      </c>
      <c r="Q516" s="69" t="s">
        <v>2778</v>
      </c>
      <c r="R516" s="69"/>
      <c r="S516" s="68" t="s">
        <v>234</v>
      </c>
      <c r="T516" s="56">
        <v>11</v>
      </c>
      <c r="U516" s="56">
        <v>4</v>
      </c>
    </row>
    <row r="517" spans="1:21" ht="14.25" customHeight="1" x14ac:dyDescent="0.35">
      <c r="A517" s="47">
        <v>501</v>
      </c>
      <c r="B517" s="69" t="s">
        <v>1806</v>
      </c>
      <c r="C517" s="69" t="s">
        <v>1807</v>
      </c>
      <c r="D517" s="70" t="s">
        <v>59</v>
      </c>
      <c r="E517" s="69" t="s">
        <v>2779</v>
      </c>
      <c r="F517" s="69" t="s">
        <v>2015</v>
      </c>
      <c r="G517" s="69" t="s">
        <v>62</v>
      </c>
      <c r="H517" s="70">
        <v>2024</v>
      </c>
      <c r="I517" s="69" t="s">
        <v>63</v>
      </c>
      <c r="J517" s="69" t="s">
        <v>2780</v>
      </c>
      <c r="K517" s="71" t="s">
        <v>2781</v>
      </c>
      <c r="L517" s="71" t="s">
        <v>2782</v>
      </c>
      <c r="M517" s="71" t="s">
        <v>2783</v>
      </c>
      <c r="N517" s="69" t="s">
        <v>44</v>
      </c>
      <c r="O517" s="64">
        <v>1</v>
      </c>
      <c r="P517" s="72">
        <v>394400000</v>
      </c>
      <c r="Q517" s="69" t="s">
        <v>2784</v>
      </c>
      <c r="R517" s="69"/>
      <c r="S517" s="68" t="s">
        <v>234</v>
      </c>
      <c r="T517" s="56">
        <v>11</v>
      </c>
      <c r="U517" s="56">
        <v>4</v>
      </c>
    </row>
    <row r="518" spans="1:21" ht="14.25" customHeight="1" thickBot="1" x14ac:dyDescent="0.4">
      <c r="A518" s="58">
        <v>502</v>
      </c>
      <c r="B518" s="69" t="s">
        <v>79</v>
      </c>
      <c r="C518" s="69" t="s">
        <v>80</v>
      </c>
      <c r="D518" s="70" t="s">
        <v>59</v>
      </c>
      <c r="E518" s="69" t="s">
        <v>2785</v>
      </c>
      <c r="F518" s="69" t="s">
        <v>1906</v>
      </c>
      <c r="G518" s="69" t="s">
        <v>54</v>
      </c>
      <c r="H518" s="70">
        <v>2005</v>
      </c>
      <c r="I518" s="69" t="s">
        <v>63</v>
      </c>
      <c r="J518" s="69" t="s">
        <v>2786</v>
      </c>
      <c r="K518" s="71" t="s">
        <v>2787</v>
      </c>
      <c r="L518" s="71" t="s">
        <v>2788</v>
      </c>
      <c r="M518" s="71" t="s">
        <v>63</v>
      </c>
      <c r="N518" s="69" t="s">
        <v>57</v>
      </c>
      <c r="O518" s="64">
        <v>1</v>
      </c>
      <c r="P518" s="72">
        <v>17975000</v>
      </c>
      <c r="Q518" s="69" t="s">
        <v>2789</v>
      </c>
      <c r="R518" s="69"/>
      <c r="S518" s="68" t="s">
        <v>234</v>
      </c>
      <c r="T518" s="56">
        <v>11</v>
      </c>
      <c r="U518" s="56">
        <v>3</v>
      </c>
    </row>
    <row r="519" spans="1:21" ht="14.25" customHeight="1" x14ac:dyDescent="0.35">
      <c r="A519" s="47">
        <v>503</v>
      </c>
      <c r="B519" s="69" t="s">
        <v>79</v>
      </c>
      <c r="C519" s="69" t="s">
        <v>80</v>
      </c>
      <c r="D519" s="70" t="s">
        <v>97</v>
      </c>
      <c r="E519" s="69" t="s">
        <v>2790</v>
      </c>
      <c r="F519" s="69" t="s">
        <v>88</v>
      </c>
      <c r="G519" s="69" t="s">
        <v>54</v>
      </c>
      <c r="H519" s="70">
        <v>2006</v>
      </c>
      <c r="I519" s="69" t="s">
        <v>63</v>
      </c>
      <c r="J519" s="69" t="s">
        <v>2791</v>
      </c>
      <c r="K519" s="71" t="s">
        <v>2792</v>
      </c>
      <c r="L519" s="71" t="s">
        <v>2793</v>
      </c>
      <c r="M519" s="71" t="s">
        <v>2794</v>
      </c>
      <c r="N519" s="69" t="s">
        <v>57</v>
      </c>
      <c r="O519" s="64">
        <v>1</v>
      </c>
      <c r="P519" s="72">
        <v>15950000</v>
      </c>
      <c r="Q519" s="69" t="s">
        <v>2795</v>
      </c>
      <c r="R519" s="69"/>
      <c r="S519" s="68" t="s">
        <v>234</v>
      </c>
      <c r="T519" s="56">
        <v>11</v>
      </c>
      <c r="U519" s="56">
        <v>3</v>
      </c>
    </row>
    <row r="520" spans="1:21" ht="14.25" customHeight="1" thickBot="1" x14ac:dyDescent="0.4">
      <c r="A520" s="58">
        <v>504</v>
      </c>
      <c r="B520" s="69" t="s">
        <v>79</v>
      </c>
      <c r="C520" s="69" t="s">
        <v>80</v>
      </c>
      <c r="D520" s="70" t="s">
        <v>101</v>
      </c>
      <c r="E520" s="69" t="s">
        <v>2796</v>
      </c>
      <c r="F520" s="69" t="s">
        <v>88</v>
      </c>
      <c r="G520" s="69" t="s">
        <v>415</v>
      </c>
      <c r="H520" s="70">
        <v>2010</v>
      </c>
      <c r="I520" s="69" t="s">
        <v>63</v>
      </c>
      <c r="J520" s="69" t="s">
        <v>2797</v>
      </c>
      <c r="K520" s="71" t="s">
        <v>2798</v>
      </c>
      <c r="L520" s="71" t="s">
        <v>2799</v>
      </c>
      <c r="M520" s="71" t="s">
        <v>2800</v>
      </c>
      <c r="N520" s="69" t="s">
        <v>57</v>
      </c>
      <c r="O520" s="64">
        <v>1</v>
      </c>
      <c r="P520" s="72">
        <v>16800000</v>
      </c>
      <c r="Q520" s="69" t="s">
        <v>2801</v>
      </c>
      <c r="R520" s="69"/>
      <c r="S520" s="68" t="s">
        <v>234</v>
      </c>
      <c r="T520" s="56">
        <v>11</v>
      </c>
      <c r="U520" s="56">
        <v>3</v>
      </c>
    </row>
    <row r="521" spans="1:21" ht="14.25" customHeight="1" x14ac:dyDescent="0.35">
      <c r="A521" s="47">
        <v>505</v>
      </c>
      <c r="B521" s="69" t="s">
        <v>79</v>
      </c>
      <c r="C521" s="69" t="s">
        <v>80</v>
      </c>
      <c r="D521" s="70" t="s">
        <v>107</v>
      </c>
      <c r="E521" s="69" t="s">
        <v>2796</v>
      </c>
      <c r="F521" s="69" t="s">
        <v>88</v>
      </c>
      <c r="G521" s="69" t="s">
        <v>415</v>
      </c>
      <c r="H521" s="70">
        <v>2010</v>
      </c>
      <c r="I521" s="69" t="s">
        <v>63</v>
      </c>
      <c r="J521" s="69" t="s">
        <v>2802</v>
      </c>
      <c r="K521" s="71" t="s">
        <v>2803</v>
      </c>
      <c r="L521" s="71" t="s">
        <v>2804</v>
      </c>
      <c r="M521" s="71" t="s">
        <v>2805</v>
      </c>
      <c r="N521" s="69" t="s">
        <v>57</v>
      </c>
      <c r="O521" s="64">
        <v>1</v>
      </c>
      <c r="P521" s="72">
        <v>16800000</v>
      </c>
      <c r="Q521" s="69" t="s">
        <v>2806</v>
      </c>
      <c r="R521" s="69"/>
      <c r="S521" s="68" t="s">
        <v>234</v>
      </c>
      <c r="T521" s="56">
        <v>11</v>
      </c>
      <c r="U521" s="56">
        <v>3</v>
      </c>
    </row>
    <row r="522" spans="1:21" ht="14.25" customHeight="1" thickBot="1" x14ac:dyDescent="0.4">
      <c r="A522" s="58">
        <v>506</v>
      </c>
      <c r="B522" s="69" t="s">
        <v>79</v>
      </c>
      <c r="C522" s="69" t="s">
        <v>80</v>
      </c>
      <c r="D522" s="70" t="s">
        <v>112</v>
      </c>
      <c r="E522" s="69" t="s">
        <v>2807</v>
      </c>
      <c r="F522" s="69" t="s">
        <v>2808</v>
      </c>
      <c r="G522" s="69" t="s">
        <v>140</v>
      </c>
      <c r="H522" s="70">
        <v>2014</v>
      </c>
      <c r="I522" s="69" t="s">
        <v>63</v>
      </c>
      <c r="J522" s="69" t="s">
        <v>2809</v>
      </c>
      <c r="K522" s="71" t="s">
        <v>2810</v>
      </c>
      <c r="L522" s="71" t="s">
        <v>2811</v>
      </c>
      <c r="M522" s="71" t="s">
        <v>2812</v>
      </c>
      <c r="N522" s="69" t="s">
        <v>57</v>
      </c>
      <c r="O522" s="64">
        <v>1</v>
      </c>
      <c r="P522" s="72">
        <v>13816000</v>
      </c>
      <c r="Q522" s="69" t="s">
        <v>2813</v>
      </c>
      <c r="R522" s="69"/>
      <c r="S522" s="68" t="s">
        <v>234</v>
      </c>
      <c r="T522" s="56">
        <v>11</v>
      </c>
      <c r="U522" s="56">
        <v>3</v>
      </c>
    </row>
    <row r="523" spans="1:21" ht="14.25" customHeight="1" x14ac:dyDescent="0.35">
      <c r="A523" s="47">
        <v>507</v>
      </c>
      <c r="B523" s="69" t="s">
        <v>79</v>
      </c>
      <c r="C523" s="69" t="s">
        <v>80</v>
      </c>
      <c r="D523" s="70" t="s">
        <v>116</v>
      </c>
      <c r="E523" s="69" t="s">
        <v>138</v>
      </c>
      <c r="F523" s="69" t="s">
        <v>139</v>
      </c>
      <c r="G523" s="69" t="s">
        <v>140</v>
      </c>
      <c r="H523" s="70">
        <v>2014</v>
      </c>
      <c r="I523" s="69" t="s">
        <v>63</v>
      </c>
      <c r="J523" s="69" t="s">
        <v>2814</v>
      </c>
      <c r="K523" s="71" t="s">
        <v>2815</v>
      </c>
      <c r="L523" s="71" t="s">
        <v>2816</v>
      </c>
      <c r="M523" s="71" t="s">
        <v>2817</v>
      </c>
      <c r="N523" s="69" t="s">
        <v>57</v>
      </c>
      <c r="O523" s="64">
        <v>1</v>
      </c>
      <c r="P523" s="72">
        <v>17194000</v>
      </c>
      <c r="Q523" s="69" t="s">
        <v>2818</v>
      </c>
      <c r="R523" s="69"/>
      <c r="S523" s="68" t="s">
        <v>234</v>
      </c>
      <c r="T523" s="56">
        <v>11</v>
      </c>
      <c r="U523" s="56">
        <v>3</v>
      </c>
    </row>
    <row r="524" spans="1:21" ht="14.25" customHeight="1" thickBot="1" x14ac:dyDescent="0.4">
      <c r="A524" s="58">
        <v>508</v>
      </c>
      <c r="B524" s="69" t="s">
        <v>79</v>
      </c>
      <c r="C524" s="69" t="s">
        <v>80</v>
      </c>
      <c r="D524" s="70" t="s">
        <v>841</v>
      </c>
      <c r="E524" s="69" t="s">
        <v>1383</v>
      </c>
      <c r="F524" s="69" t="s">
        <v>163</v>
      </c>
      <c r="G524" s="69" t="s">
        <v>140</v>
      </c>
      <c r="H524" s="70">
        <v>2015</v>
      </c>
      <c r="I524" s="69" t="s">
        <v>63</v>
      </c>
      <c r="J524" s="69" t="s">
        <v>2819</v>
      </c>
      <c r="K524" s="71" t="s">
        <v>2820</v>
      </c>
      <c r="L524" s="71" t="s">
        <v>2821</v>
      </c>
      <c r="M524" s="71" t="s">
        <v>2822</v>
      </c>
      <c r="N524" s="69" t="s">
        <v>57</v>
      </c>
      <c r="O524" s="64">
        <v>1</v>
      </c>
      <c r="P524" s="72">
        <v>14962333</v>
      </c>
      <c r="Q524" s="69" t="s">
        <v>2823</v>
      </c>
      <c r="R524" s="69"/>
      <c r="S524" s="68" t="s">
        <v>234</v>
      </c>
      <c r="T524" s="56">
        <v>11</v>
      </c>
      <c r="U524" s="56">
        <v>3</v>
      </c>
    </row>
    <row r="525" spans="1:21" ht="14.25" customHeight="1" x14ac:dyDescent="0.35">
      <c r="A525" s="47">
        <v>509</v>
      </c>
      <c r="B525" s="69" t="s">
        <v>79</v>
      </c>
      <c r="C525" s="69" t="s">
        <v>80</v>
      </c>
      <c r="D525" s="70" t="s">
        <v>904</v>
      </c>
      <c r="E525" s="69" t="s">
        <v>147</v>
      </c>
      <c r="F525" s="69" t="s">
        <v>148</v>
      </c>
      <c r="G525" s="69" t="s">
        <v>140</v>
      </c>
      <c r="H525" s="70">
        <v>2015</v>
      </c>
      <c r="I525" s="69" t="s">
        <v>63</v>
      </c>
      <c r="J525" s="69" t="s">
        <v>2824</v>
      </c>
      <c r="K525" s="71" t="s">
        <v>2825</v>
      </c>
      <c r="L525" s="71" t="s">
        <v>2826</v>
      </c>
      <c r="M525" s="71" t="s">
        <v>2827</v>
      </c>
      <c r="N525" s="69" t="s">
        <v>57</v>
      </c>
      <c r="O525" s="64">
        <v>1</v>
      </c>
      <c r="P525" s="72">
        <v>19430000</v>
      </c>
      <c r="Q525" s="69" t="s">
        <v>2828</v>
      </c>
      <c r="R525" s="69"/>
      <c r="S525" s="68" t="s">
        <v>234</v>
      </c>
      <c r="T525" s="56">
        <v>11</v>
      </c>
      <c r="U525" s="56">
        <v>3</v>
      </c>
    </row>
    <row r="526" spans="1:21" ht="14.25" customHeight="1" thickBot="1" x14ac:dyDescent="0.4">
      <c r="A526" s="58">
        <v>510</v>
      </c>
      <c r="B526" s="69" t="s">
        <v>79</v>
      </c>
      <c r="C526" s="69" t="s">
        <v>80</v>
      </c>
      <c r="D526" s="70" t="s">
        <v>122</v>
      </c>
      <c r="E526" s="69" t="s">
        <v>2796</v>
      </c>
      <c r="F526" s="69" t="s">
        <v>88</v>
      </c>
      <c r="G526" s="69" t="s">
        <v>415</v>
      </c>
      <c r="H526" s="70">
        <v>2010</v>
      </c>
      <c r="I526" s="69" t="s">
        <v>63</v>
      </c>
      <c r="J526" s="69" t="s">
        <v>2829</v>
      </c>
      <c r="K526" s="71" t="s">
        <v>2830</v>
      </c>
      <c r="L526" s="71" t="s">
        <v>2831</v>
      </c>
      <c r="M526" s="71" t="s">
        <v>2832</v>
      </c>
      <c r="N526" s="69" t="s">
        <v>57</v>
      </c>
      <c r="O526" s="64">
        <v>1</v>
      </c>
      <c r="P526" s="72">
        <v>16800000</v>
      </c>
      <c r="Q526" s="69" t="s">
        <v>2833</v>
      </c>
      <c r="R526" s="69"/>
      <c r="S526" s="68" t="s">
        <v>234</v>
      </c>
      <c r="T526" s="56">
        <v>11</v>
      </c>
      <c r="U526" s="56">
        <v>3</v>
      </c>
    </row>
    <row r="527" spans="1:21" ht="14.25" customHeight="1" x14ac:dyDescent="0.35">
      <c r="A527" s="47">
        <v>511</v>
      </c>
      <c r="B527" s="69" t="s">
        <v>79</v>
      </c>
      <c r="C527" s="69" t="s">
        <v>80</v>
      </c>
      <c r="D527" s="70" t="s">
        <v>132</v>
      </c>
      <c r="E527" s="69" t="s">
        <v>2796</v>
      </c>
      <c r="F527" s="69" t="s">
        <v>88</v>
      </c>
      <c r="G527" s="69" t="s">
        <v>415</v>
      </c>
      <c r="H527" s="70">
        <v>2010</v>
      </c>
      <c r="I527" s="69" t="s">
        <v>63</v>
      </c>
      <c r="J527" s="69" t="s">
        <v>2834</v>
      </c>
      <c r="K527" s="71" t="s">
        <v>2835</v>
      </c>
      <c r="L527" s="71" t="s">
        <v>2836</v>
      </c>
      <c r="M527" s="71" t="s">
        <v>2837</v>
      </c>
      <c r="N527" s="69" t="s">
        <v>57</v>
      </c>
      <c r="O527" s="64">
        <v>1</v>
      </c>
      <c r="P527" s="72">
        <v>16800000</v>
      </c>
      <c r="Q527" s="69" t="s">
        <v>2838</v>
      </c>
      <c r="R527" s="69"/>
      <c r="S527" s="68" t="s">
        <v>234</v>
      </c>
      <c r="T527" s="56">
        <v>11</v>
      </c>
      <c r="U527" s="56">
        <v>3</v>
      </c>
    </row>
    <row r="528" spans="1:21" ht="14.25" customHeight="1" thickBot="1" x14ac:dyDescent="0.4">
      <c r="A528" s="58">
        <v>512</v>
      </c>
      <c r="B528" s="69" t="s">
        <v>79</v>
      </c>
      <c r="C528" s="69" t="s">
        <v>80</v>
      </c>
      <c r="D528" s="70" t="s">
        <v>137</v>
      </c>
      <c r="E528" s="69" t="s">
        <v>2796</v>
      </c>
      <c r="F528" s="69" t="s">
        <v>88</v>
      </c>
      <c r="G528" s="69" t="s">
        <v>415</v>
      </c>
      <c r="H528" s="70">
        <v>2010</v>
      </c>
      <c r="I528" s="69" t="s">
        <v>63</v>
      </c>
      <c r="J528" s="69" t="s">
        <v>2839</v>
      </c>
      <c r="K528" s="71" t="s">
        <v>2840</v>
      </c>
      <c r="L528" s="71" t="s">
        <v>2841</v>
      </c>
      <c r="M528" s="71" t="s">
        <v>2842</v>
      </c>
      <c r="N528" s="69" t="s">
        <v>57</v>
      </c>
      <c r="O528" s="64">
        <v>1</v>
      </c>
      <c r="P528" s="72">
        <v>16800000</v>
      </c>
      <c r="Q528" s="69" t="s">
        <v>2843</v>
      </c>
      <c r="R528" s="69"/>
      <c r="S528" s="68" t="s">
        <v>234</v>
      </c>
      <c r="T528" s="56">
        <v>11</v>
      </c>
      <c r="U528" s="56">
        <v>3</v>
      </c>
    </row>
    <row r="529" spans="1:21" ht="14.25" customHeight="1" x14ac:dyDescent="0.35">
      <c r="A529" s="47">
        <v>513</v>
      </c>
      <c r="B529" s="69" t="s">
        <v>79</v>
      </c>
      <c r="C529" s="69" t="s">
        <v>80</v>
      </c>
      <c r="D529" s="70" t="s">
        <v>146</v>
      </c>
      <c r="E529" s="69" t="s">
        <v>2796</v>
      </c>
      <c r="F529" s="69" t="s">
        <v>88</v>
      </c>
      <c r="G529" s="69" t="s">
        <v>415</v>
      </c>
      <c r="H529" s="70">
        <v>2010</v>
      </c>
      <c r="I529" s="69" t="s">
        <v>63</v>
      </c>
      <c r="J529" s="69" t="s">
        <v>2844</v>
      </c>
      <c r="K529" s="71" t="s">
        <v>2845</v>
      </c>
      <c r="L529" s="71" t="s">
        <v>2846</v>
      </c>
      <c r="M529" s="71" t="s">
        <v>2837</v>
      </c>
      <c r="N529" s="69" t="s">
        <v>57</v>
      </c>
      <c r="O529" s="64">
        <v>1</v>
      </c>
      <c r="P529" s="72">
        <v>16800000</v>
      </c>
      <c r="Q529" s="69" t="s">
        <v>2847</v>
      </c>
      <c r="R529" s="69"/>
      <c r="S529" s="68" t="s">
        <v>234</v>
      </c>
      <c r="T529" s="56">
        <v>11</v>
      </c>
      <c r="U529" s="56">
        <v>3</v>
      </c>
    </row>
    <row r="530" spans="1:21" ht="14.25" customHeight="1" thickBot="1" x14ac:dyDescent="0.4">
      <c r="A530" s="58">
        <v>514</v>
      </c>
      <c r="B530" s="69" t="s">
        <v>79</v>
      </c>
      <c r="C530" s="69" t="s">
        <v>80</v>
      </c>
      <c r="D530" s="70" t="s">
        <v>154</v>
      </c>
      <c r="E530" s="69" t="s">
        <v>2796</v>
      </c>
      <c r="F530" s="69" t="s">
        <v>88</v>
      </c>
      <c r="G530" s="69" t="s">
        <v>415</v>
      </c>
      <c r="H530" s="70">
        <v>2010</v>
      </c>
      <c r="I530" s="69" t="s">
        <v>63</v>
      </c>
      <c r="J530" s="69" t="s">
        <v>2848</v>
      </c>
      <c r="K530" s="71" t="s">
        <v>2849</v>
      </c>
      <c r="L530" s="71" t="s">
        <v>2850</v>
      </c>
      <c r="M530" s="71" t="s">
        <v>2851</v>
      </c>
      <c r="N530" s="69" t="s">
        <v>57</v>
      </c>
      <c r="O530" s="64">
        <v>1</v>
      </c>
      <c r="P530" s="72">
        <v>16800000</v>
      </c>
      <c r="Q530" s="69" t="s">
        <v>2852</v>
      </c>
      <c r="R530" s="69"/>
      <c r="S530" s="68" t="s">
        <v>234</v>
      </c>
      <c r="T530" s="56">
        <v>11</v>
      </c>
      <c r="U530" s="56">
        <v>3</v>
      </c>
    </row>
    <row r="531" spans="1:21" ht="14.25" customHeight="1" x14ac:dyDescent="0.35">
      <c r="A531" s="47">
        <v>515</v>
      </c>
      <c r="B531" s="69" t="s">
        <v>79</v>
      </c>
      <c r="C531" s="69" t="s">
        <v>80</v>
      </c>
      <c r="D531" s="70" t="s">
        <v>161</v>
      </c>
      <c r="E531" s="69" t="s">
        <v>2796</v>
      </c>
      <c r="F531" s="69" t="s">
        <v>88</v>
      </c>
      <c r="G531" s="69" t="s">
        <v>415</v>
      </c>
      <c r="H531" s="70">
        <v>2010</v>
      </c>
      <c r="I531" s="69" t="s">
        <v>63</v>
      </c>
      <c r="J531" s="69" t="s">
        <v>2853</v>
      </c>
      <c r="K531" s="71" t="s">
        <v>2854</v>
      </c>
      <c r="L531" s="71" t="s">
        <v>2855</v>
      </c>
      <c r="M531" s="71" t="s">
        <v>2856</v>
      </c>
      <c r="N531" s="69" t="s">
        <v>57</v>
      </c>
      <c r="O531" s="64">
        <v>1</v>
      </c>
      <c r="P531" s="72">
        <v>16800000</v>
      </c>
      <c r="Q531" s="69" t="s">
        <v>2857</v>
      </c>
      <c r="R531" s="69"/>
      <c r="S531" s="68" t="s">
        <v>234</v>
      </c>
      <c r="T531" s="56">
        <v>11</v>
      </c>
      <c r="U531" s="56">
        <v>3</v>
      </c>
    </row>
    <row r="532" spans="1:21" ht="14.25" customHeight="1" thickBot="1" x14ac:dyDescent="0.4">
      <c r="A532" s="58">
        <v>516</v>
      </c>
      <c r="B532" s="69" t="s">
        <v>79</v>
      </c>
      <c r="C532" s="69" t="s">
        <v>80</v>
      </c>
      <c r="D532" s="70" t="s">
        <v>169</v>
      </c>
      <c r="E532" s="69" t="s">
        <v>2796</v>
      </c>
      <c r="F532" s="69" t="s">
        <v>88</v>
      </c>
      <c r="G532" s="69" t="s">
        <v>415</v>
      </c>
      <c r="H532" s="70">
        <v>2010</v>
      </c>
      <c r="I532" s="69" t="s">
        <v>63</v>
      </c>
      <c r="J532" s="69" t="s">
        <v>2858</v>
      </c>
      <c r="K532" s="71" t="s">
        <v>2859</v>
      </c>
      <c r="L532" s="71" t="s">
        <v>2860</v>
      </c>
      <c r="M532" s="71" t="s">
        <v>2861</v>
      </c>
      <c r="N532" s="69" t="s">
        <v>57</v>
      </c>
      <c r="O532" s="64">
        <v>1</v>
      </c>
      <c r="P532" s="72">
        <v>16800000</v>
      </c>
      <c r="Q532" s="69" t="s">
        <v>2862</v>
      </c>
      <c r="R532" s="69"/>
      <c r="S532" s="68" t="s">
        <v>234</v>
      </c>
      <c r="T532" s="56">
        <v>11</v>
      </c>
      <c r="U532" s="56">
        <v>3</v>
      </c>
    </row>
    <row r="533" spans="1:21" ht="14.25" customHeight="1" x14ac:dyDescent="0.35">
      <c r="A533" s="47">
        <v>517</v>
      </c>
      <c r="B533" s="69" t="s">
        <v>79</v>
      </c>
      <c r="C533" s="69" t="s">
        <v>80</v>
      </c>
      <c r="D533" s="70" t="s">
        <v>181</v>
      </c>
      <c r="E533" s="69" t="s">
        <v>2863</v>
      </c>
      <c r="F533" s="69" t="s">
        <v>88</v>
      </c>
      <c r="G533" s="69" t="s">
        <v>54</v>
      </c>
      <c r="H533" s="70">
        <v>2006</v>
      </c>
      <c r="I533" s="69" t="s">
        <v>63</v>
      </c>
      <c r="J533" s="69" t="s">
        <v>2864</v>
      </c>
      <c r="K533" s="71" t="s">
        <v>2865</v>
      </c>
      <c r="L533" s="71" t="s">
        <v>2866</v>
      </c>
      <c r="M533" s="71" t="s">
        <v>2867</v>
      </c>
      <c r="N533" s="69" t="s">
        <v>57</v>
      </c>
      <c r="O533" s="64">
        <v>1</v>
      </c>
      <c r="P533" s="72">
        <v>17080000</v>
      </c>
      <c r="Q533" s="69" t="s">
        <v>2868</v>
      </c>
      <c r="R533" s="69"/>
      <c r="S533" s="68" t="s">
        <v>234</v>
      </c>
      <c r="T533" s="56">
        <v>11</v>
      </c>
      <c r="U533" s="56">
        <v>3</v>
      </c>
    </row>
    <row r="534" spans="1:21" ht="14.25" customHeight="1" thickBot="1" x14ac:dyDescent="0.4">
      <c r="A534" s="58">
        <v>518</v>
      </c>
      <c r="B534" s="69" t="s">
        <v>79</v>
      </c>
      <c r="C534" s="69" t="s">
        <v>80</v>
      </c>
      <c r="D534" s="70" t="s">
        <v>190</v>
      </c>
      <c r="E534" s="69" t="s">
        <v>2869</v>
      </c>
      <c r="F534" s="69" t="s">
        <v>2870</v>
      </c>
      <c r="G534" s="69" t="s">
        <v>62</v>
      </c>
      <c r="H534" s="70">
        <v>2024</v>
      </c>
      <c r="I534" s="69" t="s">
        <v>63</v>
      </c>
      <c r="J534" s="69" t="s">
        <v>2871</v>
      </c>
      <c r="K534" s="71" t="s">
        <v>2872</v>
      </c>
      <c r="L534" s="71" t="s">
        <v>2873</v>
      </c>
      <c r="M534" s="71" t="s">
        <v>2874</v>
      </c>
      <c r="N534" s="69" t="s">
        <v>44</v>
      </c>
      <c r="O534" s="64">
        <v>1</v>
      </c>
      <c r="P534" s="72">
        <v>20450000</v>
      </c>
      <c r="Q534" s="69" t="s">
        <v>2875</v>
      </c>
      <c r="R534" s="69"/>
      <c r="S534" s="68" t="s">
        <v>234</v>
      </c>
      <c r="T534" s="56">
        <v>11</v>
      </c>
      <c r="U534" s="56">
        <v>3</v>
      </c>
    </row>
    <row r="535" spans="1:21" ht="14.25" customHeight="1" x14ac:dyDescent="0.35">
      <c r="A535" s="47">
        <v>519</v>
      </c>
      <c r="B535" s="69" t="s">
        <v>79</v>
      </c>
      <c r="C535" s="69" t="s">
        <v>80</v>
      </c>
      <c r="D535" s="70" t="s">
        <v>192</v>
      </c>
      <c r="E535" s="69" t="s">
        <v>2869</v>
      </c>
      <c r="F535" s="69" t="s">
        <v>2870</v>
      </c>
      <c r="G535" s="69" t="s">
        <v>62</v>
      </c>
      <c r="H535" s="70">
        <v>2024</v>
      </c>
      <c r="I535" s="69" t="s">
        <v>63</v>
      </c>
      <c r="J535" s="69" t="s">
        <v>2876</v>
      </c>
      <c r="K535" s="71" t="s">
        <v>2877</v>
      </c>
      <c r="L535" s="71" t="s">
        <v>2878</v>
      </c>
      <c r="M535" s="71" t="s">
        <v>2879</v>
      </c>
      <c r="N535" s="69" t="s">
        <v>44</v>
      </c>
      <c r="O535" s="64">
        <v>1</v>
      </c>
      <c r="P535" s="72">
        <v>20450000</v>
      </c>
      <c r="Q535" s="69" t="s">
        <v>2880</v>
      </c>
      <c r="R535" s="69"/>
      <c r="S535" s="68" t="s">
        <v>234</v>
      </c>
      <c r="T535" s="56">
        <v>11</v>
      </c>
      <c r="U535" s="56">
        <v>3</v>
      </c>
    </row>
    <row r="536" spans="1:21" ht="14.25" customHeight="1" thickBot="1" x14ac:dyDescent="0.4">
      <c r="A536" s="58">
        <v>520</v>
      </c>
      <c r="B536" s="69" t="s">
        <v>79</v>
      </c>
      <c r="C536" s="69" t="s">
        <v>80</v>
      </c>
      <c r="D536" s="70" t="s">
        <v>194</v>
      </c>
      <c r="E536" s="69" t="s">
        <v>2869</v>
      </c>
      <c r="F536" s="69" t="s">
        <v>2870</v>
      </c>
      <c r="G536" s="69" t="s">
        <v>62</v>
      </c>
      <c r="H536" s="70">
        <v>2024</v>
      </c>
      <c r="I536" s="69" t="s">
        <v>63</v>
      </c>
      <c r="J536" s="69" t="s">
        <v>2881</v>
      </c>
      <c r="K536" s="71" t="s">
        <v>2882</v>
      </c>
      <c r="L536" s="71" t="s">
        <v>2883</v>
      </c>
      <c r="M536" s="71" t="s">
        <v>2884</v>
      </c>
      <c r="N536" s="69" t="s">
        <v>44</v>
      </c>
      <c r="O536" s="64">
        <v>1</v>
      </c>
      <c r="P536" s="72">
        <v>20450000</v>
      </c>
      <c r="Q536" s="69" t="s">
        <v>2885</v>
      </c>
      <c r="R536" s="69"/>
      <c r="S536" s="68" t="s">
        <v>234</v>
      </c>
      <c r="T536" s="56">
        <v>11</v>
      </c>
      <c r="U536" s="56">
        <v>3</v>
      </c>
    </row>
    <row r="537" spans="1:21" ht="14.25" customHeight="1" x14ac:dyDescent="0.35">
      <c r="A537" s="47">
        <v>521</v>
      </c>
      <c r="B537" s="69" t="s">
        <v>79</v>
      </c>
      <c r="C537" s="69" t="s">
        <v>80</v>
      </c>
      <c r="D537" s="70" t="s">
        <v>195</v>
      </c>
      <c r="E537" s="69" t="s">
        <v>2886</v>
      </c>
      <c r="F537" s="69" t="s">
        <v>2887</v>
      </c>
      <c r="G537" s="69" t="s">
        <v>62</v>
      </c>
      <c r="H537" s="70">
        <v>2024</v>
      </c>
      <c r="I537" s="69" t="s">
        <v>63</v>
      </c>
      <c r="J537" s="69" t="s">
        <v>2888</v>
      </c>
      <c r="K537" s="71" t="s">
        <v>2889</v>
      </c>
      <c r="L537" s="71" t="s">
        <v>2890</v>
      </c>
      <c r="M537" s="71" t="s">
        <v>2891</v>
      </c>
      <c r="N537" s="69" t="s">
        <v>44</v>
      </c>
      <c r="O537" s="64">
        <v>1</v>
      </c>
      <c r="P537" s="72">
        <v>28150000</v>
      </c>
      <c r="Q537" s="69" t="s">
        <v>2892</v>
      </c>
      <c r="R537" s="69"/>
      <c r="S537" s="68" t="s">
        <v>234</v>
      </c>
      <c r="T537" s="56">
        <v>11</v>
      </c>
      <c r="U537" s="56">
        <v>3</v>
      </c>
    </row>
    <row r="538" spans="1:21" ht="14.25" customHeight="1" thickBot="1" x14ac:dyDescent="0.4">
      <c r="A538" s="58">
        <v>522</v>
      </c>
      <c r="B538" s="69" t="s">
        <v>79</v>
      </c>
      <c r="C538" s="69" t="s">
        <v>80</v>
      </c>
      <c r="D538" s="70" t="s">
        <v>199</v>
      </c>
      <c r="E538" s="69" t="s">
        <v>2886</v>
      </c>
      <c r="F538" s="69" t="s">
        <v>2887</v>
      </c>
      <c r="G538" s="69" t="s">
        <v>62</v>
      </c>
      <c r="H538" s="70">
        <v>2024</v>
      </c>
      <c r="I538" s="69" t="s">
        <v>63</v>
      </c>
      <c r="J538" s="69" t="s">
        <v>2893</v>
      </c>
      <c r="K538" s="71" t="s">
        <v>2894</v>
      </c>
      <c r="L538" s="71" t="s">
        <v>2895</v>
      </c>
      <c r="M538" s="71" t="s">
        <v>2896</v>
      </c>
      <c r="N538" s="69" t="s">
        <v>44</v>
      </c>
      <c r="O538" s="64">
        <v>1</v>
      </c>
      <c r="P538" s="72">
        <v>28150000</v>
      </c>
      <c r="Q538" s="69" t="s">
        <v>2897</v>
      </c>
      <c r="R538" s="69"/>
      <c r="S538" s="68" t="s">
        <v>234</v>
      </c>
      <c r="T538" s="56">
        <v>11</v>
      </c>
      <c r="U538" s="56">
        <v>3</v>
      </c>
    </row>
    <row r="539" spans="1:21" ht="14.25" customHeight="1" x14ac:dyDescent="0.35">
      <c r="A539" s="47">
        <v>523</v>
      </c>
      <c r="B539" s="69" t="s">
        <v>79</v>
      </c>
      <c r="C539" s="69" t="s">
        <v>80</v>
      </c>
      <c r="D539" s="70" t="s">
        <v>200</v>
      </c>
      <c r="E539" s="69" t="s">
        <v>2886</v>
      </c>
      <c r="F539" s="69" t="s">
        <v>2887</v>
      </c>
      <c r="G539" s="69" t="s">
        <v>62</v>
      </c>
      <c r="H539" s="70">
        <v>2024</v>
      </c>
      <c r="I539" s="69" t="s">
        <v>63</v>
      </c>
      <c r="J539" s="69" t="s">
        <v>2898</v>
      </c>
      <c r="K539" s="71" t="s">
        <v>2899</v>
      </c>
      <c r="L539" s="71" t="s">
        <v>2900</v>
      </c>
      <c r="M539" s="71" t="s">
        <v>2901</v>
      </c>
      <c r="N539" s="69" t="s">
        <v>44</v>
      </c>
      <c r="O539" s="64">
        <v>1</v>
      </c>
      <c r="P539" s="72">
        <v>28150000</v>
      </c>
      <c r="Q539" s="69" t="s">
        <v>2902</v>
      </c>
      <c r="R539" s="69"/>
      <c r="S539" s="68" t="s">
        <v>234</v>
      </c>
      <c r="T539" s="56">
        <v>11</v>
      </c>
      <c r="U539" s="56">
        <v>3</v>
      </c>
    </row>
    <row r="540" spans="1:21" ht="14.25" customHeight="1" thickBot="1" x14ac:dyDescent="0.4">
      <c r="A540" s="58">
        <v>524</v>
      </c>
      <c r="B540" s="69" t="s">
        <v>79</v>
      </c>
      <c r="C540" s="69" t="s">
        <v>80</v>
      </c>
      <c r="D540" s="70" t="s">
        <v>209</v>
      </c>
      <c r="E540" s="69" t="s">
        <v>2886</v>
      </c>
      <c r="F540" s="69" t="s">
        <v>2887</v>
      </c>
      <c r="G540" s="69" t="s">
        <v>62</v>
      </c>
      <c r="H540" s="70">
        <v>2024</v>
      </c>
      <c r="I540" s="69" t="s">
        <v>63</v>
      </c>
      <c r="J540" s="69" t="s">
        <v>2903</v>
      </c>
      <c r="K540" s="71" t="s">
        <v>2904</v>
      </c>
      <c r="L540" s="71" t="s">
        <v>2905</v>
      </c>
      <c r="M540" s="71" t="s">
        <v>2906</v>
      </c>
      <c r="N540" s="69" t="s">
        <v>44</v>
      </c>
      <c r="O540" s="64">
        <v>1</v>
      </c>
      <c r="P540" s="72">
        <v>28150000</v>
      </c>
      <c r="Q540" s="69" t="s">
        <v>2784</v>
      </c>
      <c r="R540" s="69"/>
      <c r="S540" s="68" t="s">
        <v>234</v>
      </c>
      <c r="T540" s="56">
        <v>11</v>
      </c>
      <c r="U540" s="56">
        <v>3</v>
      </c>
    </row>
    <row r="541" spans="1:21" ht="14.25" customHeight="1" x14ac:dyDescent="0.35">
      <c r="A541" s="47">
        <v>525</v>
      </c>
      <c r="B541" s="69" t="s">
        <v>79</v>
      </c>
      <c r="C541" s="69" t="s">
        <v>80</v>
      </c>
      <c r="D541" s="70" t="s">
        <v>215</v>
      </c>
      <c r="E541" s="69" t="s">
        <v>2886</v>
      </c>
      <c r="F541" s="69" t="s">
        <v>2887</v>
      </c>
      <c r="G541" s="69" t="s">
        <v>62</v>
      </c>
      <c r="H541" s="70">
        <v>2024</v>
      </c>
      <c r="I541" s="69" t="s">
        <v>63</v>
      </c>
      <c r="J541" s="69" t="s">
        <v>2907</v>
      </c>
      <c r="K541" s="71" t="s">
        <v>2908</v>
      </c>
      <c r="L541" s="71" t="s">
        <v>2909</v>
      </c>
      <c r="M541" s="71" t="s">
        <v>2910</v>
      </c>
      <c r="N541" s="69" t="s">
        <v>44</v>
      </c>
      <c r="O541" s="64">
        <v>1</v>
      </c>
      <c r="P541" s="72">
        <v>28150000</v>
      </c>
      <c r="Q541" s="69" t="s">
        <v>2911</v>
      </c>
      <c r="R541" s="69"/>
      <c r="S541" s="68" t="s">
        <v>234</v>
      </c>
      <c r="T541" s="56">
        <v>11</v>
      </c>
      <c r="U541" s="56">
        <v>3</v>
      </c>
    </row>
    <row r="542" spans="1:21" ht="14.25" customHeight="1" thickBot="1" x14ac:dyDescent="0.4">
      <c r="A542" s="58">
        <v>526</v>
      </c>
      <c r="B542" s="69" t="s">
        <v>1806</v>
      </c>
      <c r="C542" s="69" t="s">
        <v>1807</v>
      </c>
      <c r="D542" s="70" t="s">
        <v>51</v>
      </c>
      <c r="E542" s="69" t="s">
        <v>2613</v>
      </c>
      <c r="F542" s="69" t="s">
        <v>2559</v>
      </c>
      <c r="G542" s="69" t="s">
        <v>54</v>
      </c>
      <c r="H542" s="70">
        <v>2013</v>
      </c>
      <c r="I542" s="69" t="s">
        <v>63</v>
      </c>
      <c r="J542" s="69" t="s">
        <v>2912</v>
      </c>
      <c r="K542" s="71" t="s">
        <v>2913</v>
      </c>
      <c r="L542" s="71" t="s">
        <v>2914</v>
      </c>
      <c r="M542" s="71" t="s">
        <v>2915</v>
      </c>
      <c r="N542" s="69" t="s">
        <v>57</v>
      </c>
      <c r="O542" s="64">
        <v>1</v>
      </c>
      <c r="P542" s="72">
        <v>239750000</v>
      </c>
      <c r="Q542" s="69" t="s">
        <v>2916</v>
      </c>
      <c r="R542" s="69"/>
      <c r="S542" s="121" t="s">
        <v>258</v>
      </c>
      <c r="T542" s="56">
        <v>12</v>
      </c>
      <c r="U542" s="56">
        <v>4</v>
      </c>
    </row>
    <row r="543" spans="1:21" ht="14.25" customHeight="1" x14ac:dyDescent="0.35">
      <c r="A543" s="47">
        <v>527</v>
      </c>
      <c r="B543" s="69" t="s">
        <v>1806</v>
      </c>
      <c r="C543" s="69" t="s">
        <v>1807</v>
      </c>
      <c r="D543" s="70" t="s">
        <v>59</v>
      </c>
      <c r="E543" s="69" t="s">
        <v>2917</v>
      </c>
      <c r="F543" s="69" t="s">
        <v>2559</v>
      </c>
      <c r="G543" s="69" t="s">
        <v>54</v>
      </c>
      <c r="H543" s="70">
        <v>2013</v>
      </c>
      <c r="I543" s="69" t="s">
        <v>63</v>
      </c>
      <c r="J543" s="69" t="s">
        <v>2918</v>
      </c>
      <c r="K543" s="71" t="s">
        <v>2919</v>
      </c>
      <c r="L543" s="71" t="s">
        <v>2920</v>
      </c>
      <c r="M543" s="71" t="s">
        <v>2921</v>
      </c>
      <c r="N543" s="69" t="s">
        <v>57</v>
      </c>
      <c r="O543" s="64">
        <v>1</v>
      </c>
      <c r="P543" s="72">
        <v>268810000</v>
      </c>
      <c r="Q543" s="69" t="s">
        <v>2922</v>
      </c>
      <c r="R543" s="69"/>
      <c r="S543" s="121" t="s">
        <v>258</v>
      </c>
      <c r="T543" s="56">
        <v>12</v>
      </c>
      <c r="U543" s="56">
        <v>4</v>
      </c>
    </row>
    <row r="544" spans="1:21" ht="14.25" customHeight="1" thickBot="1" x14ac:dyDescent="0.4">
      <c r="A544" s="58">
        <v>528</v>
      </c>
      <c r="B544" s="69" t="s">
        <v>70</v>
      </c>
      <c r="C544" s="69" t="s">
        <v>71</v>
      </c>
      <c r="D544" s="70" t="s">
        <v>51</v>
      </c>
      <c r="E544" s="69" t="s">
        <v>2923</v>
      </c>
      <c r="F544" s="69" t="s">
        <v>2924</v>
      </c>
      <c r="G544" s="69" t="s">
        <v>54</v>
      </c>
      <c r="H544" s="70">
        <v>2006</v>
      </c>
      <c r="I544" s="69"/>
      <c r="J544" s="69" t="s">
        <v>2925</v>
      </c>
      <c r="K544" s="71" t="s">
        <v>2926</v>
      </c>
      <c r="L544" s="71" t="s">
        <v>2927</v>
      </c>
      <c r="M544" s="71" t="s">
        <v>2928</v>
      </c>
      <c r="N544" s="69" t="s">
        <v>57</v>
      </c>
      <c r="O544" s="64">
        <v>1</v>
      </c>
      <c r="P544" s="72">
        <v>129000000</v>
      </c>
      <c r="Q544" s="69"/>
      <c r="R544" s="69"/>
      <c r="S544" s="121" t="s">
        <v>258</v>
      </c>
      <c r="T544" s="56">
        <v>12</v>
      </c>
      <c r="U544" s="56">
        <v>4</v>
      </c>
    </row>
    <row r="545" spans="1:21" ht="14.25" customHeight="1" x14ac:dyDescent="0.35">
      <c r="A545" s="47">
        <v>529</v>
      </c>
      <c r="B545" s="69" t="s">
        <v>70</v>
      </c>
      <c r="C545" s="69" t="s">
        <v>71</v>
      </c>
      <c r="D545" s="70" t="s">
        <v>59</v>
      </c>
      <c r="E545" s="69" t="s">
        <v>2929</v>
      </c>
      <c r="F545" s="69" t="s">
        <v>2930</v>
      </c>
      <c r="G545" s="69" t="s">
        <v>54</v>
      </c>
      <c r="H545" s="70">
        <v>2012</v>
      </c>
      <c r="I545" s="69" t="s">
        <v>63</v>
      </c>
      <c r="J545" s="69" t="s">
        <v>2931</v>
      </c>
      <c r="K545" s="71" t="s">
        <v>2932</v>
      </c>
      <c r="L545" s="71" t="s">
        <v>2933</v>
      </c>
      <c r="M545" s="71" t="s">
        <v>2934</v>
      </c>
      <c r="N545" s="69" t="s">
        <v>57</v>
      </c>
      <c r="O545" s="64">
        <v>1</v>
      </c>
      <c r="P545" s="72">
        <v>326600000</v>
      </c>
      <c r="Q545" s="69" t="s">
        <v>2916</v>
      </c>
      <c r="R545" s="69"/>
      <c r="S545" s="121" t="s">
        <v>258</v>
      </c>
      <c r="T545" s="56">
        <v>12</v>
      </c>
      <c r="U545" s="56">
        <v>4</v>
      </c>
    </row>
    <row r="546" spans="1:21" ht="14.25" customHeight="1" thickBot="1" x14ac:dyDescent="0.4">
      <c r="A546" s="58">
        <v>530</v>
      </c>
      <c r="B546" s="69" t="s">
        <v>70</v>
      </c>
      <c r="C546" s="69" t="s">
        <v>71</v>
      </c>
      <c r="D546" s="70" t="s">
        <v>97</v>
      </c>
      <c r="E546" s="69" t="s">
        <v>2935</v>
      </c>
      <c r="F546" s="69" t="s">
        <v>2936</v>
      </c>
      <c r="G546" s="69" t="s">
        <v>140</v>
      </c>
      <c r="H546" s="70">
        <v>2023</v>
      </c>
      <c r="I546" s="69" t="s">
        <v>63</v>
      </c>
      <c r="J546" s="69" t="s">
        <v>2937</v>
      </c>
      <c r="K546" s="71" t="s">
        <v>2938</v>
      </c>
      <c r="L546" s="71" t="s">
        <v>2939</v>
      </c>
      <c r="M546" s="71" t="s">
        <v>2940</v>
      </c>
      <c r="N546" s="69" t="s">
        <v>44</v>
      </c>
      <c r="O546" s="64">
        <v>1</v>
      </c>
      <c r="P546" s="72">
        <v>190000000</v>
      </c>
      <c r="Q546" s="69" t="s">
        <v>2941</v>
      </c>
      <c r="R546" s="69"/>
      <c r="S546" s="121" t="s">
        <v>258</v>
      </c>
      <c r="T546" s="56">
        <v>12</v>
      </c>
      <c r="U546" s="56">
        <v>4</v>
      </c>
    </row>
    <row r="547" spans="1:21" ht="14.25" customHeight="1" x14ac:dyDescent="0.35">
      <c r="A547" s="47">
        <v>531</v>
      </c>
      <c r="B547" s="69" t="s">
        <v>79</v>
      </c>
      <c r="C547" s="69" t="s">
        <v>80</v>
      </c>
      <c r="D547" s="70" t="s">
        <v>51</v>
      </c>
      <c r="E547" s="69" t="s">
        <v>2942</v>
      </c>
      <c r="F547" s="69" t="s">
        <v>82</v>
      </c>
      <c r="G547" s="69" t="s">
        <v>54</v>
      </c>
      <c r="H547" s="70">
        <v>1999</v>
      </c>
      <c r="I547" s="69"/>
      <c r="J547" s="69" t="s">
        <v>2943</v>
      </c>
      <c r="K547" s="71" t="s">
        <v>2944</v>
      </c>
      <c r="L547" s="71" t="s">
        <v>2945</v>
      </c>
      <c r="M547" s="71"/>
      <c r="N547" s="69" t="s">
        <v>57</v>
      </c>
      <c r="O547" s="64">
        <v>1</v>
      </c>
      <c r="P547" s="72">
        <v>8500000</v>
      </c>
      <c r="Q547" s="69" t="s">
        <v>2946</v>
      </c>
      <c r="R547" s="69"/>
      <c r="S547" s="121" t="s">
        <v>258</v>
      </c>
      <c r="T547" s="56">
        <v>12</v>
      </c>
      <c r="U547" s="56">
        <v>3</v>
      </c>
    </row>
    <row r="548" spans="1:21" ht="14.25" customHeight="1" thickBot="1" x14ac:dyDescent="0.4">
      <c r="A548" s="58">
        <v>532</v>
      </c>
      <c r="B548" s="69" t="s">
        <v>79</v>
      </c>
      <c r="C548" s="69" t="s">
        <v>80</v>
      </c>
      <c r="D548" s="70" t="s">
        <v>59</v>
      </c>
      <c r="E548" s="69" t="s">
        <v>2947</v>
      </c>
      <c r="F548" s="69" t="s">
        <v>483</v>
      </c>
      <c r="G548" s="69" t="s">
        <v>54</v>
      </c>
      <c r="H548" s="70">
        <v>2006</v>
      </c>
      <c r="I548" s="69"/>
      <c r="J548" s="69"/>
      <c r="K548" s="71"/>
      <c r="L548" s="71" t="s">
        <v>2948</v>
      </c>
      <c r="M548" s="71"/>
      <c r="N548" s="69" t="s">
        <v>57</v>
      </c>
      <c r="O548" s="64">
        <v>1</v>
      </c>
      <c r="P548" s="72">
        <v>18950000</v>
      </c>
      <c r="Q548" s="69" t="s">
        <v>80</v>
      </c>
      <c r="R548" s="69"/>
      <c r="S548" s="121" t="s">
        <v>258</v>
      </c>
      <c r="T548" s="56">
        <v>12</v>
      </c>
      <c r="U548" s="56">
        <v>3</v>
      </c>
    </row>
    <row r="549" spans="1:21" ht="14.25" customHeight="1" x14ac:dyDescent="0.35">
      <c r="A549" s="47">
        <v>533</v>
      </c>
      <c r="B549" s="69" t="s">
        <v>79</v>
      </c>
      <c r="C549" s="69" t="s">
        <v>80</v>
      </c>
      <c r="D549" s="70" t="s">
        <v>97</v>
      </c>
      <c r="E549" s="69" t="s">
        <v>2949</v>
      </c>
      <c r="F549" s="69" t="s">
        <v>231</v>
      </c>
      <c r="G549" s="69" t="s">
        <v>54</v>
      </c>
      <c r="H549" s="70">
        <v>2013</v>
      </c>
      <c r="I549" s="69"/>
      <c r="J549" s="69" t="s">
        <v>2950</v>
      </c>
      <c r="K549" s="71" t="s">
        <v>2951</v>
      </c>
      <c r="L549" s="71" t="s">
        <v>2952</v>
      </c>
      <c r="M549" s="71" t="s">
        <v>2953</v>
      </c>
      <c r="N549" s="69" t="s">
        <v>57</v>
      </c>
      <c r="O549" s="64">
        <v>1</v>
      </c>
      <c r="P549" s="72">
        <v>18004100</v>
      </c>
      <c r="Q549" s="69"/>
      <c r="R549" s="69"/>
      <c r="S549" s="121" t="s">
        <v>258</v>
      </c>
      <c r="T549" s="56">
        <v>12</v>
      </c>
      <c r="U549" s="56">
        <v>3</v>
      </c>
    </row>
    <row r="550" spans="1:21" ht="14.25" customHeight="1" thickBot="1" x14ac:dyDescent="0.4">
      <c r="A550" s="58">
        <v>534</v>
      </c>
      <c r="B550" s="69" t="s">
        <v>79</v>
      </c>
      <c r="C550" s="69" t="s">
        <v>80</v>
      </c>
      <c r="D550" s="70" t="s">
        <v>101</v>
      </c>
      <c r="E550" s="69" t="s">
        <v>2954</v>
      </c>
      <c r="F550" s="69" t="s">
        <v>231</v>
      </c>
      <c r="G550" s="69" t="s">
        <v>2955</v>
      </c>
      <c r="H550" s="70">
        <v>2014</v>
      </c>
      <c r="I550" s="69"/>
      <c r="J550" s="69" t="s">
        <v>2956</v>
      </c>
      <c r="K550" s="71" t="s">
        <v>2957</v>
      </c>
      <c r="L550" s="71" t="s">
        <v>2958</v>
      </c>
      <c r="M550" s="71" t="s">
        <v>2959</v>
      </c>
      <c r="N550" s="69" t="s">
        <v>57</v>
      </c>
      <c r="O550" s="64">
        <v>1</v>
      </c>
      <c r="P550" s="72">
        <v>27500000</v>
      </c>
      <c r="Q550" s="69" t="s">
        <v>2960</v>
      </c>
      <c r="R550" s="69"/>
      <c r="S550" s="121" t="s">
        <v>258</v>
      </c>
      <c r="T550" s="56">
        <v>12</v>
      </c>
      <c r="U550" s="56">
        <v>3</v>
      </c>
    </row>
    <row r="551" spans="1:21" ht="14.25" customHeight="1" x14ac:dyDescent="0.35">
      <c r="A551" s="47">
        <v>535</v>
      </c>
      <c r="B551" s="69" t="s">
        <v>79</v>
      </c>
      <c r="C551" s="69" t="s">
        <v>80</v>
      </c>
      <c r="D551" s="70" t="s">
        <v>107</v>
      </c>
      <c r="E551" s="69" t="s">
        <v>1383</v>
      </c>
      <c r="F551" s="69" t="s">
        <v>163</v>
      </c>
      <c r="G551" s="69" t="s">
        <v>140</v>
      </c>
      <c r="H551" s="70">
        <v>2015</v>
      </c>
      <c r="I551" s="69"/>
      <c r="J551" s="69" t="s">
        <v>2961</v>
      </c>
      <c r="K551" s="71" t="s">
        <v>2962</v>
      </c>
      <c r="L551" s="71" t="s">
        <v>2963</v>
      </c>
      <c r="M551" s="71" t="s">
        <v>2964</v>
      </c>
      <c r="N551" s="69" t="s">
        <v>57</v>
      </c>
      <c r="O551" s="64">
        <v>1</v>
      </c>
      <c r="P551" s="72">
        <v>14962333</v>
      </c>
      <c r="Q551" s="69" t="s">
        <v>2965</v>
      </c>
      <c r="R551" s="69"/>
      <c r="S551" s="121" t="s">
        <v>258</v>
      </c>
      <c r="T551" s="56">
        <v>12</v>
      </c>
      <c r="U551" s="56">
        <v>3</v>
      </c>
    </row>
    <row r="552" spans="1:21" ht="14.25" customHeight="1" thickBot="1" x14ac:dyDescent="0.4">
      <c r="A552" s="58">
        <v>536</v>
      </c>
      <c r="B552" s="69" t="s">
        <v>79</v>
      </c>
      <c r="C552" s="69" t="s">
        <v>80</v>
      </c>
      <c r="D552" s="70" t="s">
        <v>112</v>
      </c>
      <c r="E552" s="69" t="s">
        <v>2574</v>
      </c>
      <c r="F552" s="69" t="s">
        <v>88</v>
      </c>
      <c r="G552" s="69" t="s">
        <v>140</v>
      </c>
      <c r="H552" s="70">
        <v>2015</v>
      </c>
      <c r="I552" s="69"/>
      <c r="J552" s="69" t="s">
        <v>2966</v>
      </c>
      <c r="K552" s="71" t="s">
        <v>2967</v>
      </c>
      <c r="L552" s="71" t="s">
        <v>2968</v>
      </c>
      <c r="M552" s="71" t="s">
        <v>2969</v>
      </c>
      <c r="N552" s="69" t="s">
        <v>57</v>
      </c>
      <c r="O552" s="64">
        <v>1</v>
      </c>
      <c r="P552" s="72">
        <v>16898000</v>
      </c>
      <c r="Q552" s="69" t="s">
        <v>2970</v>
      </c>
      <c r="R552" s="69"/>
      <c r="S552" s="121" t="s">
        <v>258</v>
      </c>
      <c r="T552" s="56">
        <v>12</v>
      </c>
      <c r="U552" s="56">
        <v>3</v>
      </c>
    </row>
    <row r="553" spans="1:21" ht="14.25" customHeight="1" x14ac:dyDescent="0.35">
      <c r="A553" s="47">
        <v>537</v>
      </c>
      <c r="B553" s="69" t="s">
        <v>79</v>
      </c>
      <c r="C553" s="69" t="s">
        <v>80</v>
      </c>
      <c r="D553" s="70" t="s">
        <v>116</v>
      </c>
      <c r="E553" s="69" t="s">
        <v>2971</v>
      </c>
      <c r="F553" s="69" t="s">
        <v>171</v>
      </c>
      <c r="G553" s="69" t="s">
        <v>2972</v>
      </c>
      <c r="H553" s="70">
        <v>2020</v>
      </c>
      <c r="I553" s="69" t="s">
        <v>2973</v>
      </c>
      <c r="J553" s="69" t="s">
        <v>2974</v>
      </c>
      <c r="K553" s="71" t="s">
        <v>2975</v>
      </c>
      <c r="L553" s="71" t="s">
        <v>2973</v>
      </c>
      <c r="M553" s="71" t="s">
        <v>2973</v>
      </c>
      <c r="N553" s="69" t="s">
        <v>57</v>
      </c>
      <c r="O553" s="64">
        <v>1</v>
      </c>
      <c r="P553" s="72">
        <v>19000000</v>
      </c>
      <c r="Q553" s="69" t="s">
        <v>2976</v>
      </c>
      <c r="R553" s="69"/>
      <c r="S553" s="121" t="s">
        <v>258</v>
      </c>
      <c r="T553" s="56">
        <v>12</v>
      </c>
      <c r="U553" s="56">
        <v>3</v>
      </c>
    </row>
    <row r="554" spans="1:21" ht="14.25" customHeight="1" thickBot="1" x14ac:dyDescent="0.4">
      <c r="A554" s="58">
        <v>538</v>
      </c>
      <c r="B554" s="69" t="s">
        <v>79</v>
      </c>
      <c r="C554" s="69" t="s">
        <v>80</v>
      </c>
      <c r="D554" s="70" t="s">
        <v>841</v>
      </c>
      <c r="E554" s="69" t="s">
        <v>2971</v>
      </c>
      <c r="F554" s="69" t="s">
        <v>171</v>
      </c>
      <c r="G554" s="69" t="s">
        <v>2972</v>
      </c>
      <c r="H554" s="70">
        <v>2020</v>
      </c>
      <c r="I554" s="69" t="s">
        <v>2973</v>
      </c>
      <c r="J554" s="69" t="s">
        <v>2977</v>
      </c>
      <c r="K554" s="71" t="s">
        <v>2978</v>
      </c>
      <c r="L554" s="71" t="s">
        <v>2973</v>
      </c>
      <c r="M554" s="71" t="s">
        <v>2973</v>
      </c>
      <c r="N554" s="69" t="s">
        <v>57</v>
      </c>
      <c r="O554" s="64">
        <v>1</v>
      </c>
      <c r="P554" s="72">
        <v>19000000</v>
      </c>
      <c r="Q554" s="69" t="s">
        <v>2979</v>
      </c>
      <c r="R554" s="69"/>
      <c r="S554" s="121" t="s">
        <v>258</v>
      </c>
      <c r="T554" s="56">
        <v>12</v>
      </c>
      <c r="U554" s="56">
        <v>3</v>
      </c>
    </row>
    <row r="555" spans="1:21" ht="14.25" customHeight="1" x14ac:dyDescent="0.35">
      <c r="A555" s="47">
        <v>539</v>
      </c>
      <c r="B555" s="69" t="s">
        <v>79</v>
      </c>
      <c r="C555" s="69" t="s">
        <v>80</v>
      </c>
      <c r="D555" s="70" t="s">
        <v>904</v>
      </c>
      <c r="E555" s="69" t="s">
        <v>2980</v>
      </c>
      <c r="F555" s="69" t="s">
        <v>2981</v>
      </c>
      <c r="G555" s="69" t="s">
        <v>54</v>
      </c>
      <c r="H555" s="70">
        <v>1995</v>
      </c>
      <c r="I555" s="69"/>
      <c r="J555" s="69" t="s">
        <v>2982</v>
      </c>
      <c r="K555" s="71" t="s">
        <v>2983</v>
      </c>
      <c r="L555" s="71" t="s">
        <v>2984</v>
      </c>
      <c r="M555" s="71"/>
      <c r="N555" s="69" t="s">
        <v>57</v>
      </c>
      <c r="O555" s="64">
        <v>1</v>
      </c>
      <c r="P555" s="72">
        <v>13665000</v>
      </c>
      <c r="Q555" s="69" t="s">
        <v>2985</v>
      </c>
      <c r="R555" s="69"/>
      <c r="S555" s="121" t="s">
        <v>258</v>
      </c>
      <c r="T555" s="56">
        <v>12</v>
      </c>
      <c r="U555" s="56">
        <v>3</v>
      </c>
    </row>
    <row r="556" spans="1:21" ht="14.25" customHeight="1" thickBot="1" x14ac:dyDescent="0.4">
      <c r="A556" s="58">
        <v>540</v>
      </c>
      <c r="B556" s="69" t="s">
        <v>79</v>
      </c>
      <c r="C556" s="69" t="s">
        <v>80</v>
      </c>
      <c r="D556" s="70" t="s">
        <v>122</v>
      </c>
      <c r="E556" s="69" t="s">
        <v>2986</v>
      </c>
      <c r="F556" s="69" t="s">
        <v>88</v>
      </c>
      <c r="G556" s="69" t="s">
        <v>54</v>
      </c>
      <c r="H556" s="70">
        <v>1997</v>
      </c>
      <c r="I556" s="69"/>
      <c r="J556" s="69" t="s">
        <v>2987</v>
      </c>
      <c r="K556" s="71" t="s">
        <v>2988</v>
      </c>
      <c r="L556" s="71" t="s">
        <v>2989</v>
      </c>
      <c r="M556" s="71"/>
      <c r="N556" s="69" t="s">
        <v>57</v>
      </c>
      <c r="O556" s="64">
        <v>1</v>
      </c>
      <c r="P556" s="72">
        <v>10525000</v>
      </c>
      <c r="Q556" s="69" t="s">
        <v>2990</v>
      </c>
      <c r="R556" s="69"/>
      <c r="S556" s="121" t="s">
        <v>258</v>
      </c>
      <c r="T556" s="56">
        <v>12</v>
      </c>
      <c r="U556" s="56">
        <v>3</v>
      </c>
    </row>
    <row r="557" spans="1:21" ht="14.25" customHeight="1" x14ac:dyDescent="0.35">
      <c r="A557" s="47">
        <v>541</v>
      </c>
      <c r="B557" s="69" t="s">
        <v>79</v>
      </c>
      <c r="C557" s="69" t="s">
        <v>80</v>
      </c>
      <c r="D557" s="70" t="s">
        <v>126</v>
      </c>
      <c r="E557" s="69" t="s">
        <v>2942</v>
      </c>
      <c r="F557" s="69" t="s">
        <v>82</v>
      </c>
      <c r="G557" s="69" t="s">
        <v>54</v>
      </c>
      <c r="H557" s="70">
        <v>1999</v>
      </c>
      <c r="I557" s="69"/>
      <c r="J557" s="69" t="s">
        <v>2991</v>
      </c>
      <c r="K557" s="71" t="s">
        <v>2992</v>
      </c>
      <c r="L557" s="71" t="s">
        <v>2993</v>
      </c>
      <c r="M557" s="71"/>
      <c r="N557" s="69" t="s">
        <v>57</v>
      </c>
      <c r="O557" s="64">
        <v>1</v>
      </c>
      <c r="P557" s="72">
        <v>8500000</v>
      </c>
      <c r="Q557" s="69" t="s">
        <v>2994</v>
      </c>
      <c r="R557" s="69"/>
      <c r="S557" s="121" t="s">
        <v>258</v>
      </c>
      <c r="T557" s="56">
        <v>12</v>
      </c>
      <c r="U557" s="56">
        <v>3</v>
      </c>
    </row>
    <row r="558" spans="1:21" ht="14.25" customHeight="1" thickBot="1" x14ac:dyDescent="0.4">
      <c r="A558" s="58">
        <v>542</v>
      </c>
      <c r="B558" s="69" t="s">
        <v>79</v>
      </c>
      <c r="C558" s="69" t="s">
        <v>80</v>
      </c>
      <c r="D558" s="70" t="s">
        <v>132</v>
      </c>
      <c r="E558" s="69" t="s">
        <v>2942</v>
      </c>
      <c r="F558" s="69" t="s">
        <v>82</v>
      </c>
      <c r="G558" s="69" t="s">
        <v>54</v>
      </c>
      <c r="H558" s="70">
        <v>1999</v>
      </c>
      <c r="I558" s="69"/>
      <c r="J558" s="69" t="s">
        <v>2995</v>
      </c>
      <c r="K558" s="71" t="s">
        <v>2996</v>
      </c>
      <c r="L558" s="71" t="s">
        <v>2997</v>
      </c>
      <c r="M558" s="71"/>
      <c r="N558" s="69" t="s">
        <v>57</v>
      </c>
      <c r="O558" s="64">
        <v>1</v>
      </c>
      <c r="P558" s="72">
        <v>8500000</v>
      </c>
      <c r="Q558" s="69" t="s">
        <v>2994</v>
      </c>
      <c r="R558" s="69"/>
      <c r="S558" s="121" t="s">
        <v>258</v>
      </c>
      <c r="T558" s="56">
        <v>12</v>
      </c>
      <c r="U558" s="56">
        <v>3</v>
      </c>
    </row>
    <row r="559" spans="1:21" ht="14.25" customHeight="1" x14ac:dyDescent="0.35">
      <c r="A559" s="47">
        <v>543</v>
      </c>
      <c r="B559" s="69" t="s">
        <v>79</v>
      </c>
      <c r="C559" s="69" t="s">
        <v>80</v>
      </c>
      <c r="D559" s="70" t="s">
        <v>137</v>
      </c>
      <c r="E559" s="69" t="s">
        <v>2942</v>
      </c>
      <c r="F559" s="69" t="s">
        <v>82</v>
      </c>
      <c r="G559" s="69" t="s">
        <v>54</v>
      </c>
      <c r="H559" s="70">
        <v>1999</v>
      </c>
      <c r="I559" s="69"/>
      <c r="J559" s="69" t="s">
        <v>2998</v>
      </c>
      <c r="K559" s="71" t="s">
        <v>2999</v>
      </c>
      <c r="L559" s="71" t="s">
        <v>3000</v>
      </c>
      <c r="M559" s="71"/>
      <c r="N559" s="69" t="s">
        <v>57</v>
      </c>
      <c r="O559" s="64">
        <v>1</v>
      </c>
      <c r="P559" s="72">
        <v>8500000</v>
      </c>
      <c r="Q559" s="69" t="s">
        <v>3001</v>
      </c>
      <c r="R559" s="69"/>
      <c r="S559" s="121" t="s">
        <v>258</v>
      </c>
      <c r="T559" s="56">
        <v>12</v>
      </c>
      <c r="U559" s="56">
        <v>3</v>
      </c>
    </row>
    <row r="560" spans="1:21" ht="14.25" customHeight="1" thickBot="1" x14ac:dyDescent="0.4">
      <c r="A560" s="58">
        <v>544</v>
      </c>
      <c r="B560" s="69" t="s">
        <v>79</v>
      </c>
      <c r="C560" s="69" t="s">
        <v>80</v>
      </c>
      <c r="D560" s="70" t="s">
        <v>146</v>
      </c>
      <c r="E560" s="69" t="s">
        <v>2942</v>
      </c>
      <c r="F560" s="69" t="s">
        <v>82</v>
      </c>
      <c r="G560" s="69" t="s">
        <v>54</v>
      </c>
      <c r="H560" s="70">
        <v>1999</v>
      </c>
      <c r="I560" s="69"/>
      <c r="J560" s="69" t="s">
        <v>3002</v>
      </c>
      <c r="K560" s="71" t="s">
        <v>3003</v>
      </c>
      <c r="L560" s="71" t="s">
        <v>3004</v>
      </c>
      <c r="M560" s="71"/>
      <c r="N560" s="69" t="s">
        <v>57</v>
      </c>
      <c r="O560" s="64">
        <v>1</v>
      </c>
      <c r="P560" s="72">
        <v>8500000</v>
      </c>
      <c r="Q560" s="69" t="s">
        <v>2994</v>
      </c>
      <c r="R560" s="69"/>
      <c r="S560" s="121" t="s">
        <v>258</v>
      </c>
      <c r="T560" s="56">
        <v>12</v>
      </c>
      <c r="U560" s="56">
        <v>3</v>
      </c>
    </row>
    <row r="561" spans="1:21" ht="14.25" customHeight="1" x14ac:dyDescent="0.35">
      <c r="A561" s="47">
        <v>545</v>
      </c>
      <c r="B561" s="69" t="s">
        <v>79</v>
      </c>
      <c r="C561" s="69" t="s">
        <v>80</v>
      </c>
      <c r="D561" s="70" t="s">
        <v>154</v>
      </c>
      <c r="E561" s="69" t="s">
        <v>3005</v>
      </c>
      <c r="F561" s="69" t="s">
        <v>82</v>
      </c>
      <c r="G561" s="69" t="s">
        <v>54</v>
      </c>
      <c r="H561" s="70">
        <v>1999</v>
      </c>
      <c r="I561" s="69"/>
      <c r="J561" s="69" t="s">
        <v>3006</v>
      </c>
      <c r="K561" s="71" t="s">
        <v>3007</v>
      </c>
      <c r="L561" s="71" t="s">
        <v>3008</v>
      </c>
      <c r="M561" s="71"/>
      <c r="N561" s="69" t="s">
        <v>57</v>
      </c>
      <c r="O561" s="64">
        <v>1</v>
      </c>
      <c r="P561" s="72">
        <v>8500000</v>
      </c>
      <c r="Q561" s="69" t="s">
        <v>2994</v>
      </c>
      <c r="R561" s="69"/>
      <c r="S561" s="121" t="s">
        <v>258</v>
      </c>
      <c r="T561" s="56">
        <v>12</v>
      </c>
      <c r="U561" s="56">
        <v>3</v>
      </c>
    </row>
    <row r="562" spans="1:21" ht="14.25" customHeight="1" thickBot="1" x14ac:dyDescent="0.4">
      <c r="A562" s="58">
        <v>546</v>
      </c>
      <c r="B562" s="69" t="s">
        <v>79</v>
      </c>
      <c r="C562" s="69" t="s">
        <v>80</v>
      </c>
      <c r="D562" s="70" t="s">
        <v>161</v>
      </c>
      <c r="E562" s="69" t="s">
        <v>2942</v>
      </c>
      <c r="F562" s="69" t="s">
        <v>82</v>
      </c>
      <c r="G562" s="69" t="s">
        <v>54</v>
      </c>
      <c r="H562" s="70">
        <v>1999</v>
      </c>
      <c r="I562" s="69"/>
      <c r="J562" s="69" t="s">
        <v>3009</v>
      </c>
      <c r="K562" s="71" t="s">
        <v>3010</v>
      </c>
      <c r="L562" s="71" t="s">
        <v>3011</v>
      </c>
      <c r="M562" s="71"/>
      <c r="N562" s="69" t="s">
        <v>57</v>
      </c>
      <c r="O562" s="64">
        <v>1</v>
      </c>
      <c r="P562" s="72">
        <v>8500000</v>
      </c>
      <c r="Q562" s="69" t="s">
        <v>3012</v>
      </c>
      <c r="R562" s="69"/>
      <c r="S562" s="121" t="s">
        <v>258</v>
      </c>
      <c r="T562" s="56">
        <v>12</v>
      </c>
      <c r="U562" s="56">
        <v>3</v>
      </c>
    </row>
    <row r="563" spans="1:21" ht="14.25" customHeight="1" x14ac:dyDescent="0.35">
      <c r="A563" s="47">
        <v>547</v>
      </c>
      <c r="B563" s="69" t="s">
        <v>79</v>
      </c>
      <c r="C563" s="69" t="s">
        <v>80</v>
      </c>
      <c r="D563" s="70" t="s">
        <v>169</v>
      </c>
      <c r="E563" s="69" t="s">
        <v>2942</v>
      </c>
      <c r="F563" s="69" t="s">
        <v>82</v>
      </c>
      <c r="G563" s="69" t="s">
        <v>54</v>
      </c>
      <c r="H563" s="70">
        <v>1999</v>
      </c>
      <c r="I563" s="69"/>
      <c r="J563" s="69" t="s">
        <v>3013</v>
      </c>
      <c r="K563" s="71" t="s">
        <v>3014</v>
      </c>
      <c r="L563" s="71" t="s">
        <v>3015</v>
      </c>
      <c r="M563" s="71"/>
      <c r="N563" s="69" t="s">
        <v>57</v>
      </c>
      <c r="O563" s="64">
        <v>1</v>
      </c>
      <c r="P563" s="72">
        <v>8500000</v>
      </c>
      <c r="Q563" s="69" t="s">
        <v>2994</v>
      </c>
      <c r="R563" s="69"/>
      <c r="S563" s="121" t="s">
        <v>258</v>
      </c>
      <c r="T563" s="56">
        <v>12</v>
      </c>
      <c r="U563" s="56">
        <v>3</v>
      </c>
    </row>
    <row r="564" spans="1:21" ht="14.25" customHeight="1" thickBot="1" x14ac:dyDescent="0.4">
      <c r="A564" s="58">
        <v>548</v>
      </c>
      <c r="B564" s="69" t="s">
        <v>79</v>
      </c>
      <c r="C564" s="69" t="s">
        <v>80</v>
      </c>
      <c r="D564" s="70" t="s">
        <v>176</v>
      </c>
      <c r="E564" s="69" t="s">
        <v>2942</v>
      </c>
      <c r="F564" s="69" t="s">
        <v>82</v>
      </c>
      <c r="G564" s="69" t="s">
        <v>54</v>
      </c>
      <c r="H564" s="70">
        <v>2004</v>
      </c>
      <c r="I564" s="69"/>
      <c r="J564" s="69" t="s">
        <v>3016</v>
      </c>
      <c r="K564" s="71" t="s">
        <v>3017</v>
      </c>
      <c r="L564" s="71" t="s">
        <v>3018</v>
      </c>
      <c r="M564" s="71"/>
      <c r="N564" s="69" t="s">
        <v>57</v>
      </c>
      <c r="O564" s="64">
        <v>1</v>
      </c>
      <c r="P564" s="72">
        <v>8500000</v>
      </c>
      <c r="Q564" s="69" t="s">
        <v>3019</v>
      </c>
      <c r="R564" s="69"/>
      <c r="S564" s="121" t="s">
        <v>258</v>
      </c>
      <c r="T564" s="56">
        <v>12</v>
      </c>
      <c r="U564" s="56">
        <v>3</v>
      </c>
    </row>
    <row r="565" spans="1:21" ht="14.25" customHeight="1" x14ac:dyDescent="0.35">
      <c r="A565" s="47">
        <v>549</v>
      </c>
      <c r="B565" s="69" t="s">
        <v>79</v>
      </c>
      <c r="C565" s="69" t="s">
        <v>80</v>
      </c>
      <c r="D565" s="70" t="s">
        <v>1236</v>
      </c>
      <c r="E565" s="69" t="s">
        <v>2942</v>
      </c>
      <c r="F565" s="69" t="s">
        <v>82</v>
      </c>
      <c r="G565" s="69" t="s">
        <v>54</v>
      </c>
      <c r="H565" s="70">
        <v>2004</v>
      </c>
      <c r="I565" s="69"/>
      <c r="J565" s="69" t="s">
        <v>3020</v>
      </c>
      <c r="K565" s="71" t="s">
        <v>3021</v>
      </c>
      <c r="L565" s="71" t="s">
        <v>3022</v>
      </c>
      <c r="M565" s="71"/>
      <c r="N565" s="69" t="s">
        <v>57</v>
      </c>
      <c r="O565" s="64">
        <v>1</v>
      </c>
      <c r="P565" s="72">
        <v>8500000</v>
      </c>
      <c r="Q565" s="69" t="s">
        <v>3023</v>
      </c>
      <c r="R565" s="69"/>
      <c r="S565" s="121" t="s">
        <v>258</v>
      </c>
      <c r="T565" s="56">
        <v>12</v>
      </c>
      <c r="U565" s="56">
        <v>3</v>
      </c>
    </row>
    <row r="566" spans="1:21" ht="14.25" customHeight="1" thickBot="1" x14ac:dyDescent="0.4">
      <c r="A566" s="58">
        <v>550</v>
      </c>
      <c r="B566" s="69" t="s">
        <v>79</v>
      </c>
      <c r="C566" s="69" t="s">
        <v>80</v>
      </c>
      <c r="D566" s="70" t="s">
        <v>181</v>
      </c>
      <c r="E566" s="69" t="s">
        <v>2942</v>
      </c>
      <c r="F566" s="69" t="s">
        <v>82</v>
      </c>
      <c r="G566" s="69" t="s">
        <v>54</v>
      </c>
      <c r="H566" s="70">
        <v>2005</v>
      </c>
      <c r="I566" s="69"/>
      <c r="J566" s="69" t="s">
        <v>3024</v>
      </c>
      <c r="K566" s="71" t="s">
        <v>3025</v>
      </c>
      <c r="L566" s="71" t="s">
        <v>3026</v>
      </c>
      <c r="M566" s="71"/>
      <c r="N566" s="69" t="s">
        <v>57</v>
      </c>
      <c r="O566" s="64">
        <v>1</v>
      </c>
      <c r="P566" s="72">
        <v>8500000</v>
      </c>
      <c r="Q566" s="69" t="s">
        <v>3027</v>
      </c>
      <c r="R566" s="69"/>
      <c r="S566" s="121" t="s">
        <v>258</v>
      </c>
      <c r="T566" s="56">
        <v>12</v>
      </c>
      <c r="U566" s="56">
        <v>3</v>
      </c>
    </row>
    <row r="567" spans="1:21" ht="14.25" customHeight="1" x14ac:dyDescent="0.35">
      <c r="A567" s="47">
        <v>551</v>
      </c>
      <c r="B567" s="69" t="s">
        <v>79</v>
      </c>
      <c r="C567" s="69" t="s">
        <v>80</v>
      </c>
      <c r="D567" s="70" t="s">
        <v>187</v>
      </c>
      <c r="E567" s="69" t="s">
        <v>2942</v>
      </c>
      <c r="F567" s="69" t="s">
        <v>82</v>
      </c>
      <c r="G567" s="69" t="s">
        <v>54</v>
      </c>
      <c r="H567" s="70">
        <v>2005</v>
      </c>
      <c r="I567" s="69"/>
      <c r="J567" s="69" t="s">
        <v>3028</v>
      </c>
      <c r="K567" s="71" t="s">
        <v>3029</v>
      </c>
      <c r="L567" s="71" t="s">
        <v>3030</v>
      </c>
      <c r="M567" s="71"/>
      <c r="N567" s="69" t="s">
        <v>57</v>
      </c>
      <c r="O567" s="64">
        <v>1</v>
      </c>
      <c r="P567" s="72">
        <v>8500000</v>
      </c>
      <c r="Q567" s="69" t="s">
        <v>3031</v>
      </c>
      <c r="R567" s="69"/>
      <c r="S567" s="121" t="s">
        <v>258</v>
      </c>
      <c r="T567" s="56">
        <v>12</v>
      </c>
      <c r="U567" s="56">
        <v>3</v>
      </c>
    </row>
    <row r="568" spans="1:21" ht="14.25" customHeight="1" thickBot="1" x14ac:dyDescent="0.4">
      <c r="A568" s="58">
        <v>552</v>
      </c>
      <c r="B568" s="69" t="s">
        <v>79</v>
      </c>
      <c r="C568" s="69" t="s">
        <v>80</v>
      </c>
      <c r="D568" s="70" t="s">
        <v>190</v>
      </c>
      <c r="E568" s="69" t="s">
        <v>2942</v>
      </c>
      <c r="F568" s="69" t="s">
        <v>82</v>
      </c>
      <c r="G568" s="69" t="s">
        <v>54</v>
      </c>
      <c r="H568" s="70">
        <v>2005</v>
      </c>
      <c r="I568" s="69"/>
      <c r="J568" s="69" t="s">
        <v>3016</v>
      </c>
      <c r="K568" s="71"/>
      <c r="L568" s="71" t="s">
        <v>3032</v>
      </c>
      <c r="M568" s="71"/>
      <c r="N568" s="69" t="s">
        <v>57</v>
      </c>
      <c r="O568" s="64">
        <v>1</v>
      </c>
      <c r="P568" s="72">
        <v>8500000</v>
      </c>
      <c r="Q568" s="69"/>
      <c r="R568" s="69"/>
      <c r="S568" s="121" t="s">
        <v>258</v>
      </c>
      <c r="T568" s="56">
        <v>12</v>
      </c>
      <c r="U568" s="56">
        <v>3</v>
      </c>
    </row>
    <row r="569" spans="1:21" ht="14.25" customHeight="1" x14ac:dyDescent="0.35">
      <c r="A569" s="47">
        <v>553</v>
      </c>
      <c r="B569" s="69" t="s">
        <v>79</v>
      </c>
      <c r="C569" s="69" t="s">
        <v>80</v>
      </c>
      <c r="D569" s="70" t="s">
        <v>192</v>
      </c>
      <c r="E569" s="69" t="s">
        <v>2942</v>
      </c>
      <c r="F569" s="69" t="s">
        <v>82</v>
      </c>
      <c r="G569" s="69" t="s">
        <v>54</v>
      </c>
      <c r="H569" s="70">
        <v>2005</v>
      </c>
      <c r="I569" s="69"/>
      <c r="J569" s="69" t="s">
        <v>3033</v>
      </c>
      <c r="K569" s="71"/>
      <c r="L569" s="71" t="s">
        <v>3034</v>
      </c>
      <c r="M569" s="71"/>
      <c r="N569" s="69" t="s">
        <v>57</v>
      </c>
      <c r="O569" s="64">
        <v>1</v>
      </c>
      <c r="P569" s="72">
        <v>8500000</v>
      </c>
      <c r="Q569" s="69"/>
      <c r="R569" s="69"/>
      <c r="S569" s="121" t="s">
        <v>258</v>
      </c>
      <c r="T569" s="56">
        <v>12</v>
      </c>
      <c r="U569" s="56">
        <v>3</v>
      </c>
    </row>
    <row r="570" spans="1:21" ht="14.25" customHeight="1" thickBot="1" x14ac:dyDescent="0.4">
      <c r="A570" s="58">
        <v>554</v>
      </c>
      <c r="B570" s="69" t="s">
        <v>79</v>
      </c>
      <c r="C570" s="69" t="s">
        <v>80</v>
      </c>
      <c r="D570" s="70" t="s">
        <v>194</v>
      </c>
      <c r="E570" s="69" t="s">
        <v>2942</v>
      </c>
      <c r="F570" s="69" t="s">
        <v>82</v>
      </c>
      <c r="G570" s="69" t="s">
        <v>54</v>
      </c>
      <c r="H570" s="70">
        <v>2005</v>
      </c>
      <c r="I570" s="69"/>
      <c r="J570" s="69" t="s">
        <v>3035</v>
      </c>
      <c r="K570" s="71" t="s">
        <v>3036</v>
      </c>
      <c r="L570" s="71" t="s">
        <v>3037</v>
      </c>
      <c r="M570" s="71"/>
      <c r="N570" s="69" t="s">
        <v>57</v>
      </c>
      <c r="O570" s="64">
        <v>1</v>
      </c>
      <c r="P570" s="72">
        <v>8500000</v>
      </c>
      <c r="Q570" s="69"/>
      <c r="R570" s="69"/>
      <c r="S570" s="121" t="s">
        <v>258</v>
      </c>
      <c r="T570" s="56">
        <v>12</v>
      </c>
      <c r="U570" s="56">
        <v>3</v>
      </c>
    </row>
    <row r="571" spans="1:21" ht="14.25" customHeight="1" x14ac:dyDescent="0.35">
      <c r="A571" s="47">
        <v>555</v>
      </c>
      <c r="B571" s="69" t="s">
        <v>79</v>
      </c>
      <c r="C571" s="69" t="s">
        <v>80</v>
      </c>
      <c r="D571" s="70" t="s">
        <v>195</v>
      </c>
      <c r="E571" s="69" t="s">
        <v>3038</v>
      </c>
      <c r="F571" s="69" t="s">
        <v>231</v>
      </c>
      <c r="G571" s="69" t="s">
        <v>54</v>
      </c>
      <c r="H571" s="70">
        <v>2007</v>
      </c>
      <c r="I571" s="69"/>
      <c r="J571" s="69" t="s">
        <v>3039</v>
      </c>
      <c r="K571" s="71" t="s">
        <v>3040</v>
      </c>
      <c r="L571" s="71" t="s">
        <v>3041</v>
      </c>
      <c r="M571" s="71"/>
      <c r="N571" s="69" t="s">
        <v>422</v>
      </c>
      <c r="O571" s="64">
        <v>1</v>
      </c>
      <c r="P571" s="72">
        <v>7500000</v>
      </c>
      <c r="Q571" s="69" t="s">
        <v>2994</v>
      </c>
      <c r="R571" s="69"/>
      <c r="S571" s="121" t="s">
        <v>258</v>
      </c>
      <c r="T571" s="56">
        <v>12</v>
      </c>
      <c r="U571" s="56">
        <v>3</v>
      </c>
    </row>
    <row r="572" spans="1:21" ht="14.25" customHeight="1" thickBot="1" x14ac:dyDescent="0.4">
      <c r="A572" s="58">
        <v>556</v>
      </c>
      <c r="B572" s="69" t="s">
        <v>79</v>
      </c>
      <c r="C572" s="69" t="s">
        <v>80</v>
      </c>
      <c r="D572" s="70" t="s">
        <v>199</v>
      </c>
      <c r="E572" s="69" t="s">
        <v>3038</v>
      </c>
      <c r="F572" s="69" t="s">
        <v>231</v>
      </c>
      <c r="G572" s="69" t="s">
        <v>54</v>
      </c>
      <c r="H572" s="70">
        <v>2007</v>
      </c>
      <c r="I572" s="69"/>
      <c r="J572" s="69" t="s">
        <v>3042</v>
      </c>
      <c r="K572" s="71" t="s">
        <v>3043</v>
      </c>
      <c r="L572" s="71" t="s">
        <v>3044</v>
      </c>
      <c r="M572" s="71"/>
      <c r="N572" s="69" t="s">
        <v>422</v>
      </c>
      <c r="O572" s="64">
        <v>1</v>
      </c>
      <c r="P572" s="72">
        <v>7500000</v>
      </c>
      <c r="Q572" s="69" t="s">
        <v>2994</v>
      </c>
      <c r="R572" s="69"/>
      <c r="S572" s="121" t="s">
        <v>258</v>
      </c>
      <c r="T572" s="56">
        <v>12</v>
      </c>
      <c r="U572" s="56">
        <v>3</v>
      </c>
    </row>
    <row r="573" spans="1:21" ht="14.25" customHeight="1" x14ac:dyDescent="0.35">
      <c r="A573" s="47">
        <v>557</v>
      </c>
      <c r="B573" s="69" t="s">
        <v>79</v>
      </c>
      <c r="C573" s="69" t="s">
        <v>80</v>
      </c>
      <c r="D573" s="70" t="s">
        <v>200</v>
      </c>
      <c r="E573" s="69" t="s">
        <v>3038</v>
      </c>
      <c r="F573" s="69" t="s">
        <v>231</v>
      </c>
      <c r="G573" s="69" t="s">
        <v>54</v>
      </c>
      <c r="H573" s="70">
        <v>2007</v>
      </c>
      <c r="I573" s="69"/>
      <c r="J573" s="69" t="s">
        <v>3045</v>
      </c>
      <c r="K573" s="71" t="s">
        <v>3046</v>
      </c>
      <c r="L573" s="71" t="s">
        <v>3047</v>
      </c>
      <c r="M573" s="71"/>
      <c r="N573" s="69" t="s">
        <v>422</v>
      </c>
      <c r="O573" s="64">
        <v>1</v>
      </c>
      <c r="P573" s="72">
        <v>7500000</v>
      </c>
      <c r="Q573" s="69" t="s">
        <v>2994</v>
      </c>
      <c r="R573" s="69"/>
      <c r="S573" s="121" t="s">
        <v>258</v>
      </c>
      <c r="T573" s="56">
        <v>12</v>
      </c>
      <c r="U573" s="56">
        <v>3</v>
      </c>
    </row>
    <row r="574" spans="1:21" ht="14.25" customHeight="1" thickBot="1" x14ac:dyDescent="0.4">
      <c r="A574" s="58">
        <v>558</v>
      </c>
      <c r="B574" s="69" t="s">
        <v>79</v>
      </c>
      <c r="C574" s="69" t="s">
        <v>80</v>
      </c>
      <c r="D574" s="70" t="s">
        <v>209</v>
      </c>
      <c r="E574" s="69" t="s">
        <v>3038</v>
      </c>
      <c r="F574" s="69" t="s">
        <v>231</v>
      </c>
      <c r="G574" s="69" t="s">
        <v>54</v>
      </c>
      <c r="H574" s="70">
        <v>2007</v>
      </c>
      <c r="I574" s="69"/>
      <c r="J574" s="69" t="s">
        <v>3048</v>
      </c>
      <c r="K574" s="71" t="s">
        <v>3049</v>
      </c>
      <c r="L574" s="71" t="s">
        <v>3050</v>
      </c>
      <c r="M574" s="71"/>
      <c r="N574" s="69" t="s">
        <v>422</v>
      </c>
      <c r="O574" s="64">
        <v>1</v>
      </c>
      <c r="P574" s="72">
        <v>7500000</v>
      </c>
      <c r="Q574" s="69" t="s">
        <v>2994</v>
      </c>
      <c r="R574" s="69"/>
      <c r="S574" s="121" t="s">
        <v>258</v>
      </c>
      <c r="T574" s="56">
        <v>12</v>
      </c>
      <c r="U574" s="56">
        <v>3</v>
      </c>
    </row>
    <row r="575" spans="1:21" ht="14.25" customHeight="1" x14ac:dyDescent="0.35">
      <c r="A575" s="47">
        <v>559</v>
      </c>
      <c r="B575" s="69" t="s">
        <v>79</v>
      </c>
      <c r="C575" s="69" t="s">
        <v>80</v>
      </c>
      <c r="D575" s="70" t="s">
        <v>215</v>
      </c>
      <c r="E575" s="69" t="s">
        <v>3038</v>
      </c>
      <c r="F575" s="69" t="s">
        <v>231</v>
      </c>
      <c r="G575" s="69" t="s">
        <v>54</v>
      </c>
      <c r="H575" s="70">
        <v>2007</v>
      </c>
      <c r="I575" s="69"/>
      <c r="J575" s="69" t="s">
        <v>3051</v>
      </c>
      <c r="K575" s="71" t="s">
        <v>3052</v>
      </c>
      <c r="L575" s="71" t="s">
        <v>3053</v>
      </c>
      <c r="M575" s="71"/>
      <c r="N575" s="69" t="s">
        <v>57</v>
      </c>
      <c r="O575" s="64">
        <v>1</v>
      </c>
      <c r="P575" s="72">
        <v>7500000</v>
      </c>
      <c r="Q575" s="69" t="s">
        <v>2994</v>
      </c>
      <c r="R575" s="69"/>
      <c r="S575" s="121" t="s">
        <v>258</v>
      </c>
      <c r="T575" s="56">
        <v>12</v>
      </c>
      <c r="U575" s="56">
        <v>3</v>
      </c>
    </row>
    <row r="576" spans="1:21" ht="14.25" customHeight="1" thickBot="1" x14ac:dyDescent="0.4">
      <c r="A576" s="58">
        <v>560</v>
      </c>
      <c r="B576" s="69" t="s">
        <v>79</v>
      </c>
      <c r="C576" s="69" t="s">
        <v>80</v>
      </c>
      <c r="D576" s="70" t="s">
        <v>223</v>
      </c>
      <c r="E576" s="69" t="s">
        <v>3038</v>
      </c>
      <c r="F576" s="69" t="s">
        <v>231</v>
      </c>
      <c r="G576" s="69" t="s">
        <v>54</v>
      </c>
      <c r="H576" s="70">
        <v>2007</v>
      </c>
      <c r="I576" s="69"/>
      <c r="J576" s="69"/>
      <c r="K576" s="71" t="s">
        <v>2973</v>
      </c>
      <c r="L576" s="71" t="s">
        <v>2973</v>
      </c>
      <c r="M576" s="71" t="s">
        <v>2973</v>
      </c>
      <c r="N576" s="69" t="s">
        <v>57</v>
      </c>
      <c r="O576" s="64">
        <v>1</v>
      </c>
      <c r="P576" s="72">
        <v>7500000</v>
      </c>
      <c r="Q576" s="69" t="s">
        <v>63</v>
      </c>
      <c r="R576" s="69"/>
      <c r="S576" s="121" t="s">
        <v>258</v>
      </c>
      <c r="T576" s="56">
        <v>12</v>
      </c>
      <c r="U576" s="56">
        <v>3</v>
      </c>
    </row>
    <row r="577" spans="1:21" ht="14.25" customHeight="1" x14ac:dyDescent="0.35">
      <c r="A577" s="47">
        <v>561</v>
      </c>
      <c r="B577" s="69" t="s">
        <v>79</v>
      </c>
      <c r="C577" s="69" t="s">
        <v>80</v>
      </c>
      <c r="D577" s="70" t="s">
        <v>229</v>
      </c>
      <c r="E577" s="69" t="s">
        <v>3038</v>
      </c>
      <c r="F577" s="69" t="s">
        <v>231</v>
      </c>
      <c r="G577" s="69" t="s">
        <v>54</v>
      </c>
      <c r="H577" s="70">
        <v>2007</v>
      </c>
      <c r="I577" s="69"/>
      <c r="J577" s="69" t="s">
        <v>3054</v>
      </c>
      <c r="K577" s="71" t="s">
        <v>3055</v>
      </c>
      <c r="L577" s="71"/>
      <c r="M577" s="71"/>
      <c r="N577" s="69" t="s">
        <v>422</v>
      </c>
      <c r="O577" s="64">
        <v>1</v>
      </c>
      <c r="P577" s="72">
        <v>7500000</v>
      </c>
      <c r="Q577" s="69" t="s">
        <v>2994</v>
      </c>
      <c r="R577" s="69"/>
      <c r="S577" s="121" t="s">
        <v>258</v>
      </c>
      <c r="T577" s="56">
        <v>12</v>
      </c>
      <c r="U577" s="56">
        <v>3</v>
      </c>
    </row>
    <row r="578" spans="1:21" ht="14.25" customHeight="1" thickBot="1" x14ac:dyDescent="0.4">
      <c r="A578" s="58">
        <v>562</v>
      </c>
      <c r="B578" s="69" t="s">
        <v>79</v>
      </c>
      <c r="C578" s="69" t="s">
        <v>80</v>
      </c>
      <c r="D578" s="70" t="s">
        <v>238</v>
      </c>
      <c r="E578" s="69" t="s">
        <v>3038</v>
      </c>
      <c r="F578" s="69"/>
      <c r="G578" s="69" t="s">
        <v>54</v>
      </c>
      <c r="H578" s="70">
        <v>2007</v>
      </c>
      <c r="I578" s="69"/>
      <c r="J578" s="69" t="s">
        <v>3056</v>
      </c>
      <c r="K578" s="71" t="s">
        <v>3057</v>
      </c>
      <c r="L578" s="71" t="s">
        <v>3058</v>
      </c>
      <c r="M578" s="71"/>
      <c r="N578" s="69" t="s">
        <v>422</v>
      </c>
      <c r="O578" s="64">
        <v>1</v>
      </c>
      <c r="P578" s="72">
        <v>7500000</v>
      </c>
      <c r="Q578" s="69" t="s">
        <v>2994</v>
      </c>
      <c r="R578" s="69"/>
      <c r="S578" s="121" t="s">
        <v>258</v>
      </c>
      <c r="T578" s="56">
        <v>12</v>
      </c>
      <c r="U578" s="56">
        <v>3</v>
      </c>
    </row>
    <row r="579" spans="1:21" ht="14.25" customHeight="1" x14ac:dyDescent="0.35">
      <c r="A579" s="47">
        <v>563</v>
      </c>
      <c r="B579" s="69" t="s">
        <v>79</v>
      </c>
      <c r="C579" s="69" t="s">
        <v>80</v>
      </c>
      <c r="D579" s="70" t="s">
        <v>269</v>
      </c>
      <c r="E579" s="69" t="s">
        <v>3059</v>
      </c>
      <c r="F579" s="69"/>
      <c r="G579" s="69" t="s">
        <v>54</v>
      </c>
      <c r="H579" s="70">
        <v>2014</v>
      </c>
      <c r="I579" s="69"/>
      <c r="J579" s="69"/>
      <c r="K579" s="71"/>
      <c r="L579" s="71" t="s">
        <v>3011</v>
      </c>
      <c r="M579" s="71"/>
      <c r="N579" s="69" t="s">
        <v>422</v>
      </c>
      <c r="O579" s="64">
        <v>1</v>
      </c>
      <c r="P579" s="72">
        <v>6750000</v>
      </c>
      <c r="Q579" s="69" t="s">
        <v>3060</v>
      </c>
      <c r="R579" s="69"/>
      <c r="S579" s="121" t="s">
        <v>258</v>
      </c>
      <c r="T579" s="56">
        <v>12</v>
      </c>
      <c r="U579" s="56">
        <v>3</v>
      </c>
    </row>
    <row r="580" spans="1:21" ht="14.25" customHeight="1" thickBot="1" x14ac:dyDescent="0.4">
      <c r="A580" s="58">
        <v>564</v>
      </c>
      <c r="B580" s="69" t="s">
        <v>79</v>
      </c>
      <c r="C580" s="69" t="s">
        <v>80</v>
      </c>
      <c r="D580" s="70" t="s">
        <v>274</v>
      </c>
      <c r="E580" s="69" t="s">
        <v>3061</v>
      </c>
      <c r="F580" s="69"/>
      <c r="G580" s="69" t="s">
        <v>2955</v>
      </c>
      <c r="H580" s="70">
        <v>2014</v>
      </c>
      <c r="I580" s="69"/>
      <c r="J580" s="69" t="s">
        <v>2998</v>
      </c>
      <c r="K580" s="71" t="s">
        <v>2999</v>
      </c>
      <c r="L580" s="71" t="s">
        <v>3062</v>
      </c>
      <c r="M580" s="71"/>
      <c r="N580" s="69" t="s">
        <v>422</v>
      </c>
      <c r="O580" s="64">
        <v>1</v>
      </c>
      <c r="P580" s="72">
        <v>6750000</v>
      </c>
      <c r="Q580" s="69" t="s">
        <v>3060</v>
      </c>
      <c r="R580" s="69"/>
      <c r="S580" s="121" t="s">
        <v>258</v>
      </c>
      <c r="T580" s="56">
        <v>12</v>
      </c>
      <c r="U580" s="56">
        <v>3</v>
      </c>
    </row>
    <row r="581" spans="1:21" ht="14.25" customHeight="1" x14ac:dyDescent="0.35">
      <c r="A581" s="47">
        <v>565</v>
      </c>
      <c r="B581" s="69" t="s">
        <v>79</v>
      </c>
      <c r="C581" s="69" t="s">
        <v>80</v>
      </c>
      <c r="D581" s="70" t="s">
        <v>280</v>
      </c>
      <c r="E581" s="69" t="s">
        <v>3059</v>
      </c>
      <c r="F581" s="69"/>
      <c r="G581" s="69" t="s">
        <v>2955</v>
      </c>
      <c r="H581" s="70">
        <v>2014</v>
      </c>
      <c r="I581" s="69"/>
      <c r="J581" s="69" t="s">
        <v>3035</v>
      </c>
      <c r="K581" s="71" t="s">
        <v>3036</v>
      </c>
      <c r="L581" s="71" t="s">
        <v>3037</v>
      </c>
      <c r="M581" s="71"/>
      <c r="N581" s="69" t="s">
        <v>422</v>
      </c>
      <c r="O581" s="64">
        <v>1</v>
      </c>
      <c r="P581" s="72">
        <v>6750000</v>
      </c>
      <c r="Q581" s="69" t="s">
        <v>3060</v>
      </c>
      <c r="R581" s="69"/>
      <c r="S581" s="121" t="s">
        <v>258</v>
      </c>
      <c r="T581" s="56">
        <v>12</v>
      </c>
      <c r="U581" s="56">
        <v>3</v>
      </c>
    </row>
    <row r="582" spans="1:21" ht="14.25" customHeight="1" thickBot="1" x14ac:dyDescent="0.4">
      <c r="A582" s="58">
        <v>566</v>
      </c>
      <c r="B582" s="69" t="s">
        <v>79</v>
      </c>
      <c r="C582" s="69" t="s">
        <v>80</v>
      </c>
      <c r="D582" s="70" t="s">
        <v>286</v>
      </c>
      <c r="E582" s="69" t="s">
        <v>3059</v>
      </c>
      <c r="F582" s="69"/>
      <c r="G582" s="69" t="s">
        <v>54</v>
      </c>
      <c r="H582" s="70">
        <v>2014</v>
      </c>
      <c r="I582" s="69"/>
      <c r="J582" s="69" t="s">
        <v>2943</v>
      </c>
      <c r="K582" s="71" t="s">
        <v>2944</v>
      </c>
      <c r="L582" s="71" t="s">
        <v>3063</v>
      </c>
      <c r="M582" s="71"/>
      <c r="N582" s="69" t="s">
        <v>422</v>
      </c>
      <c r="O582" s="64">
        <v>1</v>
      </c>
      <c r="P582" s="72">
        <v>6750000</v>
      </c>
      <c r="Q582" s="69" t="s">
        <v>3060</v>
      </c>
      <c r="R582" s="69"/>
      <c r="S582" s="121" t="s">
        <v>258</v>
      </c>
      <c r="T582" s="56">
        <v>12</v>
      </c>
      <c r="U582" s="56">
        <v>3</v>
      </c>
    </row>
    <row r="583" spans="1:21" ht="14.25" customHeight="1" x14ac:dyDescent="0.35">
      <c r="A583" s="47">
        <v>567</v>
      </c>
      <c r="B583" s="69" t="s">
        <v>79</v>
      </c>
      <c r="C583" s="69" t="s">
        <v>80</v>
      </c>
      <c r="D583" s="70" t="s">
        <v>291</v>
      </c>
      <c r="E583" s="69" t="s">
        <v>3059</v>
      </c>
      <c r="F583" s="69"/>
      <c r="G583" s="69" t="s">
        <v>2955</v>
      </c>
      <c r="H583" s="70">
        <v>2014</v>
      </c>
      <c r="I583" s="69"/>
      <c r="J583" s="69" t="s">
        <v>2995</v>
      </c>
      <c r="K583" s="71" t="s">
        <v>2996</v>
      </c>
      <c r="L583" s="71" t="s">
        <v>2997</v>
      </c>
      <c r="M583" s="71"/>
      <c r="N583" s="69" t="s">
        <v>422</v>
      </c>
      <c r="O583" s="64">
        <v>1</v>
      </c>
      <c r="P583" s="72">
        <v>6750000</v>
      </c>
      <c r="Q583" s="69" t="s">
        <v>3060</v>
      </c>
      <c r="R583" s="69"/>
      <c r="S583" s="121" t="s">
        <v>258</v>
      </c>
      <c r="T583" s="56">
        <v>12</v>
      </c>
      <c r="U583" s="56">
        <v>3</v>
      </c>
    </row>
    <row r="584" spans="1:21" ht="14.25" customHeight="1" thickBot="1" x14ac:dyDescent="0.4">
      <c r="A584" s="58">
        <v>568</v>
      </c>
      <c r="B584" s="69" t="s">
        <v>79</v>
      </c>
      <c r="C584" s="69" t="s">
        <v>80</v>
      </c>
      <c r="D584" s="70" t="s">
        <v>298</v>
      </c>
      <c r="E584" s="69" t="s">
        <v>3064</v>
      </c>
      <c r="F584" s="69"/>
      <c r="G584" s="69" t="s">
        <v>2955</v>
      </c>
      <c r="H584" s="70">
        <v>2014</v>
      </c>
      <c r="I584" s="69"/>
      <c r="J584" s="69" t="s">
        <v>3002</v>
      </c>
      <c r="K584" s="71" t="s">
        <v>3003</v>
      </c>
      <c r="L584" s="71" t="s">
        <v>3065</v>
      </c>
      <c r="M584" s="71"/>
      <c r="N584" s="69" t="s">
        <v>422</v>
      </c>
      <c r="O584" s="64">
        <v>1</v>
      </c>
      <c r="P584" s="72">
        <v>6750000</v>
      </c>
      <c r="Q584" s="69" t="s">
        <v>3060</v>
      </c>
      <c r="R584" s="69"/>
      <c r="S584" s="121" t="s">
        <v>258</v>
      </c>
      <c r="T584" s="56">
        <v>12</v>
      </c>
      <c r="U584" s="56">
        <v>3</v>
      </c>
    </row>
    <row r="585" spans="1:21" ht="14.25" customHeight="1" x14ac:dyDescent="0.35">
      <c r="A585" s="47">
        <v>569</v>
      </c>
      <c r="B585" s="69" t="s">
        <v>79</v>
      </c>
      <c r="C585" s="69" t="s">
        <v>80</v>
      </c>
      <c r="D585" s="70" t="s">
        <v>304</v>
      </c>
      <c r="E585" s="69" t="s">
        <v>3059</v>
      </c>
      <c r="F585" s="69"/>
      <c r="G585" s="69" t="s">
        <v>54</v>
      </c>
      <c r="H585" s="70">
        <v>2014</v>
      </c>
      <c r="I585" s="69"/>
      <c r="J585" s="69" t="s">
        <v>3006</v>
      </c>
      <c r="K585" s="71" t="s">
        <v>3007</v>
      </c>
      <c r="L585" s="71" t="s">
        <v>3008</v>
      </c>
      <c r="M585" s="71"/>
      <c r="N585" s="69" t="s">
        <v>422</v>
      </c>
      <c r="O585" s="64">
        <v>1</v>
      </c>
      <c r="P585" s="72">
        <v>6750000</v>
      </c>
      <c r="Q585" s="69" t="s">
        <v>3060</v>
      </c>
      <c r="R585" s="69"/>
      <c r="S585" s="121" t="s">
        <v>258</v>
      </c>
      <c r="T585" s="56">
        <v>12</v>
      </c>
      <c r="U585" s="56">
        <v>3</v>
      </c>
    </row>
    <row r="586" spans="1:21" ht="14.25" customHeight="1" thickBot="1" x14ac:dyDescent="0.4">
      <c r="A586" s="58">
        <v>570</v>
      </c>
      <c r="B586" s="69" t="s">
        <v>79</v>
      </c>
      <c r="C586" s="69" t="s">
        <v>80</v>
      </c>
      <c r="D586" s="70" t="s">
        <v>310</v>
      </c>
      <c r="E586" s="69" t="s">
        <v>3059</v>
      </c>
      <c r="F586" s="69"/>
      <c r="G586" s="69" t="s">
        <v>54</v>
      </c>
      <c r="H586" s="70">
        <v>2014</v>
      </c>
      <c r="I586" s="69"/>
      <c r="J586" s="69"/>
      <c r="K586" s="71"/>
      <c r="L586" s="71" t="s">
        <v>3066</v>
      </c>
      <c r="M586" s="71"/>
      <c r="N586" s="69" t="s">
        <v>422</v>
      </c>
      <c r="O586" s="64">
        <v>1</v>
      </c>
      <c r="P586" s="72">
        <v>6750000</v>
      </c>
      <c r="Q586" s="69" t="s">
        <v>3060</v>
      </c>
      <c r="R586" s="69"/>
      <c r="S586" s="121" t="s">
        <v>258</v>
      </c>
      <c r="T586" s="56">
        <v>12</v>
      </c>
      <c r="U586" s="56">
        <v>3</v>
      </c>
    </row>
    <row r="587" spans="1:21" ht="14.25" customHeight="1" x14ac:dyDescent="0.35">
      <c r="A587" s="47">
        <v>571</v>
      </c>
      <c r="B587" s="69" t="s">
        <v>79</v>
      </c>
      <c r="C587" s="69" t="s">
        <v>80</v>
      </c>
      <c r="D587" s="70" t="s">
        <v>319</v>
      </c>
      <c r="E587" s="69" t="s">
        <v>3067</v>
      </c>
      <c r="F587" s="69"/>
      <c r="G587" s="69" t="s">
        <v>54</v>
      </c>
      <c r="H587" s="70">
        <v>2014</v>
      </c>
      <c r="I587" s="69"/>
      <c r="J587" s="69"/>
      <c r="K587" s="71"/>
      <c r="L587" s="71" t="s">
        <v>3068</v>
      </c>
      <c r="M587" s="71"/>
      <c r="N587" s="69" t="s">
        <v>422</v>
      </c>
      <c r="O587" s="64">
        <v>1</v>
      </c>
      <c r="P587" s="72">
        <v>6750000</v>
      </c>
      <c r="Q587" s="69" t="s">
        <v>3060</v>
      </c>
      <c r="R587" s="69"/>
      <c r="S587" s="121" t="s">
        <v>258</v>
      </c>
      <c r="T587" s="56">
        <v>12</v>
      </c>
      <c r="U587" s="56">
        <v>3</v>
      </c>
    </row>
    <row r="588" spans="1:21" ht="14.25" customHeight="1" thickBot="1" x14ac:dyDescent="0.4">
      <c r="A588" s="58">
        <v>572</v>
      </c>
      <c r="B588" s="69" t="s">
        <v>79</v>
      </c>
      <c r="C588" s="69" t="s">
        <v>80</v>
      </c>
      <c r="D588" s="70" t="s">
        <v>325</v>
      </c>
      <c r="E588" s="69" t="s">
        <v>3059</v>
      </c>
      <c r="F588" s="69"/>
      <c r="G588" s="69" t="s">
        <v>54</v>
      </c>
      <c r="H588" s="70">
        <v>2014</v>
      </c>
      <c r="I588" s="69"/>
      <c r="J588" s="69"/>
      <c r="K588" s="71"/>
      <c r="L588" s="71" t="s">
        <v>2993</v>
      </c>
      <c r="M588" s="71"/>
      <c r="N588" s="69" t="s">
        <v>422</v>
      </c>
      <c r="O588" s="64">
        <v>1</v>
      </c>
      <c r="P588" s="72">
        <v>6750000</v>
      </c>
      <c r="Q588" s="69" t="s">
        <v>3060</v>
      </c>
      <c r="R588" s="69"/>
      <c r="S588" s="121" t="s">
        <v>258</v>
      </c>
      <c r="T588" s="56">
        <v>12</v>
      </c>
      <c r="U588" s="56">
        <v>3</v>
      </c>
    </row>
    <row r="589" spans="1:21" ht="14.25" customHeight="1" x14ac:dyDescent="0.35">
      <c r="A589" s="47">
        <v>573</v>
      </c>
      <c r="B589" s="69" t="s">
        <v>79</v>
      </c>
      <c r="C589" s="69" t="s">
        <v>80</v>
      </c>
      <c r="D589" s="70" t="s">
        <v>332</v>
      </c>
      <c r="E589" s="69" t="s">
        <v>3059</v>
      </c>
      <c r="F589" s="69"/>
      <c r="G589" s="69" t="s">
        <v>54</v>
      </c>
      <c r="H589" s="70">
        <v>2014</v>
      </c>
      <c r="I589" s="69"/>
      <c r="J589" s="69"/>
      <c r="K589" s="71"/>
      <c r="L589" s="71" t="s">
        <v>3069</v>
      </c>
      <c r="M589" s="71"/>
      <c r="N589" s="69" t="s">
        <v>422</v>
      </c>
      <c r="O589" s="64">
        <v>1</v>
      </c>
      <c r="P589" s="72">
        <v>6750000</v>
      </c>
      <c r="Q589" s="69" t="s">
        <v>3060</v>
      </c>
      <c r="R589" s="69"/>
      <c r="S589" s="121" t="s">
        <v>258</v>
      </c>
      <c r="T589" s="56">
        <v>12</v>
      </c>
      <c r="U589" s="56">
        <v>3</v>
      </c>
    </row>
    <row r="590" spans="1:21" ht="14.25" customHeight="1" thickBot="1" x14ac:dyDescent="0.4">
      <c r="A590" s="58">
        <v>574</v>
      </c>
      <c r="B590" s="69" t="s">
        <v>79</v>
      </c>
      <c r="C590" s="69" t="s">
        <v>80</v>
      </c>
      <c r="D590" s="70" t="s">
        <v>338</v>
      </c>
      <c r="E590" s="69" t="s">
        <v>3070</v>
      </c>
      <c r="F590" s="69" t="s">
        <v>82</v>
      </c>
      <c r="G590" s="69" t="s">
        <v>54</v>
      </c>
      <c r="H590" s="70">
        <v>2007</v>
      </c>
      <c r="I590" s="69"/>
      <c r="J590" s="69" t="s">
        <v>3071</v>
      </c>
      <c r="K590" s="71" t="s">
        <v>3072</v>
      </c>
      <c r="L590" s="71" t="s">
        <v>3073</v>
      </c>
      <c r="M590" s="71"/>
      <c r="N590" s="69" t="s">
        <v>422</v>
      </c>
      <c r="O590" s="64">
        <v>1</v>
      </c>
      <c r="P590" s="72">
        <v>11750000</v>
      </c>
      <c r="Q590" s="69"/>
      <c r="R590" s="69"/>
      <c r="S590" s="121" t="s">
        <v>258</v>
      </c>
      <c r="T590" s="56">
        <v>12</v>
      </c>
      <c r="U590" s="56">
        <v>3</v>
      </c>
    </row>
    <row r="591" spans="1:21" ht="14.25" customHeight="1" x14ac:dyDescent="0.35">
      <c r="A591" s="47">
        <v>575</v>
      </c>
      <c r="B591" s="69" t="s">
        <v>79</v>
      </c>
      <c r="C591" s="69" t="s">
        <v>80</v>
      </c>
      <c r="D591" s="70" t="s">
        <v>343</v>
      </c>
      <c r="E591" s="69" t="s">
        <v>3074</v>
      </c>
      <c r="F591" s="69" t="s">
        <v>82</v>
      </c>
      <c r="G591" s="69" t="s">
        <v>54</v>
      </c>
      <c r="H591" s="70">
        <v>2007</v>
      </c>
      <c r="I591" s="69"/>
      <c r="J591" s="69" t="s">
        <v>3075</v>
      </c>
      <c r="K591" s="71" t="s">
        <v>3076</v>
      </c>
      <c r="L591" s="71" t="s">
        <v>3077</v>
      </c>
      <c r="M591" s="71"/>
      <c r="N591" s="69" t="s">
        <v>422</v>
      </c>
      <c r="O591" s="64">
        <v>1</v>
      </c>
      <c r="P591" s="72">
        <v>14350000</v>
      </c>
      <c r="Q591" s="69"/>
      <c r="R591" s="69"/>
      <c r="S591" s="121" t="s">
        <v>258</v>
      </c>
      <c r="T591" s="56">
        <v>12</v>
      </c>
      <c r="U591" s="56">
        <v>3</v>
      </c>
    </row>
    <row r="592" spans="1:21" ht="14.25" customHeight="1" thickBot="1" x14ac:dyDescent="0.4">
      <c r="A592" s="58">
        <v>576</v>
      </c>
      <c r="B592" s="69" t="s">
        <v>79</v>
      </c>
      <c r="C592" s="69" t="s">
        <v>80</v>
      </c>
      <c r="D592" s="70" t="s">
        <v>353</v>
      </c>
      <c r="E592" s="69" t="s">
        <v>3078</v>
      </c>
      <c r="F592" s="69" t="s">
        <v>88</v>
      </c>
      <c r="G592" s="69" t="s">
        <v>54</v>
      </c>
      <c r="H592" s="70">
        <v>2010</v>
      </c>
      <c r="I592" s="69"/>
      <c r="J592" s="69" t="s">
        <v>3079</v>
      </c>
      <c r="K592" s="71" t="s">
        <v>3080</v>
      </c>
      <c r="L592" s="71" t="s">
        <v>3081</v>
      </c>
      <c r="M592" s="71" t="s">
        <v>3082</v>
      </c>
      <c r="N592" s="69" t="s">
        <v>57</v>
      </c>
      <c r="O592" s="64">
        <v>1</v>
      </c>
      <c r="P592" s="72">
        <v>16433000</v>
      </c>
      <c r="Q592" s="69" t="s">
        <v>3083</v>
      </c>
      <c r="R592" s="69"/>
      <c r="S592" s="121" t="s">
        <v>258</v>
      </c>
      <c r="T592" s="56">
        <v>12</v>
      </c>
      <c r="U592" s="56">
        <v>3</v>
      </c>
    </row>
    <row r="593" spans="1:21" ht="14.25" customHeight="1" x14ac:dyDescent="0.35">
      <c r="A593" s="47">
        <v>577</v>
      </c>
      <c r="B593" s="69" t="s">
        <v>79</v>
      </c>
      <c r="C593" s="69" t="s">
        <v>80</v>
      </c>
      <c r="D593" s="70" t="s">
        <v>359</v>
      </c>
      <c r="E593" s="69" t="s">
        <v>3078</v>
      </c>
      <c r="F593" s="69" t="s">
        <v>88</v>
      </c>
      <c r="G593" s="69" t="s">
        <v>54</v>
      </c>
      <c r="H593" s="70">
        <v>2010</v>
      </c>
      <c r="I593" s="69"/>
      <c r="J593" s="69" t="s">
        <v>3084</v>
      </c>
      <c r="K593" s="71" t="s">
        <v>3085</v>
      </c>
      <c r="L593" s="71" t="s">
        <v>3086</v>
      </c>
      <c r="M593" s="71" t="s">
        <v>3087</v>
      </c>
      <c r="N593" s="69" t="s">
        <v>57</v>
      </c>
      <c r="O593" s="64">
        <v>1</v>
      </c>
      <c r="P593" s="72">
        <v>16433000</v>
      </c>
      <c r="Q593" s="69" t="s">
        <v>3088</v>
      </c>
      <c r="R593" s="69"/>
      <c r="S593" s="121" t="s">
        <v>258</v>
      </c>
      <c r="T593" s="56">
        <v>12</v>
      </c>
      <c r="U593" s="56">
        <v>3</v>
      </c>
    </row>
    <row r="594" spans="1:21" ht="14.25" customHeight="1" thickBot="1" x14ac:dyDescent="0.4">
      <c r="A594" s="58">
        <v>578</v>
      </c>
      <c r="B594" s="69" t="s">
        <v>79</v>
      </c>
      <c r="C594" s="69" t="s">
        <v>80</v>
      </c>
      <c r="D594" s="70" t="s">
        <v>366</v>
      </c>
      <c r="E594" s="69" t="s">
        <v>3089</v>
      </c>
      <c r="F594" s="69" t="s">
        <v>88</v>
      </c>
      <c r="G594" s="69" t="s">
        <v>54</v>
      </c>
      <c r="H594" s="70">
        <v>2012</v>
      </c>
      <c r="I594" s="69"/>
      <c r="J594" s="69" t="s">
        <v>3090</v>
      </c>
      <c r="K594" s="71" t="s">
        <v>3091</v>
      </c>
      <c r="L594" s="71" t="s">
        <v>3092</v>
      </c>
      <c r="M594" s="71" t="s">
        <v>3093</v>
      </c>
      <c r="N594" s="69" t="s">
        <v>57</v>
      </c>
      <c r="O594" s="64">
        <v>1</v>
      </c>
      <c r="P594" s="72">
        <v>15459150</v>
      </c>
      <c r="Q594" s="69" t="s">
        <v>3094</v>
      </c>
      <c r="R594" s="69"/>
      <c r="S594" s="121" t="s">
        <v>258</v>
      </c>
      <c r="T594" s="56">
        <v>12</v>
      </c>
      <c r="U594" s="56">
        <v>3</v>
      </c>
    </row>
    <row r="595" spans="1:21" ht="14.25" customHeight="1" x14ac:dyDescent="0.35">
      <c r="A595" s="47">
        <v>579</v>
      </c>
      <c r="B595" s="69" t="s">
        <v>79</v>
      </c>
      <c r="C595" s="69" t="s">
        <v>80</v>
      </c>
      <c r="D595" s="70" t="s">
        <v>371</v>
      </c>
      <c r="E595" s="69" t="s">
        <v>3095</v>
      </c>
      <c r="F595" s="69" t="s">
        <v>88</v>
      </c>
      <c r="G595" s="69" t="s">
        <v>54</v>
      </c>
      <c r="H595" s="70">
        <v>2012</v>
      </c>
      <c r="I595" s="69"/>
      <c r="J595" s="69" t="s">
        <v>3096</v>
      </c>
      <c r="K595" s="71" t="s">
        <v>3097</v>
      </c>
      <c r="L595" s="71" t="s">
        <v>3098</v>
      </c>
      <c r="M595" s="71" t="s">
        <v>3099</v>
      </c>
      <c r="N595" s="69" t="s">
        <v>57</v>
      </c>
      <c r="O595" s="64">
        <v>1</v>
      </c>
      <c r="P595" s="72">
        <v>16923925</v>
      </c>
      <c r="Q595" s="69" t="s">
        <v>3100</v>
      </c>
      <c r="R595" s="69"/>
      <c r="S595" s="121" t="s">
        <v>258</v>
      </c>
      <c r="T595" s="56">
        <v>12</v>
      </c>
      <c r="U595" s="56">
        <v>3</v>
      </c>
    </row>
    <row r="596" spans="1:21" ht="14.25" customHeight="1" thickBot="1" x14ac:dyDescent="0.4">
      <c r="A596" s="58">
        <v>580</v>
      </c>
      <c r="B596" s="69" t="s">
        <v>79</v>
      </c>
      <c r="C596" s="69" t="s">
        <v>80</v>
      </c>
      <c r="D596" s="70" t="s">
        <v>376</v>
      </c>
      <c r="E596" s="69" t="s">
        <v>3095</v>
      </c>
      <c r="F596" s="69" t="s">
        <v>88</v>
      </c>
      <c r="G596" s="69" t="s">
        <v>54</v>
      </c>
      <c r="H596" s="70">
        <v>2012</v>
      </c>
      <c r="I596" s="69"/>
      <c r="J596" s="69" t="s">
        <v>3101</v>
      </c>
      <c r="K596" s="71" t="s">
        <v>3102</v>
      </c>
      <c r="L596" s="71" t="s">
        <v>3103</v>
      </c>
      <c r="M596" s="71" t="s">
        <v>3104</v>
      </c>
      <c r="N596" s="69" t="s">
        <v>57</v>
      </c>
      <c r="O596" s="64">
        <v>1</v>
      </c>
      <c r="P596" s="72">
        <v>16923925</v>
      </c>
      <c r="Q596" s="69" t="s">
        <v>3105</v>
      </c>
      <c r="R596" s="69"/>
      <c r="S596" s="121" t="s">
        <v>258</v>
      </c>
      <c r="T596" s="56">
        <v>12</v>
      </c>
      <c r="U596" s="56">
        <v>3</v>
      </c>
    </row>
    <row r="597" spans="1:21" ht="14.25" customHeight="1" x14ac:dyDescent="0.35">
      <c r="A597" s="47">
        <v>581</v>
      </c>
      <c r="B597" s="69" t="s">
        <v>79</v>
      </c>
      <c r="C597" s="69" t="s">
        <v>80</v>
      </c>
      <c r="D597" s="70" t="s">
        <v>382</v>
      </c>
      <c r="E597" s="69" t="s">
        <v>3095</v>
      </c>
      <c r="F597" s="69" t="s">
        <v>88</v>
      </c>
      <c r="G597" s="69" t="s">
        <v>54</v>
      </c>
      <c r="H597" s="70">
        <v>2012</v>
      </c>
      <c r="I597" s="69"/>
      <c r="J597" s="69" t="s">
        <v>3106</v>
      </c>
      <c r="K597" s="71" t="s">
        <v>3107</v>
      </c>
      <c r="L597" s="71" t="s">
        <v>3108</v>
      </c>
      <c r="M597" s="71" t="s">
        <v>3109</v>
      </c>
      <c r="N597" s="69" t="s">
        <v>57</v>
      </c>
      <c r="O597" s="64">
        <v>1</v>
      </c>
      <c r="P597" s="72">
        <v>16923925</v>
      </c>
      <c r="Q597" s="69" t="s">
        <v>3110</v>
      </c>
      <c r="R597" s="69"/>
      <c r="S597" s="121" t="s">
        <v>258</v>
      </c>
      <c r="T597" s="56">
        <v>12</v>
      </c>
      <c r="U597" s="56">
        <v>3</v>
      </c>
    </row>
    <row r="598" spans="1:21" ht="14.25" customHeight="1" thickBot="1" x14ac:dyDescent="0.4">
      <c r="A598" s="58">
        <v>582</v>
      </c>
      <c r="B598" s="69" t="s">
        <v>79</v>
      </c>
      <c r="C598" s="69" t="s">
        <v>80</v>
      </c>
      <c r="D598" s="70" t="s">
        <v>387</v>
      </c>
      <c r="E598" s="69" t="s">
        <v>3095</v>
      </c>
      <c r="F598" s="69" t="s">
        <v>88</v>
      </c>
      <c r="G598" s="69" t="s">
        <v>54</v>
      </c>
      <c r="H598" s="70">
        <v>2012</v>
      </c>
      <c r="I598" s="69"/>
      <c r="J598" s="69" t="s">
        <v>3111</v>
      </c>
      <c r="K598" s="71" t="s">
        <v>3112</v>
      </c>
      <c r="L598" s="71" t="s">
        <v>3113</v>
      </c>
      <c r="M598" s="71" t="s">
        <v>3114</v>
      </c>
      <c r="N598" s="69" t="s">
        <v>57</v>
      </c>
      <c r="O598" s="64">
        <v>1</v>
      </c>
      <c r="P598" s="72">
        <v>16923925</v>
      </c>
      <c r="Q598" s="69" t="s">
        <v>3115</v>
      </c>
      <c r="R598" s="69"/>
      <c r="S598" s="121" t="s">
        <v>258</v>
      </c>
      <c r="T598" s="56">
        <v>12</v>
      </c>
      <c r="U598" s="56">
        <v>3</v>
      </c>
    </row>
    <row r="599" spans="1:21" ht="14.25" customHeight="1" x14ac:dyDescent="0.35">
      <c r="A599" s="47">
        <v>583</v>
      </c>
      <c r="B599" s="69" t="s">
        <v>79</v>
      </c>
      <c r="C599" s="69" t="s">
        <v>80</v>
      </c>
      <c r="D599" s="70" t="s">
        <v>392</v>
      </c>
      <c r="E599" s="69" t="s">
        <v>3095</v>
      </c>
      <c r="F599" s="69" t="s">
        <v>88</v>
      </c>
      <c r="G599" s="69" t="s">
        <v>54</v>
      </c>
      <c r="H599" s="70">
        <v>2012</v>
      </c>
      <c r="I599" s="69"/>
      <c r="J599" s="69" t="s">
        <v>3116</v>
      </c>
      <c r="K599" s="71" t="s">
        <v>3117</v>
      </c>
      <c r="L599" s="71" t="s">
        <v>3118</v>
      </c>
      <c r="M599" s="71" t="s">
        <v>3119</v>
      </c>
      <c r="N599" s="69" t="s">
        <v>57</v>
      </c>
      <c r="O599" s="64">
        <v>1</v>
      </c>
      <c r="P599" s="72">
        <v>16923925</v>
      </c>
      <c r="Q599" s="69" t="s">
        <v>3120</v>
      </c>
      <c r="R599" s="69"/>
      <c r="S599" s="121" t="s">
        <v>258</v>
      </c>
      <c r="T599" s="56">
        <v>12</v>
      </c>
      <c r="U599" s="56">
        <v>3</v>
      </c>
    </row>
    <row r="600" spans="1:21" ht="14.25" customHeight="1" thickBot="1" x14ac:dyDescent="0.4">
      <c r="A600" s="58">
        <v>584</v>
      </c>
      <c r="B600" s="69" t="s">
        <v>79</v>
      </c>
      <c r="C600" s="69" t="s">
        <v>80</v>
      </c>
      <c r="D600" s="70" t="s">
        <v>398</v>
      </c>
      <c r="E600" s="69" t="s">
        <v>3095</v>
      </c>
      <c r="F600" s="69" t="s">
        <v>88</v>
      </c>
      <c r="G600" s="69" t="s">
        <v>54</v>
      </c>
      <c r="H600" s="70">
        <v>2012</v>
      </c>
      <c r="I600" s="69"/>
      <c r="J600" s="69" t="s">
        <v>3121</v>
      </c>
      <c r="K600" s="71" t="s">
        <v>3122</v>
      </c>
      <c r="L600" s="71" t="s">
        <v>3123</v>
      </c>
      <c r="M600" s="71" t="s">
        <v>3124</v>
      </c>
      <c r="N600" s="69" t="s">
        <v>57</v>
      </c>
      <c r="O600" s="64">
        <v>1</v>
      </c>
      <c r="P600" s="72">
        <v>16923925</v>
      </c>
      <c r="Q600" s="69" t="s">
        <v>3125</v>
      </c>
      <c r="R600" s="69"/>
      <c r="S600" s="121" t="s">
        <v>258</v>
      </c>
      <c r="T600" s="56">
        <v>12</v>
      </c>
      <c r="U600" s="56">
        <v>3</v>
      </c>
    </row>
    <row r="601" spans="1:21" ht="14.25" customHeight="1" x14ac:dyDescent="0.35">
      <c r="A601" s="47">
        <v>585</v>
      </c>
      <c r="B601" s="69" t="s">
        <v>79</v>
      </c>
      <c r="C601" s="69" t="s">
        <v>80</v>
      </c>
      <c r="D601" s="70" t="s">
        <v>403</v>
      </c>
      <c r="E601" s="69" t="s">
        <v>3095</v>
      </c>
      <c r="F601" s="69" t="s">
        <v>88</v>
      </c>
      <c r="G601" s="69" t="s">
        <v>54</v>
      </c>
      <c r="H601" s="70">
        <v>2012</v>
      </c>
      <c r="I601" s="69"/>
      <c r="J601" s="69" t="s">
        <v>3126</v>
      </c>
      <c r="K601" s="71" t="s">
        <v>3127</v>
      </c>
      <c r="L601" s="71" t="s">
        <v>3128</v>
      </c>
      <c r="M601" s="71" t="s">
        <v>3129</v>
      </c>
      <c r="N601" s="69" t="s">
        <v>57</v>
      </c>
      <c r="O601" s="64">
        <v>1</v>
      </c>
      <c r="P601" s="72">
        <v>16923925</v>
      </c>
      <c r="Q601" s="69" t="s">
        <v>3130</v>
      </c>
      <c r="R601" s="69"/>
      <c r="S601" s="121" t="s">
        <v>258</v>
      </c>
      <c r="T601" s="56">
        <v>12</v>
      </c>
      <c r="U601" s="56">
        <v>3</v>
      </c>
    </row>
    <row r="602" spans="1:21" ht="14.25" customHeight="1" thickBot="1" x14ac:dyDescent="0.4">
      <c r="A602" s="58">
        <v>586</v>
      </c>
      <c r="B602" s="69" t="s">
        <v>79</v>
      </c>
      <c r="C602" s="69" t="s">
        <v>80</v>
      </c>
      <c r="D602" s="70" t="s">
        <v>408</v>
      </c>
      <c r="E602" s="69" t="s">
        <v>3095</v>
      </c>
      <c r="F602" s="69" t="s">
        <v>88</v>
      </c>
      <c r="G602" s="69" t="s">
        <v>54</v>
      </c>
      <c r="H602" s="70">
        <v>2012</v>
      </c>
      <c r="I602" s="69"/>
      <c r="J602" s="69" t="s">
        <v>3131</v>
      </c>
      <c r="K602" s="71" t="s">
        <v>3132</v>
      </c>
      <c r="L602" s="71" t="s">
        <v>3133</v>
      </c>
      <c r="M602" s="71" t="s">
        <v>3134</v>
      </c>
      <c r="N602" s="69" t="s">
        <v>57</v>
      </c>
      <c r="O602" s="64">
        <v>1</v>
      </c>
      <c r="P602" s="72">
        <v>16923925</v>
      </c>
      <c r="Q602" s="69" t="s">
        <v>3135</v>
      </c>
      <c r="R602" s="69"/>
      <c r="S602" s="121" t="s">
        <v>258</v>
      </c>
      <c r="T602" s="56">
        <v>12</v>
      </c>
      <c r="U602" s="56">
        <v>3</v>
      </c>
    </row>
    <row r="603" spans="1:21" ht="14.25" customHeight="1" x14ac:dyDescent="0.35">
      <c r="A603" s="47">
        <v>587</v>
      </c>
      <c r="B603" s="69" t="s">
        <v>79</v>
      </c>
      <c r="C603" s="69" t="s">
        <v>80</v>
      </c>
      <c r="D603" s="70" t="s">
        <v>413</v>
      </c>
      <c r="E603" s="69" t="s">
        <v>3095</v>
      </c>
      <c r="F603" s="69" t="s">
        <v>88</v>
      </c>
      <c r="G603" s="69" t="s">
        <v>54</v>
      </c>
      <c r="H603" s="70">
        <v>2012</v>
      </c>
      <c r="I603" s="69"/>
      <c r="J603" s="69" t="s">
        <v>3136</v>
      </c>
      <c r="K603" s="71" t="s">
        <v>3137</v>
      </c>
      <c r="L603" s="71" t="s">
        <v>3138</v>
      </c>
      <c r="M603" s="71" t="s">
        <v>3139</v>
      </c>
      <c r="N603" s="69" t="s">
        <v>57</v>
      </c>
      <c r="O603" s="64">
        <v>1</v>
      </c>
      <c r="P603" s="72">
        <v>16923925</v>
      </c>
      <c r="Q603" s="69" t="s">
        <v>3140</v>
      </c>
      <c r="R603" s="69"/>
      <c r="S603" s="121" t="s">
        <v>258</v>
      </c>
      <c r="T603" s="56">
        <v>12</v>
      </c>
      <c r="U603" s="56">
        <v>3</v>
      </c>
    </row>
    <row r="604" spans="1:21" ht="14.25" customHeight="1" thickBot="1" x14ac:dyDescent="0.4">
      <c r="A604" s="58">
        <v>588</v>
      </c>
      <c r="B604" s="69" t="s">
        <v>79</v>
      </c>
      <c r="C604" s="69" t="s">
        <v>80</v>
      </c>
      <c r="D604" s="70" t="s">
        <v>3141</v>
      </c>
      <c r="E604" s="69" t="s">
        <v>3095</v>
      </c>
      <c r="F604" s="69" t="s">
        <v>88</v>
      </c>
      <c r="G604" s="69" t="s">
        <v>54</v>
      </c>
      <c r="H604" s="70">
        <v>2012</v>
      </c>
      <c r="I604" s="69"/>
      <c r="J604" s="69" t="s">
        <v>3142</v>
      </c>
      <c r="K604" s="71" t="s">
        <v>3143</v>
      </c>
      <c r="L604" s="71" t="s">
        <v>3144</v>
      </c>
      <c r="M604" s="71" t="s">
        <v>3145</v>
      </c>
      <c r="N604" s="69" t="s">
        <v>57</v>
      </c>
      <c r="O604" s="64">
        <v>1</v>
      </c>
      <c r="P604" s="72">
        <v>16923925</v>
      </c>
      <c r="Q604" s="69" t="s">
        <v>3146</v>
      </c>
      <c r="R604" s="69"/>
      <c r="S604" s="121" t="s">
        <v>258</v>
      </c>
      <c r="T604" s="56">
        <v>12</v>
      </c>
      <c r="U604" s="56">
        <v>3</v>
      </c>
    </row>
    <row r="605" spans="1:21" ht="14.25" customHeight="1" x14ac:dyDescent="0.35">
      <c r="A605" s="47">
        <v>589</v>
      </c>
      <c r="B605" s="69" t="s">
        <v>79</v>
      </c>
      <c r="C605" s="69" t="s">
        <v>80</v>
      </c>
      <c r="D605" s="70" t="s">
        <v>1450</v>
      </c>
      <c r="E605" s="69" t="s">
        <v>3095</v>
      </c>
      <c r="F605" s="69" t="s">
        <v>88</v>
      </c>
      <c r="G605" s="69" t="s">
        <v>54</v>
      </c>
      <c r="H605" s="70">
        <v>2012</v>
      </c>
      <c r="I605" s="69"/>
      <c r="J605" s="69" t="s">
        <v>3147</v>
      </c>
      <c r="K605" s="71" t="s">
        <v>3148</v>
      </c>
      <c r="L605" s="71" t="s">
        <v>3149</v>
      </c>
      <c r="M605" s="71" t="s">
        <v>3150</v>
      </c>
      <c r="N605" s="69" t="s">
        <v>57</v>
      </c>
      <c r="O605" s="64">
        <v>1</v>
      </c>
      <c r="P605" s="72">
        <v>16923925</v>
      </c>
      <c r="Q605" s="69" t="s">
        <v>3151</v>
      </c>
      <c r="R605" s="69"/>
      <c r="S605" s="121" t="s">
        <v>258</v>
      </c>
      <c r="T605" s="56">
        <v>12</v>
      </c>
      <c r="U605" s="56">
        <v>3</v>
      </c>
    </row>
    <row r="606" spans="1:21" ht="14.25" customHeight="1" thickBot="1" x14ac:dyDescent="0.4">
      <c r="A606" s="58">
        <v>590</v>
      </c>
      <c r="B606" s="69" t="s">
        <v>79</v>
      </c>
      <c r="C606" s="69" t="s">
        <v>80</v>
      </c>
      <c r="D606" s="70" t="s">
        <v>1456</v>
      </c>
      <c r="E606" s="69" t="s">
        <v>3095</v>
      </c>
      <c r="F606" s="69" t="s">
        <v>88</v>
      </c>
      <c r="G606" s="69" t="s">
        <v>54</v>
      </c>
      <c r="H606" s="70">
        <v>2012</v>
      </c>
      <c r="I606" s="69"/>
      <c r="J606" s="69" t="s">
        <v>3152</v>
      </c>
      <c r="K606" s="71" t="s">
        <v>3153</v>
      </c>
      <c r="L606" s="71" t="s">
        <v>3154</v>
      </c>
      <c r="M606" s="71" t="s">
        <v>3155</v>
      </c>
      <c r="N606" s="69" t="s">
        <v>57</v>
      </c>
      <c r="O606" s="64">
        <v>1</v>
      </c>
      <c r="P606" s="72">
        <v>16923925</v>
      </c>
      <c r="Q606" s="69" t="s">
        <v>3156</v>
      </c>
      <c r="R606" s="69"/>
      <c r="S606" s="121" t="s">
        <v>258</v>
      </c>
      <c r="T606" s="56">
        <v>12</v>
      </c>
      <c r="U606" s="56">
        <v>3</v>
      </c>
    </row>
    <row r="607" spans="1:21" ht="14.25" customHeight="1" x14ac:dyDescent="0.35">
      <c r="A607" s="47">
        <v>591</v>
      </c>
      <c r="B607" s="69" t="s">
        <v>79</v>
      </c>
      <c r="C607" s="69" t="s">
        <v>80</v>
      </c>
      <c r="D607" s="70" t="s">
        <v>1462</v>
      </c>
      <c r="E607" s="69" t="s">
        <v>3157</v>
      </c>
      <c r="F607" s="69" t="s">
        <v>231</v>
      </c>
      <c r="G607" s="69" t="s">
        <v>54</v>
      </c>
      <c r="H607" s="70">
        <v>2012</v>
      </c>
      <c r="I607" s="69"/>
      <c r="J607" s="69" t="s">
        <v>3158</v>
      </c>
      <c r="K607" s="71" t="s">
        <v>3159</v>
      </c>
      <c r="L607" s="71" t="s">
        <v>3160</v>
      </c>
      <c r="M607" s="71" t="s">
        <v>3161</v>
      </c>
      <c r="N607" s="69" t="s">
        <v>57</v>
      </c>
      <c r="O607" s="64">
        <v>1</v>
      </c>
      <c r="P607" s="72">
        <v>19426600</v>
      </c>
      <c r="Q607" s="69" t="s">
        <v>3162</v>
      </c>
      <c r="R607" s="69"/>
      <c r="S607" s="121" t="s">
        <v>258</v>
      </c>
      <c r="T607" s="56">
        <v>12</v>
      </c>
      <c r="U607" s="56">
        <v>3</v>
      </c>
    </row>
    <row r="608" spans="1:21" ht="14.25" customHeight="1" thickBot="1" x14ac:dyDescent="0.4">
      <c r="A608" s="58">
        <v>592</v>
      </c>
      <c r="B608" s="69" t="s">
        <v>79</v>
      </c>
      <c r="C608" s="69" t="s">
        <v>80</v>
      </c>
      <c r="D608" s="70" t="s">
        <v>1469</v>
      </c>
      <c r="E608" s="69" t="s">
        <v>3157</v>
      </c>
      <c r="F608" s="69" t="s">
        <v>231</v>
      </c>
      <c r="G608" s="69" t="s">
        <v>54</v>
      </c>
      <c r="H608" s="70">
        <v>2012</v>
      </c>
      <c r="I608" s="69"/>
      <c r="J608" s="69" t="s">
        <v>3163</v>
      </c>
      <c r="K608" s="71" t="s">
        <v>3164</v>
      </c>
      <c r="L608" s="71" t="s">
        <v>3165</v>
      </c>
      <c r="M608" s="71" t="s">
        <v>3166</v>
      </c>
      <c r="N608" s="69" t="s">
        <v>57</v>
      </c>
      <c r="O608" s="64">
        <v>1</v>
      </c>
      <c r="P608" s="72">
        <v>19426600</v>
      </c>
      <c r="Q608" s="69" t="s">
        <v>3167</v>
      </c>
      <c r="R608" s="69"/>
      <c r="S608" s="121" t="s">
        <v>258</v>
      </c>
      <c r="T608" s="56">
        <v>12</v>
      </c>
      <c r="U608" s="56">
        <v>3</v>
      </c>
    </row>
    <row r="609" spans="1:21" ht="14.25" customHeight="1" x14ac:dyDescent="0.35">
      <c r="A609" s="47">
        <v>593</v>
      </c>
      <c r="B609" s="69" t="s">
        <v>79</v>
      </c>
      <c r="C609" s="69" t="s">
        <v>80</v>
      </c>
      <c r="D609" s="70" t="s">
        <v>1475</v>
      </c>
      <c r="E609" s="69" t="s">
        <v>3157</v>
      </c>
      <c r="F609" s="69" t="s">
        <v>231</v>
      </c>
      <c r="G609" s="69" t="s">
        <v>54</v>
      </c>
      <c r="H609" s="70">
        <v>2012</v>
      </c>
      <c r="I609" s="69"/>
      <c r="J609" s="69" t="s">
        <v>3168</v>
      </c>
      <c r="K609" s="71" t="s">
        <v>3169</v>
      </c>
      <c r="L609" s="71" t="s">
        <v>3170</v>
      </c>
      <c r="M609" s="71" t="s">
        <v>3171</v>
      </c>
      <c r="N609" s="69" t="s">
        <v>57</v>
      </c>
      <c r="O609" s="64">
        <v>1</v>
      </c>
      <c r="P609" s="72">
        <v>19426600</v>
      </c>
      <c r="Q609" s="69" t="s">
        <v>3172</v>
      </c>
      <c r="R609" s="69"/>
      <c r="S609" s="121" t="s">
        <v>258</v>
      </c>
      <c r="T609" s="56">
        <v>12</v>
      </c>
      <c r="U609" s="56">
        <v>3</v>
      </c>
    </row>
    <row r="610" spans="1:21" ht="14.25" customHeight="1" thickBot="1" x14ac:dyDescent="0.4">
      <c r="A610" s="58">
        <v>594</v>
      </c>
      <c r="B610" s="69" t="s">
        <v>79</v>
      </c>
      <c r="C610" s="69" t="s">
        <v>80</v>
      </c>
      <c r="D610" s="70" t="s">
        <v>1480</v>
      </c>
      <c r="E610" s="69" t="s">
        <v>3157</v>
      </c>
      <c r="F610" s="69" t="s">
        <v>231</v>
      </c>
      <c r="G610" s="69" t="s">
        <v>54</v>
      </c>
      <c r="H610" s="70">
        <v>2012</v>
      </c>
      <c r="I610" s="69"/>
      <c r="J610" s="69" t="s">
        <v>3173</v>
      </c>
      <c r="K610" s="71" t="s">
        <v>3174</v>
      </c>
      <c r="L610" s="71" t="s">
        <v>3175</v>
      </c>
      <c r="M610" s="71" t="s">
        <v>3176</v>
      </c>
      <c r="N610" s="69" t="s">
        <v>57</v>
      </c>
      <c r="O610" s="64">
        <v>1</v>
      </c>
      <c r="P610" s="72">
        <v>19426600</v>
      </c>
      <c r="Q610" s="69" t="s">
        <v>3177</v>
      </c>
      <c r="R610" s="69"/>
      <c r="S610" s="121" t="s">
        <v>258</v>
      </c>
      <c r="T610" s="56">
        <v>12</v>
      </c>
      <c r="U610" s="56">
        <v>3</v>
      </c>
    </row>
    <row r="611" spans="1:21" ht="14.25" customHeight="1" x14ac:dyDescent="0.35">
      <c r="A611" s="47">
        <v>595</v>
      </c>
      <c r="B611" s="69" t="s">
        <v>79</v>
      </c>
      <c r="C611" s="69" t="s">
        <v>80</v>
      </c>
      <c r="D611" s="70" t="s">
        <v>1485</v>
      </c>
      <c r="E611" s="69" t="s">
        <v>3157</v>
      </c>
      <c r="F611" s="69" t="s">
        <v>231</v>
      </c>
      <c r="G611" s="69" t="s">
        <v>54</v>
      </c>
      <c r="H611" s="70">
        <v>2012</v>
      </c>
      <c r="I611" s="69"/>
      <c r="J611" s="69" t="s">
        <v>3178</v>
      </c>
      <c r="K611" s="71" t="s">
        <v>3179</v>
      </c>
      <c r="L611" s="71" t="s">
        <v>3180</v>
      </c>
      <c r="M611" s="71" t="s">
        <v>3181</v>
      </c>
      <c r="N611" s="69" t="s">
        <v>57</v>
      </c>
      <c r="O611" s="64">
        <v>1</v>
      </c>
      <c r="P611" s="72">
        <v>19426600</v>
      </c>
      <c r="Q611" s="69" t="s">
        <v>3182</v>
      </c>
      <c r="R611" s="69"/>
      <c r="S611" s="121" t="s">
        <v>258</v>
      </c>
      <c r="T611" s="56">
        <v>12</v>
      </c>
      <c r="U611" s="56">
        <v>3</v>
      </c>
    </row>
    <row r="612" spans="1:21" ht="14.25" customHeight="1" thickBot="1" x14ac:dyDescent="0.4">
      <c r="A612" s="58">
        <v>596</v>
      </c>
      <c r="B612" s="69" t="s">
        <v>79</v>
      </c>
      <c r="C612" s="69" t="s">
        <v>80</v>
      </c>
      <c r="D612" s="70" t="s">
        <v>1490</v>
      </c>
      <c r="E612" s="69" t="s">
        <v>3157</v>
      </c>
      <c r="F612" s="69" t="s">
        <v>231</v>
      </c>
      <c r="G612" s="69" t="s">
        <v>54</v>
      </c>
      <c r="H612" s="70">
        <v>2012</v>
      </c>
      <c r="I612" s="69"/>
      <c r="J612" s="69" t="s">
        <v>3183</v>
      </c>
      <c r="K612" s="71" t="s">
        <v>3184</v>
      </c>
      <c r="L612" s="71" t="s">
        <v>3185</v>
      </c>
      <c r="M612" s="71" t="s">
        <v>3186</v>
      </c>
      <c r="N612" s="69" t="s">
        <v>57</v>
      </c>
      <c r="O612" s="64">
        <v>1</v>
      </c>
      <c r="P612" s="72">
        <v>19426600</v>
      </c>
      <c r="Q612" s="69" t="s">
        <v>3187</v>
      </c>
      <c r="R612" s="69"/>
      <c r="S612" s="121" t="s">
        <v>258</v>
      </c>
      <c r="T612" s="56">
        <v>12</v>
      </c>
      <c r="U612" s="56">
        <v>3</v>
      </c>
    </row>
    <row r="613" spans="1:21" ht="14.25" customHeight="1" x14ac:dyDescent="0.35">
      <c r="A613" s="47">
        <v>597</v>
      </c>
      <c r="B613" s="69" t="s">
        <v>79</v>
      </c>
      <c r="C613" s="69" t="s">
        <v>80</v>
      </c>
      <c r="D613" s="70" t="s">
        <v>1498</v>
      </c>
      <c r="E613" s="69" t="s">
        <v>3157</v>
      </c>
      <c r="F613" s="69" t="s">
        <v>231</v>
      </c>
      <c r="G613" s="69" t="s">
        <v>54</v>
      </c>
      <c r="H613" s="70">
        <v>2012</v>
      </c>
      <c r="I613" s="69"/>
      <c r="J613" s="69" t="s">
        <v>3188</v>
      </c>
      <c r="K613" s="71" t="s">
        <v>3189</v>
      </c>
      <c r="L613" s="71" t="s">
        <v>3190</v>
      </c>
      <c r="M613" s="71" t="s">
        <v>3191</v>
      </c>
      <c r="N613" s="69" t="s">
        <v>57</v>
      </c>
      <c r="O613" s="64">
        <v>1</v>
      </c>
      <c r="P613" s="72">
        <v>19426600</v>
      </c>
      <c r="Q613" s="69" t="s">
        <v>3192</v>
      </c>
      <c r="R613" s="69"/>
      <c r="S613" s="121" t="s">
        <v>258</v>
      </c>
      <c r="T613" s="56">
        <v>12</v>
      </c>
      <c r="U613" s="56">
        <v>3</v>
      </c>
    </row>
    <row r="614" spans="1:21" ht="14.25" customHeight="1" thickBot="1" x14ac:dyDescent="0.4">
      <c r="A614" s="58">
        <v>598</v>
      </c>
      <c r="B614" s="69" t="s">
        <v>79</v>
      </c>
      <c r="C614" s="69" t="s">
        <v>80</v>
      </c>
      <c r="D614" s="70" t="s">
        <v>1506</v>
      </c>
      <c r="E614" s="69" t="s">
        <v>3157</v>
      </c>
      <c r="F614" s="69" t="s">
        <v>231</v>
      </c>
      <c r="G614" s="69" t="s">
        <v>54</v>
      </c>
      <c r="H614" s="70">
        <v>2012</v>
      </c>
      <c r="I614" s="69"/>
      <c r="J614" s="69" t="s">
        <v>3193</v>
      </c>
      <c r="K614" s="71" t="s">
        <v>3194</v>
      </c>
      <c r="L614" s="71" t="s">
        <v>3195</v>
      </c>
      <c r="M614" s="71" t="s">
        <v>3196</v>
      </c>
      <c r="N614" s="69" t="s">
        <v>57</v>
      </c>
      <c r="O614" s="64">
        <v>1</v>
      </c>
      <c r="P614" s="72">
        <v>19426600</v>
      </c>
      <c r="Q614" s="69" t="s">
        <v>3197</v>
      </c>
      <c r="R614" s="69"/>
      <c r="S614" s="121" t="s">
        <v>258</v>
      </c>
      <c r="T614" s="56">
        <v>12</v>
      </c>
      <c r="U614" s="56">
        <v>3</v>
      </c>
    </row>
    <row r="615" spans="1:21" ht="14.25" customHeight="1" x14ac:dyDescent="0.35">
      <c r="A615" s="47">
        <v>599</v>
      </c>
      <c r="B615" s="69" t="s">
        <v>79</v>
      </c>
      <c r="C615" s="69" t="s">
        <v>80</v>
      </c>
      <c r="D615" s="70" t="s">
        <v>1520</v>
      </c>
      <c r="E615" s="69" t="s">
        <v>3157</v>
      </c>
      <c r="F615" s="69" t="s">
        <v>231</v>
      </c>
      <c r="G615" s="69" t="s">
        <v>54</v>
      </c>
      <c r="H615" s="70">
        <v>2012</v>
      </c>
      <c r="I615" s="69"/>
      <c r="J615" s="69" t="s">
        <v>3198</v>
      </c>
      <c r="K615" s="71" t="s">
        <v>3199</v>
      </c>
      <c r="L615" s="71" t="s">
        <v>3200</v>
      </c>
      <c r="M615" s="71" t="s">
        <v>3201</v>
      </c>
      <c r="N615" s="69" t="s">
        <v>57</v>
      </c>
      <c r="O615" s="64">
        <v>1</v>
      </c>
      <c r="P615" s="72">
        <v>19426600</v>
      </c>
      <c r="Q615" s="69" t="s">
        <v>3202</v>
      </c>
      <c r="R615" s="69"/>
      <c r="S615" s="121" t="s">
        <v>258</v>
      </c>
      <c r="T615" s="56">
        <v>12</v>
      </c>
      <c r="U615" s="56">
        <v>3</v>
      </c>
    </row>
    <row r="616" spans="1:21" ht="14.25" customHeight="1" thickBot="1" x14ac:dyDescent="0.4">
      <c r="A616" s="58">
        <v>600</v>
      </c>
      <c r="B616" s="69" t="s">
        <v>79</v>
      </c>
      <c r="C616" s="69" t="s">
        <v>80</v>
      </c>
      <c r="D616" s="70" t="s">
        <v>1532</v>
      </c>
      <c r="E616" s="69" t="s">
        <v>3157</v>
      </c>
      <c r="F616" s="69" t="s">
        <v>231</v>
      </c>
      <c r="G616" s="69" t="s">
        <v>54</v>
      </c>
      <c r="H616" s="70">
        <v>2012</v>
      </c>
      <c r="I616" s="69"/>
      <c r="J616" s="69" t="s">
        <v>3203</v>
      </c>
      <c r="K616" s="71" t="s">
        <v>3204</v>
      </c>
      <c r="L616" s="71" t="s">
        <v>3205</v>
      </c>
      <c r="M616" s="71" t="s">
        <v>3206</v>
      </c>
      <c r="N616" s="69" t="s">
        <v>57</v>
      </c>
      <c r="O616" s="64">
        <v>1</v>
      </c>
      <c r="P616" s="72">
        <v>19426600</v>
      </c>
      <c r="Q616" s="69" t="s">
        <v>3207</v>
      </c>
      <c r="R616" s="69"/>
      <c r="S616" s="121" t="s">
        <v>258</v>
      </c>
      <c r="T616" s="56">
        <v>12</v>
      </c>
      <c r="U616" s="56">
        <v>3</v>
      </c>
    </row>
    <row r="617" spans="1:21" ht="14.25" customHeight="1" x14ac:dyDescent="0.35">
      <c r="A617" s="47">
        <v>601</v>
      </c>
      <c r="B617" s="69" t="s">
        <v>79</v>
      </c>
      <c r="C617" s="69" t="s">
        <v>80</v>
      </c>
      <c r="D617" s="70" t="s">
        <v>1537</v>
      </c>
      <c r="E617" s="69" t="s">
        <v>3157</v>
      </c>
      <c r="F617" s="69" t="s">
        <v>231</v>
      </c>
      <c r="G617" s="69" t="s">
        <v>54</v>
      </c>
      <c r="H617" s="70">
        <v>2012</v>
      </c>
      <c r="I617" s="69"/>
      <c r="J617" s="69" t="s">
        <v>3208</v>
      </c>
      <c r="K617" s="71" t="s">
        <v>3209</v>
      </c>
      <c r="L617" s="71" t="s">
        <v>3210</v>
      </c>
      <c r="M617" s="71" t="s">
        <v>3211</v>
      </c>
      <c r="N617" s="69" t="s">
        <v>57</v>
      </c>
      <c r="O617" s="64">
        <v>1</v>
      </c>
      <c r="P617" s="72">
        <v>19426600</v>
      </c>
      <c r="Q617" s="69" t="s">
        <v>3212</v>
      </c>
      <c r="R617" s="69"/>
      <c r="S617" s="121" t="s">
        <v>258</v>
      </c>
      <c r="T617" s="56">
        <v>12</v>
      </c>
      <c r="U617" s="56">
        <v>3</v>
      </c>
    </row>
    <row r="618" spans="1:21" ht="14.25" customHeight="1" thickBot="1" x14ac:dyDescent="0.4">
      <c r="A618" s="58">
        <v>602</v>
      </c>
      <c r="B618" s="69" t="s">
        <v>79</v>
      </c>
      <c r="C618" s="69" t="s">
        <v>80</v>
      </c>
      <c r="D618" s="70" t="s">
        <v>1543</v>
      </c>
      <c r="E618" s="69" t="s">
        <v>3157</v>
      </c>
      <c r="F618" s="69" t="s">
        <v>231</v>
      </c>
      <c r="G618" s="69" t="s">
        <v>54</v>
      </c>
      <c r="H618" s="70">
        <v>2012</v>
      </c>
      <c r="I618" s="69"/>
      <c r="J618" s="69" t="s">
        <v>3213</v>
      </c>
      <c r="K618" s="71" t="s">
        <v>3214</v>
      </c>
      <c r="L618" s="71" t="s">
        <v>3215</v>
      </c>
      <c r="M618" s="71" t="s">
        <v>3216</v>
      </c>
      <c r="N618" s="69" t="s">
        <v>57</v>
      </c>
      <c r="O618" s="64">
        <v>1</v>
      </c>
      <c r="P618" s="72">
        <v>19426600</v>
      </c>
      <c r="Q618" s="69" t="s">
        <v>3217</v>
      </c>
      <c r="R618" s="69"/>
      <c r="S618" s="121" t="s">
        <v>258</v>
      </c>
      <c r="T618" s="56">
        <v>12</v>
      </c>
      <c r="U618" s="56">
        <v>3</v>
      </c>
    </row>
    <row r="619" spans="1:21" ht="14.25" customHeight="1" x14ac:dyDescent="0.35">
      <c r="A619" s="47">
        <v>603</v>
      </c>
      <c r="B619" s="69" t="s">
        <v>79</v>
      </c>
      <c r="C619" s="69" t="s">
        <v>80</v>
      </c>
      <c r="D619" s="70" t="s">
        <v>1548</v>
      </c>
      <c r="E619" s="69" t="s">
        <v>3157</v>
      </c>
      <c r="F619" s="69" t="s">
        <v>231</v>
      </c>
      <c r="G619" s="69" t="s">
        <v>54</v>
      </c>
      <c r="H619" s="70">
        <v>2012</v>
      </c>
      <c r="I619" s="69"/>
      <c r="J619" s="69" t="s">
        <v>3218</v>
      </c>
      <c r="K619" s="71" t="s">
        <v>3219</v>
      </c>
      <c r="L619" s="71" t="s">
        <v>3220</v>
      </c>
      <c r="M619" s="71" t="s">
        <v>3221</v>
      </c>
      <c r="N619" s="69" t="s">
        <v>57</v>
      </c>
      <c r="O619" s="64">
        <v>1</v>
      </c>
      <c r="P619" s="72">
        <v>19426600</v>
      </c>
      <c r="Q619" s="69" t="s">
        <v>3222</v>
      </c>
      <c r="R619" s="69"/>
      <c r="S619" s="121" t="s">
        <v>258</v>
      </c>
      <c r="T619" s="56">
        <v>12</v>
      </c>
      <c r="U619" s="56">
        <v>3</v>
      </c>
    </row>
    <row r="620" spans="1:21" ht="14.25" customHeight="1" thickBot="1" x14ac:dyDescent="0.4">
      <c r="A620" s="58">
        <v>604</v>
      </c>
      <c r="B620" s="69" t="s">
        <v>79</v>
      </c>
      <c r="C620" s="69" t="s">
        <v>80</v>
      </c>
      <c r="D620" s="70" t="s">
        <v>3223</v>
      </c>
      <c r="E620" s="69" t="s">
        <v>3224</v>
      </c>
      <c r="F620" s="69"/>
      <c r="G620" s="69" t="s">
        <v>63</v>
      </c>
      <c r="H620" s="70">
        <v>2024</v>
      </c>
      <c r="I620" s="69" t="s">
        <v>63</v>
      </c>
      <c r="J620" s="69" t="s">
        <v>63</v>
      </c>
      <c r="K620" s="71" t="s">
        <v>63</v>
      </c>
      <c r="L620" s="71" t="s">
        <v>63</v>
      </c>
      <c r="M620" s="71" t="s">
        <v>63</v>
      </c>
      <c r="N620" s="69" t="s">
        <v>44</v>
      </c>
      <c r="O620" s="64">
        <v>1</v>
      </c>
      <c r="P620" s="72">
        <v>74700000</v>
      </c>
      <c r="Q620" s="69" t="s">
        <v>3225</v>
      </c>
      <c r="R620" s="69"/>
      <c r="S620" s="121" t="s">
        <v>258</v>
      </c>
      <c r="T620" s="56">
        <v>12</v>
      </c>
      <c r="U620" s="56">
        <v>3</v>
      </c>
    </row>
    <row r="621" spans="1:21" ht="14.25" customHeight="1" x14ac:dyDescent="0.35">
      <c r="A621" s="47">
        <v>605</v>
      </c>
      <c r="B621" s="69" t="s">
        <v>2244</v>
      </c>
      <c r="C621" s="69" t="s">
        <v>2245</v>
      </c>
      <c r="D621" s="70" t="s">
        <v>3226</v>
      </c>
      <c r="E621" s="69" t="s">
        <v>3227</v>
      </c>
      <c r="F621" s="69"/>
      <c r="G621" s="69" t="s">
        <v>54</v>
      </c>
      <c r="H621" s="70">
        <v>2008</v>
      </c>
      <c r="I621" s="69"/>
      <c r="J621" s="69"/>
      <c r="K621" s="71"/>
      <c r="L621" s="71"/>
      <c r="M621" s="71"/>
      <c r="N621" s="69" t="s">
        <v>57</v>
      </c>
      <c r="O621" s="64">
        <v>1</v>
      </c>
      <c r="P621" s="72">
        <v>51000000</v>
      </c>
      <c r="Q621" s="69" t="s">
        <v>3228</v>
      </c>
      <c r="R621" s="69"/>
      <c r="S621" s="121" t="s">
        <v>258</v>
      </c>
      <c r="T621" s="56">
        <v>12</v>
      </c>
      <c r="U621" s="56">
        <v>3</v>
      </c>
    </row>
    <row r="622" spans="1:21" ht="14.25" customHeight="1" thickBot="1" x14ac:dyDescent="0.4">
      <c r="A622" s="58">
        <v>606</v>
      </c>
      <c r="B622" s="69" t="s">
        <v>2244</v>
      </c>
      <c r="C622" s="69" t="s">
        <v>2245</v>
      </c>
      <c r="D622" s="70" t="s">
        <v>97</v>
      </c>
      <c r="E622" s="69" t="s">
        <v>2607</v>
      </c>
      <c r="F622" s="69" t="s">
        <v>231</v>
      </c>
      <c r="G622" s="69" t="s">
        <v>2955</v>
      </c>
      <c r="H622" s="70">
        <v>2015</v>
      </c>
      <c r="I622" s="69"/>
      <c r="J622" s="69" t="s">
        <v>3229</v>
      </c>
      <c r="K622" s="71" t="s">
        <v>3230</v>
      </c>
      <c r="L622" s="71" t="s">
        <v>3231</v>
      </c>
      <c r="M622" s="71" t="s">
        <v>3232</v>
      </c>
      <c r="N622" s="69" t="s">
        <v>57</v>
      </c>
      <c r="O622" s="64">
        <v>1</v>
      </c>
      <c r="P622" s="72">
        <v>33600000</v>
      </c>
      <c r="Q622" s="69" t="s">
        <v>3167</v>
      </c>
      <c r="R622" s="69"/>
      <c r="S622" s="121" t="s">
        <v>258</v>
      </c>
      <c r="T622" s="56">
        <v>12</v>
      </c>
      <c r="U622" s="56">
        <v>3</v>
      </c>
    </row>
    <row r="623" spans="1:21" ht="14.25" customHeight="1" x14ac:dyDescent="0.35">
      <c r="A623" s="47">
        <v>607</v>
      </c>
      <c r="B623" s="69" t="s">
        <v>2244</v>
      </c>
      <c r="C623" s="69" t="s">
        <v>2245</v>
      </c>
      <c r="D623" s="70" t="s">
        <v>101</v>
      </c>
      <c r="E623" s="69" t="s">
        <v>2607</v>
      </c>
      <c r="F623" s="69" t="s">
        <v>231</v>
      </c>
      <c r="G623" s="69" t="s">
        <v>140</v>
      </c>
      <c r="H623" s="70">
        <v>2015</v>
      </c>
      <c r="I623" s="69"/>
      <c r="J623" s="69" t="s">
        <v>3233</v>
      </c>
      <c r="K623" s="71" t="s">
        <v>3234</v>
      </c>
      <c r="L623" s="71" t="s">
        <v>3235</v>
      </c>
      <c r="M623" s="71" t="s">
        <v>3236</v>
      </c>
      <c r="N623" s="69" t="s">
        <v>57</v>
      </c>
      <c r="O623" s="64">
        <v>1</v>
      </c>
      <c r="P623" s="72">
        <v>33600000</v>
      </c>
      <c r="Q623" s="69" t="s">
        <v>3237</v>
      </c>
      <c r="R623" s="69"/>
      <c r="S623" s="121" t="s">
        <v>258</v>
      </c>
      <c r="T623" s="56">
        <v>12</v>
      </c>
      <c r="U623" s="56">
        <v>3</v>
      </c>
    </row>
    <row r="624" spans="1:21" ht="14.25" customHeight="1" thickBot="1" x14ac:dyDescent="0.4">
      <c r="A624" s="58">
        <v>608</v>
      </c>
      <c r="B624" s="69" t="s">
        <v>2685</v>
      </c>
      <c r="C624" s="69" t="s">
        <v>2686</v>
      </c>
      <c r="D624" s="70" t="s">
        <v>51</v>
      </c>
      <c r="E624" s="69" t="s">
        <v>3238</v>
      </c>
      <c r="F624" s="69"/>
      <c r="G624" s="69" t="s">
        <v>54</v>
      </c>
      <c r="H624" s="70">
        <v>2016</v>
      </c>
      <c r="I624" s="69"/>
      <c r="J624" s="69"/>
      <c r="K624" s="71"/>
      <c r="L624" s="71"/>
      <c r="M624" s="71"/>
      <c r="N624" s="69" t="s">
        <v>57</v>
      </c>
      <c r="O624" s="64">
        <v>1</v>
      </c>
      <c r="P624" s="72">
        <v>31488000</v>
      </c>
      <c r="Q624" s="69" t="s">
        <v>3239</v>
      </c>
      <c r="R624" s="69"/>
      <c r="S624" s="121" t="s">
        <v>258</v>
      </c>
      <c r="T624" s="56">
        <v>12</v>
      </c>
      <c r="U624" s="56">
        <v>3</v>
      </c>
    </row>
    <row r="625" spans="1:21" ht="14.25" customHeight="1" x14ac:dyDescent="0.35">
      <c r="A625" s="47">
        <v>609</v>
      </c>
      <c r="B625" s="69" t="s">
        <v>2020</v>
      </c>
      <c r="C625" s="69" t="s">
        <v>2021</v>
      </c>
      <c r="D625" s="70" t="s">
        <v>97</v>
      </c>
      <c r="E625" s="69" t="s">
        <v>3240</v>
      </c>
      <c r="F625" s="69" t="s">
        <v>3241</v>
      </c>
      <c r="G625" s="69" t="s">
        <v>54</v>
      </c>
      <c r="H625" s="70">
        <v>2018</v>
      </c>
      <c r="I625" s="69" t="s">
        <v>63</v>
      </c>
      <c r="J625" s="69" t="s">
        <v>3242</v>
      </c>
      <c r="K625" s="71" t="s">
        <v>3243</v>
      </c>
      <c r="L625" s="71" t="s">
        <v>3244</v>
      </c>
      <c r="M625" s="71" t="s">
        <v>3245</v>
      </c>
      <c r="N625" s="69" t="s">
        <v>57</v>
      </c>
      <c r="O625" s="64">
        <v>1</v>
      </c>
      <c r="P625" s="72">
        <v>438265600</v>
      </c>
      <c r="Q625" s="69" t="s">
        <v>3246</v>
      </c>
      <c r="R625" s="69"/>
      <c r="S625" s="121" t="s">
        <v>283</v>
      </c>
      <c r="T625" s="56">
        <v>13</v>
      </c>
      <c r="U625" s="56">
        <v>6</v>
      </c>
    </row>
    <row r="626" spans="1:21" ht="14.25" customHeight="1" thickBot="1" x14ac:dyDescent="0.4">
      <c r="A626" s="58">
        <v>610</v>
      </c>
      <c r="B626" s="69" t="s">
        <v>2020</v>
      </c>
      <c r="C626" s="69" t="s">
        <v>2021</v>
      </c>
      <c r="D626" s="70" t="s">
        <v>101</v>
      </c>
      <c r="E626" s="69" t="s">
        <v>3247</v>
      </c>
      <c r="F626" s="69" t="s">
        <v>2023</v>
      </c>
      <c r="G626" s="69" t="s">
        <v>54</v>
      </c>
      <c r="H626" s="70">
        <v>2022</v>
      </c>
      <c r="I626" s="69" t="s">
        <v>63</v>
      </c>
      <c r="J626" s="69" t="s">
        <v>3248</v>
      </c>
      <c r="K626" s="71" t="s">
        <v>3249</v>
      </c>
      <c r="L626" s="71" t="s">
        <v>3250</v>
      </c>
      <c r="M626" s="71" t="s">
        <v>3251</v>
      </c>
      <c r="N626" s="69" t="s">
        <v>44</v>
      </c>
      <c r="O626" s="64">
        <v>1</v>
      </c>
      <c r="P626" s="72">
        <v>622061000</v>
      </c>
      <c r="Q626" s="69"/>
      <c r="R626" s="69"/>
      <c r="S626" s="121" t="s">
        <v>283</v>
      </c>
      <c r="T626" s="56">
        <v>13</v>
      </c>
      <c r="U626" s="56">
        <v>6</v>
      </c>
    </row>
    <row r="627" spans="1:21" ht="14.25" customHeight="1" x14ac:dyDescent="0.35">
      <c r="A627" s="47">
        <v>611</v>
      </c>
      <c r="B627" s="69" t="s">
        <v>2020</v>
      </c>
      <c r="C627" s="69" t="s">
        <v>2021</v>
      </c>
      <c r="D627" s="70" t="s">
        <v>107</v>
      </c>
      <c r="E627" s="69" t="s">
        <v>3252</v>
      </c>
      <c r="F627" s="69">
        <v>4009</v>
      </c>
      <c r="G627" s="69" t="s">
        <v>140</v>
      </c>
      <c r="H627" s="70">
        <v>2023</v>
      </c>
      <c r="I627" s="69" t="s">
        <v>63</v>
      </c>
      <c r="J627" s="69" t="s">
        <v>3253</v>
      </c>
      <c r="K627" s="71" t="s">
        <v>3254</v>
      </c>
      <c r="L627" s="71" t="s">
        <v>3255</v>
      </c>
      <c r="M627" s="71" t="s">
        <v>3256</v>
      </c>
      <c r="N627" s="69" t="s">
        <v>44</v>
      </c>
      <c r="O627" s="64">
        <v>1</v>
      </c>
      <c r="P627" s="72">
        <v>562700000</v>
      </c>
      <c r="Q627" s="69" t="s">
        <v>3257</v>
      </c>
      <c r="R627" s="69"/>
      <c r="S627" s="121" t="s">
        <v>283</v>
      </c>
      <c r="T627" s="56">
        <v>13</v>
      </c>
      <c r="U627" s="56">
        <v>6</v>
      </c>
    </row>
    <row r="628" spans="1:21" ht="14.25" customHeight="1" thickBot="1" x14ac:dyDescent="0.4">
      <c r="A628" s="58">
        <v>612</v>
      </c>
      <c r="B628" s="69" t="s">
        <v>3258</v>
      </c>
      <c r="C628" s="69" t="s">
        <v>3259</v>
      </c>
      <c r="D628" s="70" t="s">
        <v>51</v>
      </c>
      <c r="E628" s="69" t="s">
        <v>3260</v>
      </c>
      <c r="F628" s="69"/>
      <c r="G628" s="69" t="s">
        <v>140</v>
      </c>
      <c r="H628" s="70">
        <v>2025</v>
      </c>
      <c r="I628" s="69" t="s">
        <v>63</v>
      </c>
      <c r="J628" s="69" t="s">
        <v>3261</v>
      </c>
      <c r="K628" s="71" t="s">
        <v>3262</v>
      </c>
      <c r="L628" s="71" t="s">
        <v>3263</v>
      </c>
      <c r="M628" s="71" t="s">
        <v>3264</v>
      </c>
      <c r="N628" s="69" t="s">
        <v>44</v>
      </c>
      <c r="O628" s="64">
        <v>1</v>
      </c>
      <c r="P628" s="72">
        <v>478000000</v>
      </c>
      <c r="Q628" s="69" t="s">
        <v>3265</v>
      </c>
      <c r="R628" s="69"/>
      <c r="S628" s="121" t="s">
        <v>283</v>
      </c>
      <c r="T628" s="56">
        <v>13</v>
      </c>
      <c r="U628" s="56">
        <v>4</v>
      </c>
    </row>
    <row r="629" spans="1:21" ht="14.25" customHeight="1" x14ac:dyDescent="0.35">
      <c r="A629" s="47">
        <v>613</v>
      </c>
      <c r="B629" s="69" t="s">
        <v>2064</v>
      </c>
      <c r="C629" s="69" t="s">
        <v>2065</v>
      </c>
      <c r="D629" s="70" t="s">
        <v>51</v>
      </c>
      <c r="E629" s="69" t="s">
        <v>3266</v>
      </c>
      <c r="F629" s="69" t="s">
        <v>2023</v>
      </c>
      <c r="G629" s="69" t="s">
        <v>140</v>
      </c>
      <c r="H629" s="70">
        <v>2017</v>
      </c>
      <c r="I629" s="69" t="s">
        <v>63</v>
      </c>
      <c r="J629" s="69" t="s">
        <v>3267</v>
      </c>
      <c r="K629" s="71" t="s">
        <v>3268</v>
      </c>
      <c r="L629" s="71" t="s">
        <v>3269</v>
      </c>
      <c r="M629" s="71" t="s">
        <v>3270</v>
      </c>
      <c r="N629" s="69" t="s">
        <v>57</v>
      </c>
      <c r="O629" s="64">
        <v>1</v>
      </c>
      <c r="P629" s="72">
        <v>361368200</v>
      </c>
      <c r="Q629" s="69" t="s">
        <v>3271</v>
      </c>
      <c r="R629" s="69"/>
      <c r="S629" s="121" t="s">
        <v>283</v>
      </c>
      <c r="T629" s="56">
        <v>13</v>
      </c>
      <c r="U629" s="56">
        <v>6</v>
      </c>
    </row>
    <row r="630" spans="1:21" ht="14.25" customHeight="1" thickBot="1" x14ac:dyDescent="0.4">
      <c r="A630" s="58">
        <v>614</v>
      </c>
      <c r="B630" s="69" t="s">
        <v>2064</v>
      </c>
      <c r="C630" s="69" t="s">
        <v>2065</v>
      </c>
      <c r="D630" s="70" t="s">
        <v>59</v>
      </c>
      <c r="E630" s="69" t="s">
        <v>3266</v>
      </c>
      <c r="F630" s="69" t="s">
        <v>2023</v>
      </c>
      <c r="G630" s="69" t="s">
        <v>140</v>
      </c>
      <c r="H630" s="70">
        <v>2017</v>
      </c>
      <c r="I630" s="69" t="s">
        <v>63</v>
      </c>
      <c r="J630" s="69" t="s">
        <v>3272</v>
      </c>
      <c r="K630" s="71" t="s">
        <v>3273</v>
      </c>
      <c r="L630" s="71" t="s">
        <v>3274</v>
      </c>
      <c r="M630" s="71" t="s">
        <v>3275</v>
      </c>
      <c r="N630" s="69" t="s">
        <v>57</v>
      </c>
      <c r="O630" s="64">
        <v>1</v>
      </c>
      <c r="P630" s="72">
        <v>361368200</v>
      </c>
      <c r="Q630" s="69" t="s">
        <v>3271</v>
      </c>
      <c r="R630" s="69"/>
      <c r="S630" s="121" t="s">
        <v>283</v>
      </c>
      <c r="T630" s="56">
        <v>13</v>
      </c>
      <c r="U630" s="56">
        <v>6</v>
      </c>
    </row>
    <row r="631" spans="1:21" ht="14.25" customHeight="1" x14ac:dyDescent="0.35">
      <c r="A631" s="47">
        <v>615</v>
      </c>
      <c r="B631" s="69" t="s">
        <v>70</v>
      </c>
      <c r="C631" s="69" t="s">
        <v>71</v>
      </c>
      <c r="D631" s="70" t="s">
        <v>51</v>
      </c>
      <c r="E631" s="69" t="s">
        <v>3276</v>
      </c>
      <c r="F631" s="69" t="s">
        <v>2015</v>
      </c>
      <c r="G631" s="69" t="s">
        <v>247</v>
      </c>
      <c r="H631" s="70">
        <v>2008</v>
      </c>
      <c r="I631" s="69" t="s">
        <v>63</v>
      </c>
      <c r="J631" s="69" t="s">
        <v>3277</v>
      </c>
      <c r="K631" s="71" t="s">
        <v>3278</v>
      </c>
      <c r="L631" s="71" t="s">
        <v>3279</v>
      </c>
      <c r="M631" s="71" t="s">
        <v>63</v>
      </c>
      <c r="N631" s="69" t="s">
        <v>57</v>
      </c>
      <c r="O631" s="64">
        <v>1</v>
      </c>
      <c r="P631" s="72">
        <v>149625000</v>
      </c>
      <c r="Q631" s="69" t="s">
        <v>3280</v>
      </c>
      <c r="R631" s="69"/>
      <c r="S631" s="121" t="s">
        <v>283</v>
      </c>
      <c r="T631" s="56">
        <v>13</v>
      </c>
      <c r="U631" s="56">
        <v>4</v>
      </c>
    </row>
    <row r="632" spans="1:21" ht="14.25" customHeight="1" thickBot="1" x14ac:dyDescent="0.4">
      <c r="A632" s="58">
        <v>616</v>
      </c>
      <c r="B632" s="69" t="s">
        <v>70</v>
      </c>
      <c r="C632" s="69" t="s">
        <v>71</v>
      </c>
      <c r="D632" s="70" t="s">
        <v>59</v>
      </c>
      <c r="E632" s="69" t="s">
        <v>3281</v>
      </c>
      <c r="F632" s="69" t="s">
        <v>1582</v>
      </c>
      <c r="G632" s="69" t="s">
        <v>140</v>
      </c>
      <c r="H632" s="70">
        <v>2017</v>
      </c>
      <c r="I632" s="69" t="s">
        <v>63</v>
      </c>
      <c r="J632" s="69" t="s">
        <v>3282</v>
      </c>
      <c r="K632" s="71" t="s">
        <v>3283</v>
      </c>
      <c r="L632" s="71" t="s">
        <v>3284</v>
      </c>
      <c r="M632" s="71" t="s">
        <v>3285</v>
      </c>
      <c r="N632" s="69" t="s">
        <v>57</v>
      </c>
      <c r="O632" s="64">
        <v>1</v>
      </c>
      <c r="P632" s="72">
        <v>147400000</v>
      </c>
      <c r="Q632" s="69" t="s">
        <v>3271</v>
      </c>
      <c r="R632" s="69"/>
      <c r="S632" s="121" t="s">
        <v>283</v>
      </c>
      <c r="T632" s="56">
        <v>13</v>
      </c>
      <c r="U632" s="56">
        <v>4</v>
      </c>
    </row>
    <row r="633" spans="1:21" ht="14.25" customHeight="1" x14ac:dyDescent="0.35">
      <c r="A633" s="47">
        <v>617</v>
      </c>
      <c r="B633" s="69" t="s">
        <v>70</v>
      </c>
      <c r="C633" s="69" t="s">
        <v>71</v>
      </c>
      <c r="D633" s="70" t="s">
        <v>904</v>
      </c>
      <c r="E633" s="69" t="s">
        <v>3286</v>
      </c>
      <c r="F633" s="69" t="s">
        <v>3287</v>
      </c>
      <c r="G633" s="69" t="s">
        <v>54</v>
      </c>
      <c r="H633" s="70">
        <v>2022</v>
      </c>
      <c r="I633" s="69" t="s">
        <v>63</v>
      </c>
      <c r="J633" s="69" t="s">
        <v>3288</v>
      </c>
      <c r="K633" s="71" t="s">
        <v>3289</v>
      </c>
      <c r="L633" s="71" t="s">
        <v>3290</v>
      </c>
      <c r="M633" s="71" t="s">
        <v>3291</v>
      </c>
      <c r="N633" s="69" t="s">
        <v>44</v>
      </c>
      <c r="O633" s="64">
        <v>1</v>
      </c>
      <c r="P633" s="72">
        <v>499333500</v>
      </c>
      <c r="Q633" s="69" t="s">
        <v>3292</v>
      </c>
      <c r="R633" s="69"/>
      <c r="S633" s="121" t="s">
        <v>283</v>
      </c>
      <c r="T633" s="56">
        <v>13</v>
      </c>
      <c r="U633" s="56">
        <v>4</v>
      </c>
    </row>
    <row r="634" spans="1:21" ht="14.25" customHeight="1" thickBot="1" x14ac:dyDescent="0.4">
      <c r="A634" s="58">
        <v>618</v>
      </c>
      <c r="B634" s="69" t="s">
        <v>70</v>
      </c>
      <c r="C634" s="69" t="s">
        <v>71</v>
      </c>
      <c r="D634" s="70" t="s">
        <v>122</v>
      </c>
      <c r="E634" s="69" t="s">
        <v>3293</v>
      </c>
      <c r="F634" s="69">
        <v>2393</v>
      </c>
      <c r="G634" s="69" t="s">
        <v>140</v>
      </c>
      <c r="H634" s="70">
        <v>2023</v>
      </c>
      <c r="I634" s="69" t="s">
        <v>63</v>
      </c>
      <c r="J634" s="69" t="s">
        <v>3294</v>
      </c>
      <c r="K634" s="71" t="s">
        <v>3295</v>
      </c>
      <c r="L634" s="71" t="s">
        <v>3296</v>
      </c>
      <c r="M634" s="71" t="s">
        <v>3297</v>
      </c>
      <c r="N634" s="69" t="s">
        <v>44</v>
      </c>
      <c r="O634" s="64">
        <v>1</v>
      </c>
      <c r="P634" s="72">
        <v>519700000</v>
      </c>
      <c r="Q634" s="69" t="s">
        <v>3298</v>
      </c>
      <c r="R634" s="69"/>
      <c r="S634" s="121" t="s">
        <v>283</v>
      </c>
      <c r="T634" s="56">
        <v>13</v>
      </c>
      <c r="U634" s="56">
        <v>4</v>
      </c>
    </row>
    <row r="635" spans="1:21" ht="14.25" customHeight="1" x14ac:dyDescent="0.35">
      <c r="A635" s="47">
        <v>619</v>
      </c>
      <c r="B635" s="69" t="s">
        <v>79</v>
      </c>
      <c r="C635" s="69" t="s">
        <v>80</v>
      </c>
      <c r="D635" s="70" t="s">
        <v>51</v>
      </c>
      <c r="E635" s="69" t="s">
        <v>147</v>
      </c>
      <c r="F635" s="69" t="s">
        <v>148</v>
      </c>
      <c r="G635" s="69" t="s">
        <v>140</v>
      </c>
      <c r="H635" s="70">
        <v>2015</v>
      </c>
      <c r="I635" s="69"/>
      <c r="J635" s="69" t="s">
        <v>3299</v>
      </c>
      <c r="K635" s="71" t="s">
        <v>3300</v>
      </c>
      <c r="L635" s="71" t="s">
        <v>3301</v>
      </c>
      <c r="M635" s="71" t="s">
        <v>3302</v>
      </c>
      <c r="N635" s="69" t="s">
        <v>57</v>
      </c>
      <c r="O635" s="64">
        <v>1</v>
      </c>
      <c r="P635" s="72">
        <v>19430000</v>
      </c>
      <c r="Q635" s="69" t="s">
        <v>3303</v>
      </c>
      <c r="R635" s="69"/>
      <c r="S635" s="121" t="s">
        <v>283</v>
      </c>
      <c r="T635" s="56">
        <v>13</v>
      </c>
      <c r="U635" s="56">
        <v>3</v>
      </c>
    </row>
    <row r="636" spans="1:21" ht="14.25" customHeight="1" thickBot="1" x14ac:dyDescent="0.4">
      <c r="A636" s="58">
        <v>620</v>
      </c>
      <c r="B636" s="69" t="s">
        <v>79</v>
      </c>
      <c r="C636" s="69" t="s">
        <v>80</v>
      </c>
      <c r="D636" s="70" t="s">
        <v>59</v>
      </c>
      <c r="E636" s="69" t="s">
        <v>3304</v>
      </c>
      <c r="F636" s="69" t="s">
        <v>443</v>
      </c>
      <c r="G636" s="69" t="s">
        <v>54</v>
      </c>
      <c r="H636" s="70">
        <v>2013</v>
      </c>
      <c r="I636" s="69" t="s">
        <v>63</v>
      </c>
      <c r="J636" s="69" t="s">
        <v>3305</v>
      </c>
      <c r="K636" s="71" t="s">
        <v>3306</v>
      </c>
      <c r="L636" s="71" t="s">
        <v>3307</v>
      </c>
      <c r="M636" s="71" t="s">
        <v>3308</v>
      </c>
      <c r="N636" s="69" t="s">
        <v>57</v>
      </c>
      <c r="O636" s="64">
        <v>1</v>
      </c>
      <c r="P636" s="72">
        <v>13055500</v>
      </c>
      <c r="Q636" s="69" t="s">
        <v>283</v>
      </c>
      <c r="R636" s="69"/>
      <c r="S636" s="121" t="s">
        <v>283</v>
      </c>
      <c r="T636" s="56">
        <v>13</v>
      </c>
      <c r="U636" s="56">
        <v>3</v>
      </c>
    </row>
    <row r="637" spans="1:21" ht="14.25" customHeight="1" x14ac:dyDescent="0.35">
      <c r="A637" s="47">
        <v>621</v>
      </c>
      <c r="B637" s="69" t="s">
        <v>79</v>
      </c>
      <c r="C637" s="69" t="s">
        <v>80</v>
      </c>
      <c r="D637" s="70" t="s">
        <v>97</v>
      </c>
      <c r="E637" s="69" t="s">
        <v>3309</v>
      </c>
      <c r="F637" s="69" t="s">
        <v>163</v>
      </c>
      <c r="G637" s="69" t="s">
        <v>140</v>
      </c>
      <c r="H637" s="70">
        <v>2014</v>
      </c>
      <c r="I637" s="69"/>
      <c r="J637" s="69" t="s">
        <v>3310</v>
      </c>
      <c r="K637" s="71" t="s">
        <v>3311</v>
      </c>
      <c r="L637" s="71" t="s">
        <v>3312</v>
      </c>
      <c r="M637" s="71" t="s">
        <v>3313</v>
      </c>
      <c r="N637" s="69" t="s">
        <v>57</v>
      </c>
      <c r="O637" s="64">
        <v>1</v>
      </c>
      <c r="P637" s="72">
        <v>14403120</v>
      </c>
      <c r="Q637" s="69" t="s">
        <v>3314</v>
      </c>
      <c r="R637" s="69"/>
      <c r="S637" s="121" t="s">
        <v>283</v>
      </c>
      <c r="T637" s="56">
        <v>13</v>
      </c>
      <c r="U637" s="56">
        <v>3</v>
      </c>
    </row>
    <row r="638" spans="1:21" ht="14.25" customHeight="1" thickBot="1" x14ac:dyDescent="0.4">
      <c r="A638" s="58">
        <v>622</v>
      </c>
      <c r="B638" s="69" t="s">
        <v>79</v>
      </c>
      <c r="C638" s="69" t="s">
        <v>80</v>
      </c>
      <c r="D638" s="70" t="s">
        <v>101</v>
      </c>
      <c r="E638" s="69" t="s">
        <v>1377</v>
      </c>
      <c r="F638" s="69" t="s">
        <v>1378</v>
      </c>
      <c r="G638" s="69" t="s">
        <v>140</v>
      </c>
      <c r="H638" s="70">
        <v>2014</v>
      </c>
      <c r="I638" s="69"/>
      <c r="J638" s="69" t="s">
        <v>3315</v>
      </c>
      <c r="K638" s="71" t="s">
        <v>3316</v>
      </c>
      <c r="L638" s="71" t="s">
        <v>3317</v>
      </c>
      <c r="M638" s="71" t="s">
        <v>3318</v>
      </c>
      <c r="N638" s="69" t="s">
        <v>57</v>
      </c>
      <c r="O638" s="64">
        <v>1</v>
      </c>
      <c r="P638" s="72">
        <v>19189533</v>
      </c>
      <c r="Q638" s="69" t="s">
        <v>283</v>
      </c>
      <c r="R638" s="69"/>
      <c r="S638" s="121" t="s">
        <v>283</v>
      </c>
      <c r="T638" s="56">
        <v>13</v>
      </c>
      <c r="U638" s="56">
        <v>3</v>
      </c>
    </row>
    <row r="639" spans="1:21" ht="14.25" customHeight="1" x14ac:dyDescent="0.35">
      <c r="A639" s="47">
        <v>623</v>
      </c>
      <c r="B639" s="69" t="s">
        <v>79</v>
      </c>
      <c r="C639" s="69" t="s">
        <v>80</v>
      </c>
      <c r="D639" s="70" t="s">
        <v>107</v>
      </c>
      <c r="E639" s="69" t="s">
        <v>1860</v>
      </c>
      <c r="F639" s="69" t="s">
        <v>202</v>
      </c>
      <c r="G639" s="69" t="s">
        <v>54</v>
      </c>
      <c r="H639" s="70">
        <v>2012</v>
      </c>
      <c r="I639" s="69"/>
      <c r="J639" s="69" t="s">
        <v>3319</v>
      </c>
      <c r="K639" s="71" t="s">
        <v>3320</v>
      </c>
      <c r="L639" s="71" t="s">
        <v>3321</v>
      </c>
      <c r="M639" s="71" t="s">
        <v>3322</v>
      </c>
      <c r="N639" s="69" t="s">
        <v>57</v>
      </c>
      <c r="O639" s="64">
        <v>1</v>
      </c>
      <c r="P639" s="72">
        <v>13177550</v>
      </c>
      <c r="Q639" s="69" t="s">
        <v>3303</v>
      </c>
      <c r="R639" s="69"/>
      <c r="S639" s="121" t="s">
        <v>283</v>
      </c>
      <c r="T639" s="56">
        <v>13</v>
      </c>
      <c r="U639" s="56">
        <v>3</v>
      </c>
    </row>
    <row r="640" spans="1:21" ht="14.25" customHeight="1" thickBot="1" x14ac:dyDescent="0.4">
      <c r="A640" s="58">
        <v>624</v>
      </c>
      <c r="B640" s="69" t="s">
        <v>79</v>
      </c>
      <c r="C640" s="69" t="s">
        <v>80</v>
      </c>
      <c r="D640" s="70" t="s">
        <v>112</v>
      </c>
      <c r="E640" s="69" t="s">
        <v>3304</v>
      </c>
      <c r="F640" s="69" t="s">
        <v>443</v>
      </c>
      <c r="G640" s="69" t="s">
        <v>54</v>
      </c>
      <c r="H640" s="70">
        <v>2013</v>
      </c>
      <c r="I640" s="69" t="s">
        <v>63</v>
      </c>
      <c r="J640" s="69" t="s">
        <v>3323</v>
      </c>
      <c r="K640" s="71" t="s">
        <v>3324</v>
      </c>
      <c r="L640" s="71" t="s">
        <v>3325</v>
      </c>
      <c r="M640" s="71" t="s">
        <v>3326</v>
      </c>
      <c r="N640" s="69" t="s">
        <v>57</v>
      </c>
      <c r="O640" s="64">
        <v>1</v>
      </c>
      <c r="P640" s="72">
        <v>13055500</v>
      </c>
      <c r="Q640" s="69" t="s">
        <v>283</v>
      </c>
      <c r="R640" s="69"/>
      <c r="S640" s="121" t="s">
        <v>283</v>
      </c>
      <c r="T640" s="56">
        <v>13</v>
      </c>
      <c r="U640" s="56">
        <v>3</v>
      </c>
    </row>
    <row r="641" spans="1:21" ht="14.25" customHeight="1" x14ac:dyDescent="0.35">
      <c r="A641" s="47">
        <v>625</v>
      </c>
      <c r="B641" s="69" t="s">
        <v>79</v>
      </c>
      <c r="C641" s="69" t="s">
        <v>80</v>
      </c>
      <c r="D641" s="70" t="s">
        <v>116</v>
      </c>
      <c r="E641" s="69" t="s">
        <v>3089</v>
      </c>
      <c r="F641" s="69" t="s">
        <v>1433</v>
      </c>
      <c r="G641" s="69" t="s">
        <v>54</v>
      </c>
      <c r="H641" s="70">
        <v>2012</v>
      </c>
      <c r="I641" s="69"/>
      <c r="J641" s="69" t="s">
        <v>3327</v>
      </c>
      <c r="K641" s="71" t="s">
        <v>3328</v>
      </c>
      <c r="L641" s="71" t="s">
        <v>3329</v>
      </c>
      <c r="M641" s="71" t="s">
        <v>3330</v>
      </c>
      <c r="N641" s="69" t="s">
        <v>57</v>
      </c>
      <c r="O641" s="64">
        <v>1</v>
      </c>
      <c r="P641" s="72">
        <v>15459150</v>
      </c>
      <c r="Q641" s="69"/>
      <c r="R641" s="69"/>
      <c r="S641" s="121" t="s">
        <v>283</v>
      </c>
      <c r="T641" s="56">
        <v>13</v>
      </c>
      <c r="U641" s="56">
        <v>3</v>
      </c>
    </row>
    <row r="642" spans="1:21" ht="14.25" customHeight="1" thickBot="1" x14ac:dyDescent="0.4">
      <c r="A642" s="58">
        <v>626</v>
      </c>
      <c r="B642" s="69" t="s">
        <v>79</v>
      </c>
      <c r="C642" s="69" t="s">
        <v>80</v>
      </c>
      <c r="D642" s="70" t="s">
        <v>841</v>
      </c>
      <c r="E642" s="69" t="s">
        <v>3331</v>
      </c>
      <c r="F642" s="69" t="s">
        <v>231</v>
      </c>
      <c r="G642" s="69" t="s">
        <v>2955</v>
      </c>
      <c r="H642" s="70">
        <v>2014</v>
      </c>
      <c r="I642" s="69"/>
      <c r="J642" s="69" t="s">
        <v>3332</v>
      </c>
      <c r="K642" s="71" t="s">
        <v>3333</v>
      </c>
      <c r="L642" s="71" t="s">
        <v>3334</v>
      </c>
      <c r="M642" s="71" t="s">
        <v>3335</v>
      </c>
      <c r="N642" s="69" t="s">
        <v>57</v>
      </c>
      <c r="O642" s="64">
        <v>1</v>
      </c>
      <c r="P642" s="72">
        <v>27500000</v>
      </c>
      <c r="Q642" s="69" t="s">
        <v>3303</v>
      </c>
      <c r="R642" s="69"/>
      <c r="S642" s="121" t="s">
        <v>283</v>
      </c>
      <c r="T642" s="56">
        <v>13</v>
      </c>
      <c r="U642" s="56">
        <v>3</v>
      </c>
    </row>
    <row r="643" spans="1:21" ht="14.25" customHeight="1" x14ac:dyDescent="0.35">
      <c r="A643" s="47">
        <v>627</v>
      </c>
      <c r="B643" s="69" t="s">
        <v>79</v>
      </c>
      <c r="C643" s="69" t="s">
        <v>80</v>
      </c>
      <c r="D643" s="70" t="s">
        <v>904</v>
      </c>
      <c r="E643" s="69" t="s">
        <v>1110</v>
      </c>
      <c r="F643" s="69" t="s">
        <v>163</v>
      </c>
      <c r="G643" s="69" t="s">
        <v>140</v>
      </c>
      <c r="H643" s="70">
        <v>2017</v>
      </c>
      <c r="I643" s="69" t="s">
        <v>63</v>
      </c>
      <c r="J643" s="69" t="s">
        <v>3336</v>
      </c>
      <c r="K643" s="71" t="s">
        <v>3337</v>
      </c>
      <c r="L643" s="71" t="s">
        <v>3338</v>
      </c>
      <c r="M643" s="71" t="s">
        <v>3339</v>
      </c>
      <c r="N643" s="69" t="s">
        <v>57</v>
      </c>
      <c r="O643" s="64">
        <v>1</v>
      </c>
      <c r="P643" s="72">
        <v>15846600</v>
      </c>
      <c r="Q643" s="69" t="s">
        <v>3271</v>
      </c>
      <c r="R643" s="69"/>
      <c r="S643" s="121" t="s">
        <v>283</v>
      </c>
      <c r="T643" s="56">
        <v>13</v>
      </c>
      <c r="U643" s="56">
        <v>3</v>
      </c>
    </row>
    <row r="644" spans="1:21" ht="14.25" customHeight="1" thickBot="1" x14ac:dyDescent="0.4">
      <c r="A644" s="58">
        <v>628</v>
      </c>
      <c r="B644" s="69" t="s">
        <v>79</v>
      </c>
      <c r="C644" s="69" t="s">
        <v>80</v>
      </c>
      <c r="D644" s="70" t="s">
        <v>122</v>
      </c>
      <c r="E644" s="69" t="s">
        <v>3340</v>
      </c>
      <c r="F644" s="69" t="s">
        <v>246</v>
      </c>
      <c r="G644" s="69" t="s">
        <v>54</v>
      </c>
      <c r="H644" s="70">
        <v>2022</v>
      </c>
      <c r="I644" s="69" t="s">
        <v>63</v>
      </c>
      <c r="J644" s="69" t="s">
        <v>3341</v>
      </c>
      <c r="K644" s="71" t="s">
        <v>3342</v>
      </c>
      <c r="L644" s="71" t="s">
        <v>3343</v>
      </c>
      <c r="M644" s="71" t="s">
        <v>3344</v>
      </c>
      <c r="N644" s="69" t="s">
        <v>44</v>
      </c>
      <c r="O644" s="64">
        <v>1</v>
      </c>
      <c r="P644" s="72">
        <v>19234807</v>
      </c>
      <c r="Q644" s="69"/>
      <c r="R644" s="69"/>
      <c r="S644" s="121" t="s">
        <v>283</v>
      </c>
      <c r="T644" s="56">
        <v>13</v>
      </c>
      <c r="U644" s="56">
        <v>3</v>
      </c>
    </row>
    <row r="645" spans="1:21" ht="14.25" customHeight="1" x14ac:dyDescent="0.35">
      <c r="A645" s="47">
        <v>629</v>
      </c>
      <c r="B645" s="69" t="s">
        <v>79</v>
      </c>
      <c r="C645" s="69" t="s">
        <v>80</v>
      </c>
      <c r="D645" s="70" t="s">
        <v>132</v>
      </c>
      <c r="E645" s="69" t="s">
        <v>3340</v>
      </c>
      <c r="F645" s="69" t="s">
        <v>246</v>
      </c>
      <c r="G645" s="69" t="s">
        <v>54</v>
      </c>
      <c r="H645" s="70">
        <v>2022</v>
      </c>
      <c r="I645" s="69" t="s">
        <v>63</v>
      </c>
      <c r="J645" s="69" t="s">
        <v>3345</v>
      </c>
      <c r="K645" s="71" t="s">
        <v>3346</v>
      </c>
      <c r="L645" s="71" t="s">
        <v>3347</v>
      </c>
      <c r="M645" s="71" t="s">
        <v>3348</v>
      </c>
      <c r="N645" s="69" t="s">
        <v>44</v>
      </c>
      <c r="O645" s="64">
        <v>1</v>
      </c>
      <c r="P645" s="72">
        <v>19234807</v>
      </c>
      <c r="Q645" s="69"/>
      <c r="R645" s="69"/>
      <c r="S645" s="121" t="s">
        <v>283</v>
      </c>
      <c r="T645" s="56">
        <v>13</v>
      </c>
      <c r="U645" s="56">
        <v>3</v>
      </c>
    </row>
    <row r="646" spans="1:21" ht="14.25" customHeight="1" thickBot="1" x14ac:dyDescent="0.4">
      <c r="A646" s="58">
        <v>630</v>
      </c>
      <c r="B646" s="69" t="s">
        <v>79</v>
      </c>
      <c r="C646" s="69" t="s">
        <v>80</v>
      </c>
      <c r="D646" s="70" t="s">
        <v>137</v>
      </c>
      <c r="E646" s="69" t="s">
        <v>3340</v>
      </c>
      <c r="F646" s="69" t="s">
        <v>246</v>
      </c>
      <c r="G646" s="69" t="s">
        <v>54</v>
      </c>
      <c r="H646" s="70">
        <v>2022</v>
      </c>
      <c r="I646" s="69" t="s">
        <v>63</v>
      </c>
      <c r="J646" s="69" t="s">
        <v>3349</v>
      </c>
      <c r="K646" s="71" t="s">
        <v>3350</v>
      </c>
      <c r="L646" s="71" t="s">
        <v>3351</v>
      </c>
      <c r="M646" s="71" t="s">
        <v>3352</v>
      </c>
      <c r="N646" s="69" t="s">
        <v>44</v>
      </c>
      <c r="O646" s="64">
        <v>1</v>
      </c>
      <c r="P646" s="72">
        <v>19234807</v>
      </c>
      <c r="Q646" s="69"/>
      <c r="R646" s="69"/>
      <c r="S646" s="121" t="s">
        <v>283</v>
      </c>
      <c r="T646" s="56">
        <v>13</v>
      </c>
      <c r="U646" s="56">
        <v>3</v>
      </c>
    </row>
    <row r="647" spans="1:21" ht="14.25" customHeight="1" x14ac:dyDescent="0.35">
      <c r="A647" s="47">
        <v>631</v>
      </c>
      <c r="B647" s="69" t="s">
        <v>79</v>
      </c>
      <c r="C647" s="69" t="s">
        <v>80</v>
      </c>
      <c r="D647" s="70" t="s">
        <v>146</v>
      </c>
      <c r="E647" s="69" t="s">
        <v>3353</v>
      </c>
      <c r="F647" s="69" t="s">
        <v>3354</v>
      </c>
      <c r="G647" s="69" t="s">
        <v>54</v>
      </c>
      <c r="H647" s="70">
        <v>2022</v>
      </c>
      <c r="I647" s="69" t="s">
        <v>63</v>
      </c>
      <c r="J647" s="69" t="s">
        <v>3355</v>
      </c>
      <c r="K647" s="71" t="s">
        <v>3356</v>
      </c>
      <c r="L647" s="71" t="s">
        <v>3357</v>
      </c>
      <c r="M647" s="71" t="s">
        <v>3358</v>
      </c>
      <c r="N647" s="69" t="s">
        <v>44</v>
      </c>
      <c r="O647" s="64">
        <v>1</v>
      </c>
      <c r="P647" s="72">
        <v>56550000</v>
      </c>
      <c r="Q647" s="69"/>
      <c r="R647" s="69"/>
      <c r="S647" s="121" t="s">
        <v>283</v>
      </c>
      <c r="T647" s="56">
        <v>13</v>
      </c>
      <c r="U647" s="56">
        <v>3</v>
      </c>
    </row>
    <row r="648" spans="1:21" ht="14.25" customHeight="1" thickBot="1" x14ac:dyDescent="0.4">
      <c r="A648" s="58">
        <v>632</v>
      </c>
      <c r="B648" s="69" t="s">
        <v>79</v>
      </c>
      <c r="C648" s="69" t="s">
        <v>80</v>
      </c>
      <c r="D648" s="70" t="s">
        <v>161</v>
      </c>
      <c r="E648" s="69" t="s">
        <v>3353</v>
      </c>
      <c r="F648" s="69" t="s">
        <v>3354</v>
      </c>
      <c r="G648" s="69" t="s">
        <v>54</v>
      </c>
      <c r="H648" s="70">
        <v>2022</v>
      </c>
      <c r="I648" s="69" t="s">
        <v>63</v>
      </c>
      <c r="J648" s="69" t="s">
        <v>3359</v>
      </c>
      <c r="K648" s="71" t="s">
        <v>3360</v>
      </c>
      <c r="L648" s="71" t="s">
        <v>3361</v>
      </c>
      <c r="M648" s="71" t="s">
        <v>3362</v>
      </c>
      <c r="N648" s="69" t="s">
        <v>44</v>
      </c>
      <c r="O648" s="64">
        <v>1</v>
      </c>
      <c r="P648" s="72">
        <v>56550000</v>
      </c>
      <c r="Q648" s="69"/>
      <c r="R648" s="69"/>
      <c r="S648" s="121" t="s">
        <v>283</v>
      </c>
      <c r="T648" s="56">
        <v>13</v>
      </c>
      <c r="U648" s="56">
        <v>3</v>
      </c>
    </row>
    <row r="649" spans="1:21" ht="14.25" customHeight="1" x14ac:dyDescent="0.35">
      <c r="A649" s="47">
        <v>633</v>
      </c>
      <c r="B649" s="69" t="s">
        <v>79</v>
      </c>
      <c r="C649" s="69" t="s">
        <v>80</v>
      </c>
      <c r="D649" s="70" t="s">
        <v>169</v>
      </c>
      <c r="E649" s="69" t="s">
        <v>3353</v>
      </c>
      <c r="F649" s="69" t="s">
        <v>3354</v>
      </c>
      <c r="G649" s="69" t="s">
        <v>54</v>
      </c>
      <c r="H649" s="70">
        <v>2022</v>
      </c>
      <c r="I649" s="69" t="s">
        <v>63</v>
      </c>
      <c r="J649" s="69" t="s">
        <v>3363</v>
      </c>
      <c r="K649" s="71" t="s">
        <v>3364</v>
      </c>
      <c r="L649" s="71" t="s">
        <v>3365</v>
      </c>
      <c r="M649" s="71" t="s">
        <v>3366</v>
      </c>
      <c r="N649" s="69" t="s">
        <v>44</v>
      </c>
      <c r="O649" s="64">
        <v>1</v>
      </c>
      <c r="P649" s="72">
        <v>56550000</v>
      </c>
      <c r="Q649" s="69"/>
      <c r="R649" s="69"/>
      <c r="S649" s="121" t="s">
        <v>283</v>
      </c>
      <c r="T649" s="56">
        <v>13</v>
      </c>
      <c r="U649" s="56">
        <v>3</v>
      </c>
    </row>
    <row r="650" spans="1:21" ht="14.25" customHeight="1" thickBot="1" x14ac:dyDescent="0.4">
      <c r="A650" s="58">
        <v>634</v>
      </c>
      <c r="B650" s="69" t="s">
        <v>79</v>
      </c>
      <c r="C650" s="69" t="s">
        <v>80</v>
      </c>
      <c r="D650" s="70" t="s">
        <v>176</v>
      </c>
      <c r="E650" s="69" t="s">
        <v>3353</v>
      </c>
      <c r="F650" s="69" t="s">
        <v>3354</v>
      </c>
      <c r="G650" s="69" t="s">
        <v>54</v>
      </c>
      <c r="H650" s="70">
        <v>2022</v>
      </c>
      <c r="I650" s="69" t="s">
        <v>63</v>
      </c>
      <c r="J650" s="69" t="s">
        <v>3367</v>
      </c>
      <c r="K650" s="71" t="s">
        <v>3368</v>
      </c>
      <c r="L650" s="71" t="s">
        <v>3369</v>
      </c>
      <c r="M650" s="71" t="s">
        <v>3370</v>
      </c>
      <c r="N650" s="69" t="s">
        <v>44</v>
      </c>
      <c r="O650" s="64">
        <v>1</v>
      </c>
      <c r="P650" s="72">
        <v>56550000</v>
      </c>
      <c r="Q650" s="69"/>
      <c r="R650" s="69"/>
      <c r="S650" s="121" t="s">
        <v>283</v>
      </c>
      <c r="T650" s="56">
        <v>13</v>
      </c>
      <c r="U650" s="56">
        <v>3</v>
      </c>
    </row>
    <row r="651" spans="1:21" ht="14.25" customHeight="1" x14ac:dyDescent="0.35">
      <c r="A651" s="47">
        <v>635</v>
      </c>
      <c r="B651" s="69" t="s">
        <v>79</v>
      </c>
      <c r="C651" s="69" t="s">
        <v>80</v>
      </c>
      <c r="D651" s="70" t="s">
        <v>1236</v>
      </c>
      <c r="E651" s="69" t="s">
        <v>3353</v>
      </c>
      <c r="F651" s="69" t="s">
        <v>3354</v>
      </c>
      <c r="G651" s="69" t="s">
        <v>54</v>
      </c>
      <c r="H651" s="70">
        <v>2022</v>
      </c>
      <c r="I651" s="69" t="s">
        <v>63</v>
      </c>
      <c r="J651" s="69" t="s">
        <v>3371</v>
      </c>
      <c r="K651" s="71" t="s">
        <v>3372</v>
      </c>
      <c r="L651" s="71" t="s">
        <v>3373</v>
      </c>
      <c r="M651" s="71" t="s">
        <v>3374</v>
      </c>
      <c r="N651" s="69" t="s">
        <v>44</v>
      </c>
      <c r="O651" s="64">
        <v>1</v>
      </c>
      <c r="P651" s="72">
        <v>56550000</v>
      </c>
      <c r="Q651" s="69"/>
      <c r="R651" s="69"/>
      <c r="S651" s="121" t="s">
        <v>283</v>
      </c>
      <c r="T651" s="56">
        <v>13</v>
      </c>
      <c r="U651" s="56">
        <v>3</v>
      </c>
    </row>
    <row r="652" spans="1:21" ht="14.25" customHeight="1" thickBot="1" x14ac:dyDescent="0.4">
      <c r="A652" s="58">
        <v>636</v>
      </c>
      <c r="B652" s="69" t="s">
        <v>79</v>
      </c>
      <c r="C652" s="69" t="s">
        <v>80</v>
      </c>
      <c r="D652" s="70" t="s">
        <v>181</v>
      </c>
      <c r="E652" s="69" t="s">
        <v>3375</v>
      </c>
      <c r="F652" s="69" t="s">
        <v>3376</v>
      </c>
      <c r="G652" s="69" t="s">
        <v>140</v>
      </c>
      <c r="H652" s="70">
        <v>2023</v>
      </c>
      <c r="I652" s="69" t="s">
        <v>63</v>
      </c>
      <c r="J652" s="69" t="s">
        <v>3377</v>
      </c>
      <c r="K652" s="71" t="s">
        <v>3378</v>
      </c>
      <c r="L652" s="71" t="s">
        <v>3379</v>
      </c>
      <c r="M652" s="71" t="s">
        <v>3380</v>
      </c>
      <c r="N652" s="69" t="s">
        <v>44</v>
      </c>
      <c r="O652" s="64">
        <v>1</v>
      </c>
      <c r="P652" s="72">
        <v>36451000</v>
      </c>
      <c r="Q652" s="69" t="s">
        <v>3381</v>
      </c>
      <c r="R652" s="69"/>
      <c r="S652" s="121" t="s">
        <v>283</v>
      </c>
      <c r="T652" s="56">
        <v>13</v>
      </c>
      <c r="U652" s="56">
        <v>3</v>
      </c>
    </row>
    <row r="653" spans="1:21" ht="14.25" customHeight="1" x14ac:dyDescent="0.35">
      <c r="A653" s="47">
        <v>637</v>
      </c>
      <c r="B653" s="69" t="s">
        <v>79</v>
      </c>
      <c r="C653" s="69" t="s">
        <v>80</v>
      </c>
      <c r="D653" s="70" t="s">
        <v>187</v>
      </c>
      <c r="E653" s="69" t="s">
        <v>3375</v>
      </c>
      <c r="F653" s="69" t="s">
        <v>3376</v>
      </c>
      <c r="G653" s="69" t="s">
        <v>140</v>
      </c>
      <c r="H653" s="70">
        <v>2023</v>
      </c>
      <c r="I653" s="69" t="s">
        <v>63</v>
      </c>
      <c r="J653" s="69" t="s">
        <v>3382</v>
      </c>
      <c r="K653" s="71" t="s">
        <v>3383</v>
      </c>
      <c r="L653" s="71" t="s">
        <v>3384</v>
      </c>
      <c r="M653" s="71" t="s">
        <v>3385</v>
      </c>
      <c r="N653" s="69" t="s">
        <v>44</v>
      </c>
      <c r="O653" s="64">
        <v>1</v>
      </c>
      <c r="P653" s="72">
        <v>36451000</v>
      </c>
      <c r="Q653" s="69" t="s">
        <v>3381</v>
      </c>
      <c r="R653" s="69"/>
      <c r="S653" s="121" t="s">
        <v>283</v>
      </c>
      <c r="T653" s="56">
        <v>13</v>
      </c>
      <c r="U653" s="56">
        <v>3</v>
      </c>
    </row>
    <row r="654" spans="1:21" ht="14.25" customHeight="1" thickBot="1" x14ac:dyDescent="0.4">
      <c r="A654" s="58">
        <v>638</v>
      </c>
      <c r="B654" s="69" t="s">
        <v>79</v>
      </c>
      <c r="C654" s="69" t="s">
        <v>80</v>
      </c>
      <c r="D654" s="70" t="s">
        <v>190</v>
      </c>
      <c r="E654" s="69" t="s">
        <v>3386</v>
      </c>
      <c r="F654" s="69" t="s">
        <v>3376</v>
      </c>
      <c r="G654" s="69" t="s">
        <v>140</v>
      </c>
      <c r="H654" s="70">
        <v>2023</v>
      </c>
      <c r="I654" s="69" t="s">
        <v>63</v>
      </c>
      <c r="J654" s="69" t="s">
        <v>3387</v>
      </c>
      <c r="K654" s="71" t="s">
        <v>3388</v>
      </c>
      <c r="L654" s="71" t="s">
        <v>3389</v>
      </c>
      <c r="M654" s="71" t="s">
        <v>3390</v>
      </c>
      <c r="N654" s="69" t="s">
        <v>44</v>
      </c>
      <c r="O654" s="64">
        <v>1</v>
      </c>
      <c r="P654" s="72">
        <v>30465000</v>
      </c>
      <c r="Q654" s="69" t="s">
        <v>1531</v>
      </c>
      <c r="R654" s="69"/>
      <c r="S654" s="121" t="s">
        <v>283</v>
      </c>
      <c r="T654" s="56">
        <v>13</v>
      </c>
      <c r="U654" s="56">
        <v>3</v>
      </c>
    </row>
    <row r="655" spans="1:21" ht="14.25" customHeight="1" x14ac:dyDescent="0.35">
      <c r="A655" s="47">
        <v>639</v>
      </c>
      <c r="B655" s="69" t="s">
        <v>79</v>
      </c>
      <c r="C655" s="69" t="s">
        <v>80</v>
      </c>
      <c r="D655" s="70" t="s">
        <v>192</v>
      </c>
      <c r="E655" s="69" t="s">
        <v>3386</v>
      </c>
      <c r="F655" s="69" t="s">
        <v>3376</v>
      </c>
      <c r="G655" s="69" t="s">
        <v>140</v>
      </c>
      <c r="H655" s="70">
        <v>2023</v>
      </c>
      <c r="I655" s="69" t="s">
        <v>63</v>
      </c>
      <c r="J655" s="69" t="s">
        <v>3391</v>
      </c>
      <c r="K655" s="71" t="s">
        <v>3392</v>
      </c>
      <c r="L655" s="71" t="s">
        <v>3393</v>
      </c>
      <c r="M655" s="71" t="s">
        <v>3394</v>
      </c>
      <c r="N655" s="69" t="s">
        <v>44</v>
      </c>
      <c r="O655" s="64">
        <v>1</v>
      </c>
      <c r="P655" s="72">
        <v>30465000</v>
      </c>
      <c r="Q655" s="69" t="s">
        <v>1531</v>
      </c>
      <c r="R655" s="69"/>
      <c r="S655" s="121" t="s">
        <v>283</v>
      </c>
      <c r="T655" s="56">
        <v>13</v>
      </c>
      <c r="U655" s="56">
        <v>3</v>
      </c>
    </row>
    <row r="656" spans="1:21" ht="14.25" customHeight="1" thickBot="1" x14ac:dyDescent="0.4">
      <c r="A656" s="58">
        <v>640</v>
      </c>
      <c r="B656" s="69" t="s">
        <v>79</v>
      </c>
      <c r="C656" s="69" t="s">
        <v>80</v>
      </c>
      <c r="D656" s="70" t="s">
        <v>194</v>
      </c>
      <c r="E656" s="69" t="s">
        <v>3395</v>
      </c>
      <c r="F656" s="69">
        <v>160</v>
      </c>
      <c r="G656" s="69" t="s">
        <v>140</v>
      </c>
      <c r="H656" s="70">
        <v>2024</v>
      </c>
      <c r="I656" s="69" t="s">
        <v>63</v>
      </c>
      <c r="J656" s="69" t="s">
        <v>3396</v>
      </c>
      <c r="K656" s="71" t="s">
        <v>3397</v>
      </c>
      <c r="L656" s="71" t="s">
        <v>3398</v>
      </c>
      <c r="M656" s="71" t="s">
        <v>3399</v>
      </c>
      <c r="N656" s="69" t="s">
        <v>44</v>
      </c>
      <c r="O656" s="64">
        <v>1</v>
      </c>
      <c r="P656" s="72">
        <v>28200000</v>
      </c>
      <c r="Q656" s="69" t="s">
        <v>3400</v>
      </c>
      <c r="R656" s="69"/>
      <c r="S656" s="121" t="s">
        <v>283</v>
      </c>
      <c r="T656" s="56">
        <v>13</v>
      </c>
      <c r="U656" s="56">
        <v>3</v>
      </c>
    </row>
    <row r="657" spans="1:21" ht="14.25" customHeight="1" x14ac:dyDescent="0.35">
      <c r="A657" s="47">
        <v>641</v>
      </c>
      <c r="B657" s="69" t="s">
        <v>79</v>
      </c>
      <c r="C657" s="69" t="s">
        <v>80</v>
      </c>
      <c r="D657" s="70" t="s">
        <v>195</v>
      </c>
      <c r="E657" s="69" t="s">
        <v>3395</v>
      </c>
      <c r="F657" s="69">
        <v>160</v>
      </c>
      <c r="G657" s="69" t="s">
        <v>140</v>
      </c>
      <c r="H657" s="70">
        <v>2024</v>
      </c>
      <c r="I657" s="69" t="s">
        <v>63</v>
      </c>
      <c r="J657" s="69" t="s">
        <v>3401</v>
      </c>
      <c r="K657" s="71" t="s">
        <v>3402</v>
      </c>
      <c r="L657" s="71" t="s">
        <v>3403</v>
      </c>
      <c r="M657" s="71" t="s">
        <v>3404</v>
      </c>
      <c r="N657" s="69" t="s">
        <v>44</v>
      </c>
      <c r="O657" s="64">
        <v>1</v>
      </c>
      <c r="P657" s="72">
        <v>28200000</v>
      </c>
      <c r="Q657" s="69" t="s">
        <v>3400</v>
      </c>
      <c r="R657" s="69"/>
      <c r="S657" s="121" t="s">
        <v>283</v>
      </c>
      <c r="T657" s="56">
        <v>13</v>
      </c>
      <c r="U657" s="56">
        <v>3</v>
      </c>
    </row>
    <row r="658" spans="1:21" ht="14.25" customHeight="1" thickBot="1" x14ac:dyDescent="0.4">
      <c r="A658" s="58">
        <v>642</v>
      </c>
      <c r="B658" s="69" t="s">
        <v>2244</v>
      </c>
      <c r="C658" s="69" t="s">
        <v>2245</v>
      </c>
      <c r="D658" s="70" t="s">
        <v>51</v>
      </c>
      <c r="E658" s="69" t="s">
        <v>3405</v>
      </c>
      <c r="F658" s="69" t="s">
        <v>3406</v>
      </c>
      <c r="G658" s="69" t="s">
        <v>54</v>
      </c>
      <c r="H658" s="70">
        <v>2017</v>
      </c>
      <c r="I658" s="69" t="s">
        <v>63</v>
      </c>
      <c r="J658" s="69" t="s">
        <v>3407</v>
      </c>
      <c r="K658" s="71" t="s">
        <v>3408</v>
      </c>
      <c r="L658" s="71" t="s">
        <v>3409</v>
      </c>
      <c r="M658" s="71" t="s">
        <v>3410</v>
      </c>
      <c r="N658" s="69" t="s">
        <v>57</v>
      </c>
      <c r="O658" s="64">
        <v>1</v>
      </c>
      <c r="P658" s="72">
        <v>35550000</v>
      </c>
      <c r="Q658" s="69" t="s">
        <v>3411</v>
      </c>
      <c r="R658" s="69"/>
      <c r="S658" s="121" t="s">
        <v>283</v>
      </c>
      <c r="T658" s="56">
        <v>13</v>
      </c>
      <c r="U658" s="56">
        <v>3</v>
      </c>
    </row>
    <row r="659" spans="1:21" ht="14.25" customHeight="1" x14ac:dyDescent="0.35">
      <c r="A659" s="47">
        <v>643</v>
      </c>
      <c r="B659" s="69" t="s">
        <v>2244</v>
      </c>
      <c r="C659" s="69" t="s">
        <v>2245</v>
      </c>
      <c r="D659" s="70" t="s">
        <v>59</v>
      </c>
      <c r="E659" s="69" t="s">
        <v>3405</v>
      </c>
      <c r="F659" s="69" t="s">
        <v>3406</v>
      </c>
      <c r="G659" s="69" t="s">
        <v>54</v>
      </c>
      <c r="H659" s="70">
        <v>2017</v>
      </c>
      <c r="I659" s="69" t="s">
        <v>63</v>
      </c>
      <c r="J659" s="69" t="s">
        <v>3412</v>
      </c>
      <c r="K659" s="71" t="s">
        <v>3413</v>
      </c>
      <c r="L659" s="71" t="s">
        <v>3414</v>
      </c>
      <c r="M659" s="71" t="s">
        <v>3415</v>
      </c>
      <c r="N659" s="69" t="s">
        <v>57</v>
      </c>
      <c r="O659" s="64">
        <v>1</v>
      </c>
      <c r="P659" s="72">
        <v>35550000</v>
      </c>
      <c r="Q659" s="69" t="s">
        <v>3411</v>
      </c>
      <c r="R659" s="69"/>
      <c r="S659" s="121" t="s">
        <v>283</v>
      </c>
      <c r="T659" s="56">
        <v>13</v>
      </c>
      <c r="U659" s="56">
        <v>3</v>
      </c>
    </row>
    <row r="660" spans="1:21" ht="14.25" customHeight="1" thickBot="1" x14ac:dyDescent="0.4">
      <c r="A660" s="58">
        <v>644</v>
      </c>
      <c r="B660" s="69" t="s">
        <v>2244</v>
      </c>
      <c r="C660" s="69" t="s">
        <v>2245</v>
      </c>
      <c r="D660" s="70" t="s">
        <v>97</v>
      </c>
      <c r="E660" s="69" t="s">
        <v>3405</v>
      </c>
      <c r="F660" s="69" t="s">
        <v>3406</v>
      </c>
      <c r="G660" s="69" t="s">
        <v>54</v>
      </c>
      <c r="H660" s="70">
        <v>2017</v>
      </c>
      <c r="I660" s="69" t="s">
        <v>63</v>
      </c>
      <c r="J660" s="69" t="s">
        <v>3416</v>
      </c>
      <c r="K660" s="71" t="s">
        <v>3417</v>
      </c>
      <c r="L660" s="71" t="s">
        <v>3418</v>
      </c>
      <c r="M660" s="71" t="s">
        <v>3419</v>
      </c>
      <c r="N660" s="69" t="s">
        <v>57</v>
      </c>
      <c r="O660" s="64">
        <v>1</v>
      </c>
      <c r="P660" s="72">
        <v>35550000</v>
      </c>
      <c r="Q660" s="69" t="s">
        <v>3411</v>
      </c>
      <c r="R660" s="69"/>
      <c r="S660" s="121" t="s">
        <v>283</v>
      </c>
      <c r="T660" s="56">
        <v>13</v>
      </c>
      <c r="U660" s="56">
        <v>3</v>
      </c>
    </row>
    <row r="661" spans="1:21" ht="14.25" customHeight="1" x14ac:dyDescent="0.35">
      <c r="A661" s="47">
        <v>645</v>
      </c>
      <c r="B661" s="69" t="s">
        <v>2244</v>
      </c>
      <c r="C661" s="69" t="s">
        <v>2245</v>
      </c>
      <c r="D661" s="70" t="s">
        <v>101</v>
      </c>
      <c r="E661" s="69" t="s">
        <v>3405</v>
      </c>
      <c r="F661" s="69" t="s">
        <v>3406</v>
      </c>
      <c r="G661" s="69" t="s">
        <v>54</v>
      </c>
      <c r="H661" s="70">
        <v>2017</v>
      </c>
      <c r="I661" s="69" t="s">
        <v>63</v>
      </c>
      <c r="J661" s="69" t="s">
        <v>3420</v>
      </c>
      <c r="K661" s="71" t="s">
        <v>3421</v>
      </c>
      <c r="L661" s="71" t="s">
        <v>3422</v>
      </c>
      <c r="M661" s="71" t="s">
        <v>3423</v>
      </c>
      <c r="N661" s="69" t="s">
        <v>57</v>
      </c>
      <c r="O661" s="64">
        <v>1</v>
      </c>
      <c r="P661" s="72">
        <v>35550000</v>
      </c>
      <c r="Q661" s="69" t="s">
        <v>3411</v>
      </c>
      <c r="R661" s="69"/>
      <c r="S661" s="121" t="s">
        <v>283</v>
      </c>
      <c r="T661" s="56">
        <v>13</v>
      </c>
      <c r="U661" s="56">
        <v>3</v>
      </c>
    </row>
    <row r="662" spans="1:21" ht="14.25" customHeight="1" thickBot="1" x14ac:dyDescent="0.4">
      <c r="A662" s="58">
        <v>646</v>
      </c>
      <c r="B662" s="69" t="s">
        <v>2244</v>
      </c>
      <c r="C662" s="69" t="s">
        <v>2245</v>
      </c>
      <c r="D662" s="70" t="s">
        <v>107</v>
      </c>
      <c r="E662" s="69" t="s">
        <v>3405</v>
      </c>
      <c r="F662" s="69" t="s">
        <v>3406</v>
      </c>
      <c r="G662" s="69" t="s">
        <v>54</v>
      </c>
      <c r="H662" s="70">
        <v>2017</v>
      </c>
      <c r="I662" s="69" t="s">
        <v>63</v>
      </c>
      <c r="J662" s="69" t="s">
        <v>3424</v>
      </c>
      <c r="K662" s="71" t="s">
        <v>3425</v>
      </c>
      <c r="L662" s="71" t="s">
        <v>3426</v>
      </c>
      <c r="M662" s="71" t="s">
        <v>3427</v>
      </c>
      <c r="N662" s="69" t="s">
        <v>57</v>
      </c>
      <c r="O662" s="64">
        <v>1</v>
      </c>
      <c r="P662" s="72">
        <v>35550000</v>
      </c>
      <c r="Q662" s="69" t="s">
        <v>3411</v>
      </c>
      <c r="R662" s="69"/>
      <c r="S662" s="121" t="s">
        <v>283</v>
      </c>
      <c r="T662" s="56">
        <v>13</v>
      </c>
      <c r="U662" s="56">
        <v>3</v>
      </c>
    </row>
    <row r="663" spans="1:21" ht="14.25" customHeight="1" x14ac:dyDescent="0.35">
      <c r="A663" s="47">
        <v>647</v>
      </c>
      <c r="B663" s="69" t="s">
        <v>3428</v>
      </c>
      <c r="C663" s="69" t="s">
        <v>3429</v>
      </c>
      <c r="D663" s="70" t="s">
        <v>51</v>
      </c>
      <c r="E663" s="69" t="s">
        <v>3430</v>
      </c>
      <c r="F663" s="69">
        <v>4.7779999999999996</v>
      </c>
      <c r="G663" s="69" t="s">
        <v>140</v>
      </c>
      <c r="H663" s="70">
        <v>2025</v>
      </c>
      <c r="I663" s="69" t="s">
        <v>63</v>
      </c>
      <c r="J663" s="69" t="s">
        <v>3431</v>
      </c>
      <c r="K663" s="71" t="s">
        <v>3432</v>
      </c>
      <c r="L663" s="71" t="s">
        <v>3433</v>
      </c>
      <c r="M663" s="71" t="s">
        <v>63</v>
      </c>
      <c r="N663" s="69" t="s">
        <v>422</v>
      </c>
      <c r="O663" s="64">
        <v>1</v>
      </c>
      <c r="P663" s="72">
        <v>1452500000</v>
      </c>
      <c r="Q663" s="69" t="s">
        <v>3434</v>
      </c>
      <c r="R663" s="69"/>
      <c r="S663" s="121" t="s">
        <v>283</v>
      </c>
      <c r="T663" s="56">
        <v>13</v>
      </c>
      <c r="U663" s="56">
        <v>6</v>
      </c>
    </row>
    <row r="664" spans="1:21" ht="14.25" customHeight="1" thickBot="1" x14ac:dyDescent="0.4">
      <c r="A664" s="58">
        <v>648</v>
      </c>
      <c r="B664" s="69" t="s">
        <v>3428</v>
      </c>
      <c r="C664" s="69" t="s">
        <v>3429</v>
      </c>
      <c r="D664" s="70" t="s">
        <v>59</v>
      </c>
      <c r="E664" s="69" t="s">
        <v>3435</v>
      </c>
      <c r="F664" s="69">
        <v>4.7779999999999996</v>
      </c>
      <c r="G664" s="69" t="s">
        <v>140</v>
      </c>
      <c r="H664" s="70">
        <v>2025</v>
      </c>
      <c r="I664" s="69" t="s">
        <v>63</v>
      </c>
      <c r="J664" s="69" t="s">
        <v>3436</v>
      </c>
      <c r="K664" s="71" t="s">
        <v>3437</v>
      </c>
      <c r="L664" s="71" t="s">
        <v>3438</v>
      </c>
      <c r="M664" s="71" t="s">
        <v>3439</v>
      </c>
      <c r="N664" s="69" t="s">
        <v>422</v>
      </c>
      <c r="O664" s="64">
        <v>1</v>
      </c>
      <c r="P664" s="72">
        <v>677000000</v>
      </c>
      <c r="Q664" s="69" t="s">
        <v>3440</v>
      </c>
      <c r="R664" s="69"/>
      <c r="S664" s="121" t="s">
        <v>283</v>
      </c>
      <c r="T664" s="56">
        <v>13</v>
      </c>
      <c r="U664" s="56">
        <v>6</v>
      </c>
    </row>
    <row r="665" spans="1:21" ht="14.25" customHeight="1" x14ac:dyDescent="0.35">
      <c r="A665" s="47">
        <v>649</v>
      </c>
      <c r="B665" s="69" t="s">
        <v>3428</v>
      </c>
      <c r="C665" s="69" t="s">
        <v>3429</v>
      </c>
      <c r="D665" s="70" t="s">
        <v>97</v>
      </c>
      <c r="E665" s="69" t="s">
        <v>3441</v>
      </c>
      <c r="F665" s="69">
        <v>4.7779999999999996</v>
      </c>
      <c r="G665" s="69" t="s">
        <v>140</v>
      </c>
      <c r="H665" s="70">
        <v>2025</v>
      </c>
      <c r="I665" s="69" t="s">
        <v>63</v>
      </c>
      <c r="J665" s="69" t="s">
        <v>3442</v>
      </c>
      <c r="K665" s="71" t="s">
        <v>3443</v>
      </c>
      <c r="L665" s="71" t="s">
        <v>3444</v>
      </c>
      <c r="M665" s="71" t="s">
        <v>3445</v>
      </c>
      <c r="N665" s="69" t="s">
        <v>422</v>
      </c>
      <c r="O665" s="64">
        <v>1</v>
      </c>
      <c r="P665" s="72">
        <v>585000000</v>
      </c>
      <c r="Q665" s="69" t="s">
        <v>3446</v>
      </c>
      <c r="R665" s="69"/>
      <c r="S665" s="121" t="s">
        <v>283</v>
      </c>
      <c r="T665" s="56">
        <v>13</v>
      </c>
      <c r="U665" s="56">
        <v>6</v>
      </c>
    </row>
    <row r="666" spans="1:21" ht="14.25" customHeight="1" thickBot="1" x14ac:dyDescent="0.4">
      <c r="A666" s="58">
        <v>650</v>
      </c>
      <c r="B666" s="69" t="s">
        <v>2685</v>
      </c>
      <c r="C666" s="69" t="s">
        <v>2686</v>
      </c>
      <c r="D666" s="70" t="s">
        <v>51</v>
      </c>
      <c r="E666" s="69" t="s">
        <v>3447</v>
      </c>
      <c r="F666" s="69" t="s">
        <v>3448</v>
      </c>
      <c r="G666" s="69" t="s">
        <v>54</v>
      </c>
      <c r="H666" s="70">
        <v>2019</v>
      </c>
      <c r="I666" s="69" t="s">
        <v>63</v>
      </c>
      <c r="J666" s="69" t="s">
        <v>3449</v>
      </c>
      <c r="K666" s="71" t="s">
        <v>3450</v>
      </c>
      <c r="L666" s="71" t="s">
        <v>3451</v>
      </c>
      <c r="M666" s="71" t="s">
        <v>3452</v>
      </c>
      <c r="N666" s="69" t="s">
        <v>57</v>
      </c>
      <c r="O666" s="64">
        <v>1</v>
      </c>
      <c r="P666" s="72">
        <v>38269153</v>
      </c>
      <c r="Q666" s="69" t="s">
        <v>3453</v>
      </c>
      <c r="R666" s="69"/>
      <c r="S666" s="121" t="s">
        <v>283</v>
      </c>
      <c r="T666" s="56">
        <v>13</v>
      </c>
      <c r="U666" s="56">
        <v>3</v>
      </c>
    </row>
    <row r="667" spans="1:21" ht="14.25" customHeight="1" x14ac:dyDescent="0.35">
      <c r="A667" s="47">
        <v>651</v>
      </c>
      <c r="B667" s="69" t="s">
        <v>2685</v>
      </c>
      <c r="C667" s="69" t="s">
        <v>2686</v>
      </c>
      <c r="D667" s="70" t="s">
        <v>59</v>
      </c>
      <c r="E667" s="69" t="s">
        <v>3454</v>
      </c>
      <c r="F667" s="69">
        <v>200</v>
      </c>
      <c r="G667" s="69" t="s">
        <v>140</v>
      </c>
      <c r="H667" s="70">
        <v>2023</v>
      </c>
      <c r="I667" s="69" t="s">
        <v>63</v>
      </c>
      <c r="J667" s="69" t="s">
        <v>3455</v>
      </c>
      <c r="K667" s="71" t="s">
        <v>3456</v>
      </c>
      <c r="L667" s="71" t="s">
        <v>3457</v>
      </c>
      <c r="M667" s="71" t="s">
        <v>3458</v>
      </c>
      <c r="N667" s="69" t="s">
        <v>44</v>
      </c>
      <c r="O667" s="64">
        <v>1</v>
      </c>
      <c r="P667" s="72">
        <v>52614555</v>
      </c>
      <c r="Q667" s="69" t="s">
        <v>3459</v>
      </c>
      <c r="R667" s="69"/>
      <c r="S667" s="121" t="s">
        <v>283</v>
      </c>
      <c r="T667" s="56">
        <v>13</v>
      </c>
      <c r="U667" s="56">
        <v>3</v>
      </c>
    </row>
    <row r="668" spans="1:21" ht="14.25" customHeight="1" thickBot="1" x14ac:dyDescent="0.4">
      <c r="A668" s="58">
        <v>652</v>
      </c>
      <c r="B668" s="69" t="s">
        <v>1806</v>
      </c>
      <c r="C668" s="69" t="s">
        <v>1807</v>
      </c>
      <c r="D668" s="70" t="s">
        <v>51</v>
      </c>
      <c r="E668" s="69" t="s">
        <v>3460</v>
      </c>
      <c r="F668" s="69" t="s">
        <v>3461</v>
      </c>
      <c r="G668" s="69" t="s">
        <v>54</v>
      </c>
      <c r="H668" s="70">
        <v>2010</v>
      </c>
      <c r="I668" s="69"/>
      <c r="J668" s="69" t="s">
        <v>3462</v>
      </c>
      <c r="K668" s="71" t="s">
        <v>3463</v>
      </c>
      <c r="L668" s="71" t="s">
        <v>3464</v>
      </c>
      <c r="M668" s="71" t="s">
        <v>3465</v>
      </c>
      <c r="N668" s="69" t="s">
        <v>57</v>
      </c>
      <c r="O668" s="64">
        <v>1</v>
      </c>
      <c r="P668" s="72">
        <v>240000000</v>
      </c>
      <c r="Q668" s="69" t="s">
        <v>3466</v>
      </c>
      <c r="R668" s="69"/>
      <c r="S668" s="121" t="s">
        <v>309</v>
      </c>
      <c r="T668" s="56">
        <v>14</v>
      </c>
      <c r="U668" s="56">
        <v>4</v>
      </c>
    </row>
    <row r="669" spans="1:21" ht="14.25" customHeight="1" x14ac:dyDescent="0.35">
      <c r="A669" s="47">
        <v>653</v>
      </c>
      <c r="B669" s="69" t="s">
        <v>79</v>
      </c>
      <c r="C669" s="69" t="s">
        <v>80</v>
      </c>
      <c r="D669" s="70" t="s">
        <v>51</v>
      </c>
      <c r="E669" s="69" t="s">
        <v>1860</v>
      </c>
      <c r="F669" s="69" t="s">
        <v>202</v>
      </c>
      <c r="G669" s="69" t="s">
        <v>54</v>
      </c>
      <c r="H669" s="70">
        <v>2012</v>
      </c>
      <c r="I669" s="69"/>
      <c r="J669" s="69" t="s">
        <v>3467</v>
      </c>
      <c r="K669" s="71" t="s">
        <v>3468</v>
      </c>
      <c r="L669" s="71" t="s">
        <v>3469</v>
      </c>
      <c r="M669" s="71" t="s">
        <v>3470</v>
      </c>
      <c r="N669" s="69" t="s">
        <v>57</v>
      </c>
      <c r="O669" s="64">
        <v>1</v>
      </c>
      <c r="P669" s="72">
        <v>13177550</v>
      </c>
      <c r="Q669" s="69" t="s">
        <v>3471</v>
      </c>
      <c r="R669" s="69"/>
      <c r="S669" s="121" t="s">
        <v>309</v>
      </c>
      <c r="T669" s="56">
        <v>14</v>
      </c>
      <c r="U669" s="56">
        <v>3</v>
      </c>
    </row>
    <row r="670" spans="1:21" ht="14.25" customHeight="1" thickBot="1" x14ac:dyDescent="0.4">
      <c r="A670" s="58">
        <v>654</v>
      </c>
      <c r="B670" s="69" t="s">
        <v>79</v>
      </c>
      <c r="C670" s="69" t="s">
        <v>80</v>
      </c>
      <c r="D670" s="70" t="s">
        <v>59</v>
      </c>
      <c r="E670" s="69" t="s">
        <v>1860</v>
      </c>
      <c r="F670" s="69" t="s">
        <v>202</v>
      </c>
      <c r="G670" s="69" t="s">
        <v>54</v>
      </c>
      <c r="H670" s="70">
        <v>2012</v>
      </c>
      <c r="I670" s="69"/>
      <c r="J670" s="69" t="s">
        <v>3472</v>
      </c>
      <c r="K670" s="71" t="s">
        <v>3473</v>
      </c>
      <c r="L670" s="71" t="s">
        <v>3474</v>
      </c>
      <c r="M670" s="71" t="s">
        <v>3475</v>
      </c>
      <c r="N670" s="69" t="s">
        <v>57</v>
      </c>
      <c r="O670" s="64">
        <v>1</v>
      </c>
      <c r="P670" s="72">
        <v>13177550</v>
      </c>
      <c r="Q670" s="69" t="s">
        <v>3471</v>
      </c>
      <c r="R670" s="69"/>
      <c r="S670" s="121" t="s">
        <v>309</v>
      </c>
      <c r="T670" s="56">
        <v>14</v>
      </c>
      <c r="U670" s="56">
        <v>3</v>
      </c>
    </row>
    <row r="671" spans="1:21" ht="14.25" customHeight="1" x14ac:dyDescent="0.35">
      <c r="A671" s="47">
        <v>655</v>
      </c>
      <c r="B671" s="69" t="s">
        <v>79</v>
      </c>
      <c r="C671" s="69" t="s">
        <v>80</v>
      </c>
      <c r="D671" s="70" t="s">
        <v>101</v>
      </c>
      <c r="E671" s="69" t="s">
        <v>2574</v>
      </c>
      <c r="F671" s="69" t="s">
        <v>88</v>
      </c>
      <c r="G671" s="69" t="s">
        <v>140</v>
      </c>
      <c r="H671" s="70">
        <v>2015</v>
      </c>
      <c r="I671" s="69"/>
      <c r="J671" s="69" t="s">
        <v>3476</v>
      </c>
      <c r="K671" s="71" t="s">
        <v>3477</v>
      </c>
      <c r="L671" s="71" t="s">
        <v>3478</v>
      </c>
      <c r="M671" s="71" t="s">
        <v>3479</v>
      </c>
      <c r="N671" s="69" t="s">
        <v>57</v>
      </c>
      <c r="O671" s="64">
        <v>1</v>
      </c>
      <c r="P671" s="72">
        <v>16898000</v>
      </c>
      <c r="Q671" s="69" t="s">
        <v>3480</v>
      </c>
      <c r="R671" s="69"/>
      <c r="S671" s="121" t="s">
        <v>309</v>
      </c>
      <c r="T671" s="56">
        <v>14</v>
      </c>
      <c r="U671" s="56">
        <v>3</v>
      </c>
    </row>
    <row r="672" spans="1:21" ht="14.25" customHeight="1" thickBot="1" x14ac:dyDescent="0.4">
      <c r="A672" s="58">
        <v>656</v>
      </c>
      <c r="B672" s="69" t="s">
        <v>79</v>
      </c>
      <c r="C672" s="69" t="s">
        <v>80</v>
      </c>
      <c r="D672" s="70" t="s">
        <v>107</v>
      </c>
      <c r="E672" s="69" t="s">
        <v>147</v>
      </c>
      <c r="F672" s="69" t="s">
        <v>148</v>
      </c>
      <c r="G672" s="69" t="s">
        <v>140</v>
      </c>
      <c r="H672" s="70">
        <v>2015</v>
      </c>
      <c r="I672" s="69"/>
      <c r="J672" s="69" t="s">
        <v>3481</v>
      </c>
      <c r="K672" s="71" t="s">
        <v>3482</v>
      </c>
      <c r="L672" s="71" t="s">
        <v>3483</v>
      </c>
      <c r="M672" s="71" t="s">
        <v>3484</v>
      </c>
      <c r="N672" s="69" t="s">
        <v>57</v>
      </c>
      <c r="O672" s="64">
        <v>1</v>
      </c>
      <c r="P672" s="72">
        <v>19430000</v>
      </c>
      <c r="Q672" s="69" t="s">
        <v>3485</v>
      </c>
      <c r="R672" s="69"/>
      <c r="S672" s="121" t="s">
        <v>309</v>
      </c>
      <c r="T672" s="56">
        <v>14</v>
      </c>
      <c r="U672" s="56">
        <v>3</v>
      </c>
    </row>
    <row r="673" spans="1:21" ht="14.25" customHeight="1" x14ac:dyDescent="0.35">
      <c r="A673" s="47">
        <v>657</v>
      </c>
      <c r="B673" s="69" t="s">
        <v>79</v>
      </c>
      <c r="C673" s="69" t="s">
        <v>80</v>
      </c>
      <c r="D673" s="70" t="s">
        <v>116</v>
      </c>
      <c r="E673" s="69" t="s">
        <v>3486</v>
      </c>
      <c r="F673" s="69" t="s">
        <v>3487</v>
      </c>
      <c r="G673" s="69" t="s">
        <v>54</v>
      </c>
      <c r="H673" s="70">
        <v>2005</v>
      </c>
      <c r="I673" s="69" t="s">
        <v>63</v>
      </c>
      <c r="J673" s="69" t="s">
        <v>3488</v>
      </c>
      <c r="K673" s="71" t="s">
        <v>3489</v>
      </c>
      <c r="L673" s="71" t="s">
        <v>3490</v>
      </c>
      <c r="M673" s="71" t="s">
        <v>3491</v>
      </c>
      <c r="N673" s="69" t="s">
        <v>57</v>
      </c>
      <c r="O673" s="64">
        <v>1</v>
      </c>
      <c r="P673" s="72">
        <v>17975000</v>
      </c>
      <c r="Q673" s="69" t="s">
        <v>3492</v>
      </c>
      <c r="R673" s="69"/>
      <c r="S673" s="121" t="s">
        <v>309</v>
      </c>
      <c r="T673" s="56">
        <v>14</v>
      </c>
      <c r="U673" s="56">
        <v>3</v>
      </c>
    </row>
    <row r="674" spans="1:21" ht="14.25" customHeight="1" thickBot="1" x14ac:dyDescent="0.4">
      <c r="A674" s="58">
        <v>658</v>
      </c>
      <c r="B674" s="69" t="s">
        <v>79</v>
      </c>
      <c r="C674" s="69" t="s">
        <v>80</v>
      </c>
      <c r="D674" s="70" t="s">
        <v>126</v>
      </c>
      <c r="E674" s="69" t="s">
        <v>3493</v>
      </c>
      <c r="F674" s="69">
        <v>150</v>
      </c>
      <c r="G674" s="69" t="s">
        <v>63</v>
      </c>
      <c r="H674" s="70">
        <v>2024</v>
      </c>
      <c r="I674" s="69" t="s">
        <v>63</v>
      </c>
      <c r="J674" s="69" t="s">
        <v>3494</v>
      </c>
      <c r="K674" s="71" t="s">
        <v>3495</v>
      </c>
      <c r="L674" s="71" t="s">
        <v>3496</v>
      </c>
      <c r="M674" s="71" t="s">
        <v>3497</v>
      </c>
      <c r="N674" s="69" t="s">
        <v>44</v>
      </c>
      <c r="O674" s="64">
        <v>1</v>
      </c>
      <c r="P674" s="72">
        <v>36293000</v>
      </c>
      <c r="Q674" s="69" t="s">
        <v>3498</v>
      </c>
      <c r="R674" s="69"/>
      <c r="S674" s="121" t="s">
        <v>309</v>
      </c>
      <c r="T674" s="56">
        <v>14</v>
      </c>
      <c r="U674" s="56">
        <v>3</v>
      </c>
    </row>
    <row r="675" spans="1:21" ht="14.25" customHeight="1" x14ac:dyDescent="0.35">
      <c r="A675" s="47">
        <v>659</v>
      </c>
      <c r="B675" s="69" t="s">
        <v>2244</v>
      </c>
      <c r="C675" s="69" t="s">
        <v>2245</v>
      </c>
      <c r="D675" s="70" t="s">
        <v>51</v>
      </c>
      <c r="E675" s="69" t="s">
        <v>3499</v>
      </c>
      <c r="F675" s="69" t="s">
        <v>63</v>
      </c>
      <c r="G675" s="69" t="s">
        <v>415</v>
      </c>
      <c r="H675" s="70">
        <v>2019</v>
      </c>
      <c r="I675" s="69" t="s">
        <v>63</v>
      </c>
      <c r="J675" s="69" t="s">
        <v>3500</v>
      </c>
      <c r="K675" s="71" t="s">
        <v>3501</v>
      </c>
      <c r="L675" s="71" t="s">
        <v>3502</v>
      </c>
      <c r="M675" s="71" t="s">
        <v>3503</v>
      </c>
      <c r="N675" s="69" t="s">
        <v>57</v>
      </c>
      <c r="O675" s="64">
        <v>1</v>
      </c>
      <c r="P675" s="72">
        <v>15000000</v>
      </c>
      <c r="Q675" s="69" t="s">
        <v>3504</v>
      </c>
      <c r="R675" s="69"/>
      <c r="S675" s="121" t="s">
        <v>309</v>
      </c>
      <c r="T675" s="56">
        <v>14</v>
      </c>
      <c r="U675" s="56">
        <v>3</v>
      </c>
    </row>
    <row r="676" spans="1:21" ht="14.25" customHeight="1" thickBot="1" x14ac:dyDescent="0.4">
      <c r="A676" s="58">
        <v>660</v>
      </c>
      <c r="B676" s="69" t="s">
        <v>2244</v>
      </c>
      <c r="C676" s="69" t="s">
        <v>2245</v>
      </c>
      <c r="D676" s="70" t="s">
        <v>59</v>
      </c>
      <c r="E676" s="69" t="s">
        <v>3499</v>
      </c>
      <c r="F676" s="69" t="s">
        <v>63</v>
      </c>
      <c r="G676" s="69" t="s">
        <v>415</v>
      </c>
      <c r="H676" s="70">
        <v>2019</v>
      </c>
      <c r="I676" s="69" t="s">
        <v>63</v>
      </c>
      <c r="J676" s="69" t="s">
        <v>3505</v>
      </c>
      <c r="K676" s="71" t="s">
        <v>3506</v>
      </c>
      <c r="L676" s="71" t="s">
        <v>3507</v>
      </c>
      <c r="M676" s="71" t="s">
        <v>3508</v>
      </c>
      <c r="N676" s="69" t="s">
        <v>57</v>
      </c>
      <c r="O676" s="64">
        <v>1</v>
      </c>
      <c r="P676" s="72">
        <v>15000000</v>
      </c>
      <c r="Q676" s="69" t="s">
        <v>3509</v>
      </c>
      <c r="R676" s="69"/>
      <c r="S676" s="121" t="s">
        <v>309</v>
      </c>
      <c r="T676" s="56">
        <v>14</v>
      </c>
      <c r="U676" s="56">
        <v>3</v>
      </c>
    </row>
    <row r="677" spans="1:21" ht="14.25" customHeight="1" x14ac:dyDescent="0.35">
      <c r="A677" s="47">
        <v>661</v>
      </c>
      <c r="B677" s="69" t="s">
        <v>2244</v>
      </c>
      <c r="C677" s="69" t="s">
        <v>2245</v>
      </c>
      <c r="D677" s="70" t="s">
        <v>97</v>
      </c>
      <c r="E677" s="69" t="s">
        <v>3499</v>
      </c>
      <c r="F677" s="69" t="s">
        <v>63</v>
      </c>
      <c r="G677" s="69" t="s">
        <v>415</v>
      </c>
      <c r="H677" s="70">
        <v>2019</v>
      </c>
      <c r="I677" s="69" t="s">
        <v>63</v>
      </c>
      <c r="J677" s="69" t="s">
        <v>3510</v>
      </c>
      <c r="K677" s="71" t="s">
        <v>3511</v>
      </c>
      <c r="L677" s="71" t="s">
        <v>3512</v>
      </c>
      <c r="M677" s="71" t="s">
        <v>3513</v>
      </c>
      <c r="N677" s="69" t="s">
        <v>57</v>
      </c>
      <c r="O677" s="64">
        <v>1</v>
      </c>
      <c r="P677" s="72">
        <v>15000000</v>
      </c>
      <c r="Q677" s="69" t="s">
        <v>63</v>
      </c>
      <c r="R677" s="69"/>
      <c r="S677" s="121" t="s">
        <v>309</v>
      </c>
      <c r="T677" s="56">
        <v>14</v>
      </c>
      <c r="U677" s="56">
        <v>3</v>
      </c>
    </row>
    <row r="678" spans="1:21" ht="14.25" customHeight="1" thickBot="1" x14ac:dyDescent="0.4">
      <c r="A678" s="58">
        <v>662</v>
      </c>
      <c r="B678" s="69" t="s">
        <v>2244</v>
      </c>
      <c r="C678" s="69" t="s">
        <v>2245</v>
      </c>
      <c r="D678" s="70" t="s">
        <v>101</v>
      </c>
      <c r="E678" s="69" t="s">
        <v>3499</v>
      </c>
      <c r="F678" s="69" t="s">
        <v>63</v>
      </c>
      <c r="G678" s="69" t="s">
        <v>415</v>
      </c>
      <c r="H678" s="70">
        <v>2019</v>
      </c>
      <c r="I678" s="69" t="s">
        <v>63</v>
      </c>
      <c r="J678" s="69" t="s">
        <v>3514</v>
      </c>
      <c r="K678" s="71" t="s">
        <v>3515</v>
      </c>
      <c r="L678" s="71" t="s">
        <v>3516</v>
      </c>
      <c r="M678" s="71" t="s">
        <v>3517</v>
      </c>
      <c r="N678" s="69" t="s">
        <v>57</v>
      </c>
      <c r="O678" s="64">
        <v>1</v>
      </c>
      <c r="P678" s="72">
        <v>15000000</v>
      </c>
      <c r="Q678" s="69" t="s">
        <v>3518</v>
      </c>
      <c r="R678" s="69"/>
      <c r="S678" s="121" t="s">
        <v>309</v>
      </c>
      <c r="T678" s="56">
        <v>14</v>
      </c>
      <c r="U678" s="56">
        <v>3</v>
      </c>
    </row>
    <row r="679" spans="1:21" ht="14.25" customHeight="1" x14ac:dyDescent="0.35">
      <c r="A679" s="47">
        <v>663</v>
      </c>
      <c r="B679" s="69" t="s">
        <v>2244</v>
      </c>
      <c r="C679" s="69" t="s">
        <v>2245</v>
      </c>
      <c r="D679" s="70" t="s">
        <v>107</v>
      </c>
      <c r="E679" s="69" t="s">
        <v>3499</v>
      </c>
      <c r="F679" s="69" t="s">
        <v>63</v>
      </c>
      <c r="G679" s="69" t="s">
        <v>415</v>
      </c>
      <c r="H679" s="70">
        <v>2019</v>
      </c>
      <c r="I679" s="69" t="s">
        <v>63</v>
      </c>
      <c r="J679" s="69" t="s">
        <v>3519</v>
      </c>
      <c r="K679" s="71" t="s">
        <v>3520</v>
      </c>
      <c r="L679" s="71" t="s">
        <v>3521</v>
      </c>
      <c r="M679" s="71" t="s">
        <v>3522</v>
      </c>
      <c r="N679" s="69" t="s">
        <v>57</v>
      </c>
      <c r="O679" s="64">
        <v>1</v>
      </c>
      <c r="P679" s="72">
        <v>15000000</v>
      </c>
      <c r="Q679" s="69" t="s">
        <v>3523</v>
      </c>
      <c r="R679" s="69"/>
      <c r="S679" s="121" t="s">
        <v>309</v>
      </c>
      <c r="T679" s="56">
        <v>14</v>
      </c>
      <c r="U679" s="56">
        <v>3</v>
      </c>
    </row>
    <row r="680" spans="1:21" ht="14.25" customHeight="1" thickBot="1" x14ac:dyDescent="0.4">
      <c r="A680" s="58">
        <v>664</v>
      </c>
      <c r="B680" s="69" t="s">
        <v>2244</v>
      </c>
      <c r="C680" s="69" t="s">
        <v>2245</v>
      </c>
      <c r="D680" s="70" t="s">
        <v>112</v>
      </c>
      <c r="E680" s="69" t="s">
        <v>3499</v>
      </c>
      <c r="F680" s="69" t="s">
        <v>63</v>
      </c>
      <c r="G680" s="69" t="s">
        <v>415</v>
      </c>
      <c r="H680" s="70">
        <v>2019</v>
      </c>
      <c r="I680" s="69" t="s">
        <v>63</v>
      </c>
      <c r="J680" s="69" t="s">
        <v>3524</v>
      </c>
      <c r="K680" s="71" t="s">
        <v>3525</v>
      </c>
      <c r="L680" s="71" t="s">
        <v>3526</v>
      </c>
      <c r="M680" s="71" t="s">
        <v>3527</v>
      </c>
      <c r="N680" s="69" t="s">
        <v>57</v>
      </c>
      <c r="O680" s="64">
        <v>1</v>
      </c>
      <c r="P680" s="72">
        <v>15000000</v>
      </c>
      <c r="Q680" s="69" t="s">
        <v>63</v>
      </c>
      <c r="R680" s="69"/>
      <c r="S680" s="121" t="s">
        <v>309</v>
      </c>
      <c r="T680" s="56">
        <v>14</v>
      </c>
      <c r="U680" s="56">
        <v>3</v>
      </c>
    </row>
    <row r="681" spans="1:21" ht="14.25" customHeight="1" x14ac:dyDescent="0.35">
      <c r="A681" s="47">
        <v>665</v>
      </c>
      <c r="B681" s="69" t="s">
        <v>2244</v>
      </c>
      <c r="C681" s="69" t="s">
        <v>2245</v>
      </c>
      <c r="D681" s="70" t="s">
        <v>116</v>
      </c>
      <c r="E681" s="69" t="s">
        <v>3499</v>
      </c>
      <c r="F681" s="69" t="s">
        <v>63</v>
      </c>
      <c r="G681" s="69" t="s">
        <v>415</v>
      </c>
      <c r="H681" s="70">
        <v>2019</v>
      </c>
      <c r="I681" s="69" t="s">
        <v>63</v>
      </c>
      <c r="J681" s="69" t="s">
        <v>3528</v>
      </c>
      <c r="K681" s="71" t="s">
        <v>3529</v>
      </c>
      <c r="L681" s="71" t="s">
        <v>3530</v>
      </c>
      <c r="M681" s="71" t="s">
        <v>3531</v>
      </c>
      <c r="N681" s="69" t="s">
        <v>57</v>
      </c>
      <c r="O681" s="64">
        <v>1</v>
      </c>
      <c r="P681" s="72">
        <v>15000000</v>
      </c>
      <c r="Q681" s="69" t="s">
        <v>3532</v>
      </c>
      <c r="R681" s="69"/>
      <c r="S681" s="121" t="s">
        <v>309</v>
      </c>
      <c r="T681" s="56">
        <v>14</v>
      </c>
      <c r="U681" s="56">
        <v>3</v>
      </c>
    </row>
    <row r="682" spans="1:21" ht="14.25" customHeight="1" thickBot="1" x14ac:dyDescent="0.4">
      <c r="A682" s="58">
        <v>666</v>
      </c>
      <c r="B682" s="69" t="s">
        <v>2244</v>
      </c>
      <c r="C682" s="69" t="s">
        <v>2245</v>
      </c>
      <c r="D682" s="70" t="s">
        <v>841</v>
      </c>
      <c r="E682" s="69" t="s">
        <v>3499</v>
      </c>
      <c r="F682" s="69" t="s">
        <v>63</v>
      </c>
      <c r="G682" s="69" t="s">
        <v>415</v>
      </c>
      <c r="H682" s="70">
        <v>2019</v>
      </c>
      <c r="I682" s="69" t="s">
        <v>63</v>
      </c>
      <c r="J682" s="69" t="s">
        <v>3533</v>
      </c>
      <c r="K682" s="71" t="s">
        <v>3534</v>
      </c>
      <c r="L682" s="71" t="s">
        <v>3535</v>
      </c>
      <c r="M682" s="71" t="s">
        <v>3536</v>
      </c>
      <c r="N682" s="69" t="s">
        <v>57</v>
      </c>
      <c r="O682" s="64">
        <v>1</v>
      </c>
      <c r="P682" s="72">
        <v>15000000</v>
      </c>
      <c r="Q682" s="69" t="s">
        <v>3537</v>
      </c>
      <c r="R682" s="69"/>
      <c r="S682" s="121" t="s">
        <v>309</v>
      </c>
      <c r="T682" s="56">
        <v>14</v>
      </c>
      <c r="U682" s="56">
        <v>3</v>
      </c>
    </row>
    <row r="683" spans="1:21" ht="14.25" customHeight="1" x14ac:dyDescent="0.35">
      <c r="A683" s="47">
        <v>667</v>
      </c>
      <c r="B683" s="69" t="s">
        <v>2244</v>
      </c>
      <c r="C683" s="69" t="s">
        <v>2245</v>
      </c>
      <c r="D683" s="70" t="s">
        <v>904</v>
      </c>
      <c r="E683" s="69" t="s">
        <v>3499</v>
      </c>
      <c r="F683" s="69" t="s">
        <v>63</v>
      </c>
      <c r="G683" s="69" t="s">
        <v>415</v>
      </c>
      <c r="H683" s="70">
        <v>2019</v>
      </c>
      <c r="I683" s="69" t="s">
        <v>63</v>
      </c>
      <c r="J683" s="69" t="s">
        <v>3538</v>
      </c>
      <c r="K683" s="71" t="s">
        <v>3539</v>
      </c>
      <c r="L683" s="71" t="s">
        <v>3540</v>
      </c>
      <c r="M683" s="71" t="s">
        <v>3541</v>
      </c>
      <c r="N683" s="69" t="s">
        <v>57</v>
      </c>
      <c r="O683" s="64">
        <v>1</v>
      </c>
      <c r="P683" s="72">
        <v>15000000</v>
      </c>
      <c r="Q683" s="69" t="s">
        <v>3542</v>
      </c>
      <c r="R683" s="69"/>
      <c r="S683" s="121" t="s">
        <v>309</v>
      </c>
      <c r="T683" s="56">
        <v>14</v>
      </c>
      <c r="U683" s="56">
        <v>3</v>
      </c>
    </row>
    <row r="684" spans="1:21" ht="14.25" customHeight="1" thickBot="1" x14ac:dyDescent="0.4">
      <c r="A684" s="58">
        <v>668</v>
      </c>
      <c r="B684" s="69" t="s">
        <v>1745</v>
      </c>
      <c r="C684" s="69" t="s">
        <v>1746</v>
      </c>
      <c r="D684" s="70" t="s">
        <v>51</v>
      </c>
      <c r="E684" s="69" t="s">
        <v>3543</v>
      </c>
      <c r="F684" s="69" t="s">
        <v>63</v>
      </c>
      <c r="G684" s="69" t="s">
        <v>140</v>
      </c>
      <c r="H684" s="70">
        <v>2019</v>
      </c>
      <c r="I684" s="69" t="s">
        <v>63</v>
      </c>
      <c r="J684" s="69" t="s">
        <v>3544</v>
      </c>
      <c r="K684" s="71" t="s">
        <v>3545</v>
      </c>
      <c r="L684" s="71" t="s">
        <v>3546</v>
      </c>
      <c r="M684" s="71" t="s">
        <v>3547</v>
      </c>
      <c r="N684" s="69" t="s">
        <v>57</v>
      </c>
      <c r="O684" s="64">
        <v>1</v>
      </c>
      <c r="P684" s="72">
        <v>380000000</v>
      </c>
      <c r="Q684" s="69" t="s">
        <v>3548</v>
      </c>
      <c r="R684" s="69"/>
      <c r="S684" s="121" t="s">
        <v>333</v>
      </c>
      <c r="T684" s="56">
        <v>15</v>
      </c>
      <c r="U684" s="56">
        <v>4</v>
      </c>
    </row>
    <row r="685" spans="1:21" ht="14.25" customHeight="1" x14ac:dyDescent="0.35">
      <c r="A685" s="47">
        <v>669</v>
      </c>
      <c r="B685" s="69" t="s">
        <v>1806</v>
      </c>
      <c r="C685" s="69" t="s">
        <v>1807</v>
      </c>
      <c r="D685" s="70" t="s">
        <v>51</v>
      </c>
      <c r="E685" s="69" t="s">
        <v>2917</v>
      </c>
      <c r="F685" s="69" t="s">
        <v>2559</v>
      </c>
      <c r="G685" s="69" t="s">
        <v>54</v>
      </c>
      <c r="H685" s="70">
        <v>2013</v>
      </c>
      <c r="I685" s="69" t="s">
        <v>63</v>
      </c>
      <c r="J685" s="69" t="s">
        <v>3549</v>
      </c>
      <c r="K685" s="71" t="s">
        <v>3550</v>
      </c>
      <c r="L685" s="71" t="s">
        <v>3551</v>
      </c>
      <c r="M685" s="71" t="s">
        <v>3552</v>
      </c>
      <c r="N685" s="69" t="s">
        <v>57</v>
      </c>
      <c r="O685" s="64">
        <v>1</v>
      </c>
      <c r="P685" s="72">
        <v>268810000</v>
      </c>
      <c r="Q685" s="69" t="s">
        <v>3553</v>
      </c>
      <c r="R685" s="69"/>
      <c r="S685" s="121" t="s">
        <v>333</v>
      </c>
      <c r="T685" s="56">
        <v>15</v>
      </c>
      <c r="U685" s="56">
        <v>4</v>
      </c>
    </row>
    <row r="686" spans="1:21" ht="14.25" customHeight="1" thickBot="1" x14ac:dyDescent="0.4">
      <c r="A686" s="58">
        <v>670</v>
      </c>
      <c r="B686" s="69" t="s">
        <v>70</v>
      </c>
      <c r="C686" s="69" t="s">
        <v>71</v>
      </c>
      <c r="D686" s="70" t="s">
        <v>51</v>
      </c>
      <c r="E686" s="69" t="s">
        <v>3554</v>
      </c>
      <c r="F686" s="69" t="s">
        <v>3555</v>
      </c>
      <c r="G686" s="69" t="s">
        <v>54</v>
      </c>
      <c r="H686" s="70">
        <v>2010</v>
      </c>
      <c r="I686" s="69" t="s">
        <v>63</v>
      </c>
      <c r="J686" s="69" t="s">
        <v>3556</v>
      </c>
      <c r="K686" s="71" t="s">
        <v>3557</v>
      </c>
      <c r="L686" s="71" t="s">
        <v>3558</v>
      </c>
      <c r="M686" s="71" t="s">
        <v>3559</v>
      </c>
      <c r="N686" s="69" t="s">
        <v>57</v>
      </c>
      <c r="O686" s="64">
        <v>1</v>
      </c>
      <c r="P686" s="72">
        <v>348500000</v>
      </c>
      <c r="Q686" s="69" t="s">
        <v>3560</v>
      </c>
      <c r="R686" s="69"/>
      <c r="S686" s="121" t="s">
        <v>333</v>
      </c>
      <c r="T686" s="56">
        <v>15</v>
      </c>
      <c r="U686" s="56">
        <v>4</v>
      </c>
    </row>
    <row r="687" spans="1:21" ht="14.25" customHeight="1" x14ac:dyDescent="0.35">
      <c r="A687" s="47">
        <v>671</v>
      </c>
      <c r="B687" s="69" t="s">
        <v>70</v>
      </c>
      <c r="C687" s="69" t="s">
        <v>71</v>
      </c>
      <c r="D687" s="70" t="s">
        <v>59</v>
      </c>
      <c r="E687" s="69" t="s">
        <v>3561</v>
      </c>
      <c r="F687" s="69"/>
      <c r="G687" s="69" t="s">
        <v>63</v>
      </c>
      <c r="H687" s="70">
        <v>2026</v>
      </c>
      <c r="I687" s="69" t="s">
        <v>63</v>
      </c>
      <c r="J687" s="69" t="s">
        <v>3562</v>
      </c>
      <c r="K687" s="71" t="s">
        <v>3563</v>
      </c>
      <c r="L687" s="71" t="s">
        <v>3564</v>
      </c>
      <c r="M687" s="71" t="s">
        <v>63</v>
      </c>
      <c r="N687" s="69" t="s">
        <v>44</v>
      </c>
      <c r="O687" s="64">
        <v>1</v>
      </c>
      <c r="P687" s="72">
        <v>551900000</v>
      </c>
      <c r="Q687" s="69" t="s">
        <v>3565</v>
      </c>
      <c r="R687" s="69"/>
      <c r="S687" s="121" t="s">
        <v>333</v>
      </c>
      <c r="T687" s="56">
        <v>15</v>
      </c>
      <c r="U687" s="56">
        <v>4</v>
      </c>
    </row>
    <row r="688" spans="1:21" ht="14.25" customHeight="1" thickBot="1" x14ac:dyDescent="0.4">
      <c r="A688" s="58">
        <v>672</v>
      </c>
      <c r="B688" s="69" t="s">
        <v>79</v>
      </c>
      <c r="C688" s="69" t="s">
        <v>80</v>
      </c>
      <c r="D688" s="70" t="s">
        <v>59</v>
      </c>
      <c r="E688" s="69" t="s">
        <v>3566</v>
      </c>
      <c r="F688" s="69" t="s">
        <v>171</v>
      </c>
      <c r="G688" s="69" t="s">
        <v>415</v>
      </c>
      <c r="H688" s="70">
        <v>2010</v>
      </c>
      <c r="I688" s="69"/>
      <c r="J688" s="69" t="s">
        <v>3567</v>
      </c>
      <c r="K688" s="71" t="s">
        <v>3568</v>
      </c>
      <c r="L688" s="71" t="s">
        <v>3569</v>
      </c>
      <c r="M688" s="71" t="s">
        <v>3570</v>
      </c>
      <c r="N688" s="69" t="s">
        <v>57</v>
      </c>
      <c r="O688" s="64">
        <v>1</v>
      </c>
      <c r="P688" s="72">
        <v>16433000</v>
      </c>
      <c r="Q688" s="69" t="s">
        <v>3571</v>
      </c>
      <c r="R688" s="69"/>
      <c r="S688" s="121" t="s">
        <v>333</v>
      </c>
      <c r="T688" s="56">
        <v>15</v>
      </c>
      <c r="U688" s="56">
        <v>3</v>
      </c>
    </row>
    <row r="689" spans="1:21" ht="14.25" customHeight="1" x14ac:dyDescent="0.35">
      <c r="A689" s="47">
        <v>673</v>
      </c>
      <c r="B689" s="69" t="s">
        <v>79</v>
      </c>
      <c r="C689" s="69" t="s">
        <v>80</v>
      </c>
      <c r="D689" s="70" t="s">
        <v>97</v>
      </c>
      <c r="E689" s="69" t="s">
        <v>3566</v>
      </c>
      <c r="F689" s="69" t="s">
        <v>171</v>
      </c>
      <c r="G689" s="69" t="s">
        <v>415</v>
      </c>
      <c r="H689" s="70">
        <v>2010</v>
      </c>
      <c r="I689" s="69"/>
      <c r="J689" s="69" t="s">
        <v>3572</v>
      </c>
      <c r="K689" s="71" t="s">
        <v>3573</v>
      </c>
      <c r="L689" s="71" t="s">
        <v>3574</v>
      </c>
      <c r="M689" s="71" t="s">
        <v>3575</v>
      </c>
      <c r="N689" s="69" t="s">
        <v>57</v>
      </c>
      <c r="O689" s="64">
        <v>1</v>
      </c>
      <c r="P689" s="72">
        <v>16433000</v>
      </c>
      <c r="Q689" s="69" t="s">
        <v>3576</v>
      </c>
      <c r="R689" s="69"/>
      <c r="S689" s="121" t="s">
        <v>333</v>
      </c>
      <c r="T689" s="56">
        <v>15</v>
      </c>
      <c r="U689" s="56">
        <v>3</v>
      </c>
    </row>
    <row r="690" spans="1:21" ht="14.25" customHeight="1" thickBot="1" x14ac:dyDescent="0.4">
      <c r="A690" s="58">
        <v>674</v>
      </c>
      <c r="B690" s="69" t="s">
        <v>79</v>
      </c>
      <c r="C690" s="69" t="s">
        <v>80</v>
      </c>
      <c r="D690" s="70" t="s">
        <v>101</v>
      </c>
      <c r="E690" s="69" t="s">
        <v>3566</v>
      </c>
      <c r="F690" s="69" t="s">
        <v>171</v>
      </c>
      <c r="G690" s="69" t="s">
        <v>415</v>
      </c>
      <c r="H690" s="70">
        <v>2010</v>
      </c>
      <c r="I690" s="69"/>
      <c r="J690" s="69" t="s">
        <v>3577</v>
      </c>
      <c r="K690" s="71" t="s">
        <v>3578</v>
      </c>
      <c r="L690" s="71" t="s">
        <v>3579</v>
      </c>
      <c r="M690" s="71" t="s">
        <v>3580</v>
      </c>
      <c r="N690" s="69" t="s">
        <v>57</v>
      </c>
      <c r="O690" s="64">
        <v>1</v>
      </c>
      <c r="P690" s="72">
        <v>16433000</v>
      </c>
      <c r="Q690" s="69" t="s">
        <v>3581</v>
      </c>
      <c r="R690" s="69"/>
      <c r="S690" s="121" t="s">
        <v>333</v>
      </c>
      <c r="T690" s="56">
        <v>15</v>
      </c>
      <c r="U690" s="56">
        <v>3</v>
      </c>
    </row>
    <row r="691" spans="1:21" ht="14.25" customHeight="1" x14ac:dyDescent="0.35">
      <c r="A691" s="47">
        <v>675</v>
      </c>
      <c r="B691" s="69" t="s">
        <v>79</v>
      </c>
      <c r="C691" s="69" t="s">
        <v>80</v>
      </c>
      <c r="D691" s="70" t="s">
        <v>107</v>
      </c>
      <c r="E691" s="69" t="s">
        <v>3566</v>
      </c>
      <c r="F691" s="69" t="s">
        <v>171</v>
      </c>
      <c r="G691" s="69" t="s">
        <v>415</v>
      </c>
      <c r="H691" s="70">
        <v>2010</v>
      </c>
      <c r="I691" s="69"/>
      <c r="J691" s="69" t="s">
        <v>3582</v>
      </c>
      <c r="K691" s="71" t="s">
        <v>3583</v>
      </c>
      <c r="L691" s="71" t="s">
        <v>3584</v>
      </c>
      <c r="M691" s="71" t="s">
        <v>3585</v>
      </c>
      <c r="N691" s="69" t="s">
        <v>57</v>
      </c>
      <c r="O691" s="64">
        <v>1</v>
      </c>
      <c r="P691" s="72">
        <v>16433000</v>
      </c>
      <c r="Q691" s="69" t="s">
        <v>3586</v>
      </c>
      <c r="R691" s="69"/>
      <c r="S691" s="121" t="s">
        <v>333</v>
      </c>
      <c r="T691" s="56">
        <v>15</v>
      </c>
      <c r="U691" s="56">
        <v>3</v>
      </c>
    </row>
    <row r="692" spans="1:21" ht="14.25" customHeight="1" thickBot="1" x14ac:dyDescent="0.4">
      <c r="A692" s="58">
        <v>676</v>
      </c>
      <c r="B692" s="69" t="s">
        <v>79</v>
      </c>
      <c r="C692" s="69" t="s">
        <v>80</v>
      </c>
      <c r="D692" s="70" t="s">
        <v>112</v>
      </c>
      <c r="E692" s="69" t="s">
        <v>3566</v>
      </c>
      <c r="F692" s="69" t="s">
        <v>171</v>
      </c>
      <c r="G692" s="69" t="s">
        <v>415</v>
      </c>
      <c r="H692" s="70">
        <v>2010</v>
      </c>
      <c r="I692" s="69"/>
      <c r="J692" s="69" t="s">
        <v>3587</v>
      </c>
      <c r="K692" s="71" t="s">
        <v>3588</v>
      </c>
      <c r="L692" s="71" t="s">
        <v>3589</v>
      </c>
      <c r="M692" s="71" t="s">
        <v>3590</v>
      </c>
      <c r="N692" s="69" t="s">
        <v>57</v>
      </c>
      <c r="O692" s="64">
        <v>1</v>
      </c>
      <c r="P692" s="72">
        <v>16433000</v>
      </c>
      <c r="Q692" s="69" t="s">
        <v>3591</v>
      </c>
      <c r="R692" s="69"/>
      <c r="S692" s="121" t="s">
        <v>333</v>
      </c>
      <c r="T692" s="56">
        <v>15</v>
      </c>
      <c r="U692" s="56">
        <v>3</v>
      </c>
    </row>
    <row r="693" spans="1:21" ht="14.25" customHeight="1" x14ac:dyDescent="0.35">
      <c r="A693" s="47">
        <v>677</v>
      </c>
      <c r="B693" s="69" t="s">
        <v>79</v>
      </c>
      <c r="C693" s="69" t="s">
        <v>80</v>
      </c>
      <c r="D693" s="70" t="s">
        <v>116</v>
      </c>
      <c r="E693" s="69" t="s">
        <v>1860</v>
      </c>
      <c r="F693" s="69" t="s">
        <v>202</v>
      </c>
      <c r="G693" s="69" t="s">
        <v>54</v>
      </c>
      <c r="H693" s="70">
        <v>2012</v>
      </c>
      <c r="I693" s="69"/>
      <c r="J693" s="69" t="s">
        <v>3592</v>
      </c>
      <c r="K693" s="71" t="s">
        <v>3593</v>
      </c>
      <c r="L693" s="71" t="s">
        <v>3594</v>
      </c>
      <c r="M693" s="71" t="s">
        <v>3595</v>
      </c>
      <c r="N693" s="69" t="s">
        <v>57</v>
      </c>
      <c r="O693" s="64">
        <v>1</v>
      </c>
      <c r="P693" s="72">
        <v>13177550</v>
      </c>
      <c r="Q693" s="69" t="s">
        <v>3596</v>
      </c>
      <c r="R693" s="69"/>
      <c r="S693" s="121" t="s">
        <v>333</v>
      </c>
      <c r="T693" s="56">
        <v>15</v>
      </c>
      <c r="U693" s="56">
        <v>3</v>
      </c>
    </row>
    <row r="694" spans="1:21" ht="14.25" customHeight="1" thickBot="1" x14ac:dyDescent="0.4">
      <c r="A694" s="58">
        <v>678</v>
      </c>
      <c r="B694" s="69" t="s">
        <v>79</v>
      </c>
      <c r="C694" s="69" t="s">
        <v>80</v>
      </c>
      <c r="D694" s="70" t="s">
        <v>904</v>
      </c>
      <c r="E694" s="69" t="s">
        <v>155</v>
      </c>
      <c r="F694" s="69" t="s">
        <v>163</v>
      </c>
      <c r="G694" s="69" t="s">
        <v>140</v>
      </c>
      <c r="H694" s="70">
        <v>2017</v>
      </c>
      <c r="I694" s="69" t="s">
        <v>63</v>
      </c>
      <c r="J694" s="69" t="s">
        <v>3597</v>
      </c>
      <c r="K694" s="71" t="s">
        <v>3598</v>
      </c>
      <c r="L694" s="71" t="s">
        <v>3599</v>
      </c>
      <c r="M694" s="71" t="s">
        <v>3600</v>
      </c>
      <c r="N694" s="69" t="s">
        <v>57</v>
      </c>
      <c r="O694" s="64">
        <v>1</v>
      </c>
      <c r="P694" s="72">
        <v>15252264</v>
      </c>
      <c r="Q694" s="69" t="s">
        <v>3601</v>
      </c>
      <c r="R694" s="69"/>
      <c r="S694" s="121" t="s">
        <v>333</v>
      </c>
      <c r="T694" s="56">
        <v>15</v>
      </c>
      <c r="U694" s="56">
        <v>3</v>
      </c>
    </row>
    <row r="695" spans="1:21" ht="14.25" customHeight="1" x14ac:dyDescent="0.35">
      <c r="A695" s="47">
        <v>679</v>
      </c>
      <c r="B695" s="69" t="s">
        <v>79</v>
      </c>
      <c r="C695" s="69" t="s">
        <v>80</v>
      </c>
      <c r="D695" s="70" t="s">
        <v>122</v>
      </c>
      <c r="E695" s="69" t="s">
        <v>155</v>
      </c>
      <c r="F695" s="69" t="s">
        <v>163</v>
      </c>
      <c r="G695" s="69" t="s">
        <v>140</v>
      </c>
      <c r="H695" s="70">
        <v>2017</v>
      </c>
      <c r="I695" s="69" t="s">
        <v>63</v>
      </c>
      <c r="J695" s="69" t="s">
        <v>3602</v>
      </c>
      <c r="K695" s="71" t="s">
        <v>3603</v>
      </c>
      <c r="L695" s="71" t="s">
        <v>3604</v>
      </c>
      <c r="M695" s="71" t="s">
        <v>3605</v>
      </c>
      <c r="N695" s="69" t="s">
        <v>57</v>
      </c>
      <c r="O695" s="64">
        <v>1</v>
      </c>
      <c r="P695" s="72">
        <v>15252264</v>
      </c>
      <c r="Q695" s="69" t="s">
        <v>3606</v>
      </c>
      <c r="R695" s="69"/>
      <c r="S695" s="121" t="s">
        <v>333</v>
      </c>
      <c r="T695" s="56">
        <v>15</v>
      </c>
      <c r="U695" s="56">
        <v>3</v>
      </c>
    </row>
    <row r="696" spans="1:21" ht="14.25" customHeight="1" thickBot="1" x14ac:dyDescent="0.4">
      <c r="A696" s="58">
        <v>680</v>
      </c>
      <c r="B696" s="69" t="s">
        <v>79</v>
      </c>
      <c r="C696" s="69" t="s">
        <v>80</v>
      </c>
      <c r="D696" s="70" t="s">
        <v>126</v>
      </c>
      <c r="E696" s="69" t="s">
        <v>155</v>
      </c>
      <c r="F696" s="69" t="s">
        <v>163</v>
      </c>
      <c r="G696" s="69" t="s">
        <v>140</v>
      </c>
      <c r="H696" s="70">
        <v>2017</v>
      </c>
      <c r="I696" s="69" t="s">
        <v>63</v>
      </c>
      <c r="J696" s="69" t="s">
        <v>3607</v>
      </c>
      <c r="K696" s="71" t="s">
        <v>3608</v>
      </c>
      <c r="L696" s="71" t="s">
        <v>3609</v>
      </c>
      <c r="M696" s="71" t="s">
        <v>3610</v>
      </c>
      <c r="N696" s="69" t="s">
        <v>57</v>
      </c>
      <c r="O696" s="64">
        <v>1</v>
      </c>
      <c r="P696" s="72">
        <v>15252264</v>
      </c>
      <c r="Q696" s="69" t="s">
        <v>3611</v>
      </c>
      <c r="R696" s="69"/>
      <c r="S696" s="121" t="s">
        <v>333</v>
      </c>
      <c r="T696" s="56">
        <v>15</v>
      </c>
      <c r="U696" s="56">
        <v>3</v>
      </c>
    </row>
    <row r="697" spans="1:21" ht="14.25" customHeight="1" x14ac:dyDescent="0.35">
      <c r="A697" s="47">
        <v>681</v>
      </c>
      <c r="B697" s="69" t="s">
        <v>79</v>
      </c>
      <c r="C697" s="69" t="s">
        <v>80</v>
      </c>
      <c r="D697" s="70" t="s">
        <v>132</v>
      </c>
      <c r="E697" s="69" t="s">
        <v>155</v>
      </c>
      <c r="F697" s="69" t="s">
        <v>163</v>
      </c>
      <c r="G697" s="69" t="s">
        <v>140</v>
      </c>
      <c r="H697" s="70">
        <v>2017</v>
      </c>
      <c r="I697" s="69" t="s">
        <v>63</v>
      </c>
      <c r="J697" s="69" t="s">
        <v>3612</v>
      </c>
      <c r="K697" s="71" t="s">
        <v>3613</v>
      </c>
      <c r="L697" s="71" t="s">
        <v>3614</v>
      </c>
      <c r="M697" s="71" t="s">
        <v>3615</v>
      </c>
      <c r="N697" s="69" t="s">
        <v>57</v>
      </c>
      <c r="O697" s="64">
        <v>1</v>
      </c>
      <c r="P697" s="72">
        <v>15252264</v>
      </c>
      <c r="Q697" s="69" t="s">
        <v>3616</v>
      </c>
      <c r="R697" s="69"/>
      <c r="S697" s="121" t="s">
        <v>333</v>
      </c>
      <c r="T697" s="56">
        <v>15</v>
      </c>
      <c r="U697" s="56">
        <v>3</v>
      </c>
    </row>
    <row r="698" spans="1:21" ht="14.25" customHeight="1" thickBot="1" x14ac:dyDescent="0.4">
      <c r="A698" s="58">
        <v>682</v>
      </c>
      <c r="B698" s="69" t="s">
        <v>79</v>
      </c>
      <c r="C698" s="69" t="s">
        <v>80</v>
      </c>
      <c r="D698" s="70" t="s">
        <v>137</v>
      </c>
      <c r="E698" s="69" t="s">
        <v>155</v>
      </c>
      <c r="F698" s="69" t="s">
        <v>156</v>
      </c>
      <c r="G698" s="69" t="s">
        <v>140</v>
      </c>
      <c r="H698" s="70">
        <v>2017</v>
      </c>
      <c r="I698" s="69" t="s">
        <v>63</v>
      </c>
      <c r="J698" s="69" t="s">
        <v>3617</v>
      </c>
      <c r="K698" s="71" t="s">
        <v>3618</v>
      </c>
      <c r="L698" s="71" t="s">
        <v>3619</v>
      </c>
      <c r="M698" s="71" t="s">
        <v>3620</v>
      </c>
      <c r="N698" s="69" t="s">
        <v>57</v>
      </c>
      <c r="O698" s="64">
        <v>1</v>
      </c>
      <c r="P698" s="72">
        <v>15252264</v>
      </c>
      <c r="Q698" s="69" t="s">
        <v>3621</v>
      </c>
      <c r="R698" s="69"/>
      <c r="S698" s="121" t="s">
        <v>333</v>
      </c>
      <c r="T698" s="56">
        <v>15</v>
      </c>
      <c r="U698" s="56">
        <v>3</v>
      </c>
    </row>
    <row r="699" spans="1:21" ht="14.25" customHeight="1" x14ac:dyDescent="0.35">
      <c r="A699" s="47">
        <v>683</v>
      </c>
      <c r="B699" s="69" t="s">
        <v>79</v>
      </c>
      <c r="C699" s="69" t="s">
        <v>80</v>
      </c>
      <c r="D699" s="70" t="s">
        <v>146</v>
      </c>
      <c r="E699" s="69" t="s">
        <v>155</v>
      </c>
      <c r="F699" s="69" t="s">
        <v>156</v>
      </c>
      <c r="G699" s="69" t="s">
        <v>140</v>
      </c>
      <c r="H699" s="70">
        <v>2017</v>
      </c>
      <c r="I699" s="69" t="s">
        <v>63</v>
      </c>
      <c r="J699" s="69" t="s">
        <v>3622</v>
      </c>
      <c r="K699" s="71" t="s">
        <v>3623</v>
      </c>
      <c r="L699" s="71" t="s">
        <v>3624</v>
      </c>
      <c r="M699" s="71" t="s">
        <v>3625</v>
      </c>
      <c r="N699" s="69" t="s">
        <v>57</v>
      </c>
      <c r="O699" s="64">
        <v>1</v>
      </c>
      <c r="P699" s="72">
        <v>15252264</v>
      </c>
      <c r="Q699" s="69" t="s">
        <v>3626</v>
      </c>
      <c r="R699" s="69"/>
      <c r="S699" s="121" t="s">
        <v>333</v>
      </c>
      <c r="T699" s="56">
        <v>15</v>
      </c>
      <c r="U699" s="56">
        <v>3</v>
      </c>
    </row>
    <row r="700" spans="1:21" ht="14.25" customHeight="1" thickBot="1" x14ac:dyDescent="0.4">
      <c r="A700" s="58">
        <v>684</v>
      </c>
      <c r="B700" s="69" t="s">
        <v>79</v>
      </c>
      <c r="C700" s="69" t="s">
        <v>80</v>
      </c>
      <c r="D700" s="70" t="s">
        <v>154</v>
      </c>
      <c r="E700" s="69" t="s">
        <v>155</v>
      </c>
      <c r="F700" s="69" t="s">
        <v>156</v>
      </c>
      <c r="G700" s="69" t="s">
        <v>140</v>
      </c>
      <c r="H700" s="70">
        <v>2017</v>
      </c>
      <c r="I700" s="69" t="s">
        <v>63</v>
      </c>
      <c r="J700" s="69" t="s">
        <v>3627</v>
      </c>
      <c r="K700" s="71" t="s">
        <v>3628</v>
      </c>
      <c r="L700" s="71" t="s">
        <v>3629</v>
      </c>
      <c r="M700" s="71" t="s">
        <v>3630</v>
      </c>
      <c r="N700" s="69" t="s">
        <v>57</v>
      </c>
      <c r="O700" s="64">
        <v>1</v>
      </c>
      <c r="P700" s="72">
        <v>15252264</v>
      </c>
      <c r="Q700" s="69" t="s">
        <v>3631</v>
      </c>
      <c r="R700" s="69"/>
      <c r="S700" s="121" t="s">
        <v>333</v>
      </c>
      <c r="T700" s="56">
        <v>15</v>
      </c>
      <c r="U700" s="56">
        <v>3</v>
      </c>
    </row>
    <row r="701" spans="1:21" ht="14.25" customHeight="1" x14ac:dyDescent="0.35">
      <c r="A701" s="47">
        <v>685</v>
      </c>
      <c r="B701" s="69" t="s">
        <v>79</v>
      </c>
      <c r="C701" s="69" t="s">
        <v>80</v>
      </c>
      <c r="D701" s="70" t="s">
        <v>161</v>
      </c>
      <c r="E701" s="69" t="s">
        <v>155</v>
      </c>
      <c r="F701" s="69" t="s">
        <v>156</v>
      </c>
      <c r="G701" s="69" t="s">
        <v>140</v>
      </c>
      <c r="H701" s="70">
        <v>2017</v>
      </c>
      <c r="I701" s="69" t="s">
        <v>63</v>
      </c>
      <c r="J701" s="69" t="s">
        <v>3632</v>
      </c>
      <c r="K701" s="71" t="s">
        <v>3633</v>
      </c>
      <c r="L701" s="71" t="s">
        <v>3634</v>
      </c>
      <c r="M701" s="71" t="s">
        <v>3635</v>
      </c>
      <c r="N701" s="69" t="s">
        <v>57</v>
      </c>
      <c r="O701" s="64">
        <v>1</v>
      </c>
      <c r="P701" s="72">
        <v>15252264</v>
      </c>
      <c r="Q701" s="69" t="s">
        <v>3636</v>
      </c>
      <c r="R701" s="69"/>
      <c r="S701" s="121" t="s">
        <v>333</v>
      </c>
      <c r="T701" s="56">
        <v>15</v>
      </c>
      <c r="U701" s="56">
        <v>3</v>
      </c>
    </row>
    <row r="702" spans="1:21" ht="14.25" customHeight="1" thickBot="1" x14ac:dyDescent="0.4">
      <c r="A702" s="58">
        <v>686</v>
      </c>
      <c r="B702" s="69" t="s">
        <v>79</v>
      </c>
      <c r="C702" s="69" t="s">
        <v>80</v>
      </c>
      <c r="D702" s="70" t="s">
        <v>169</v>
      </c>
      <c r="E702" s="69" t="s">
        <v>1888</v>
      </c>
      <c r="F702" s="69" t="s">
        <v>443</v>
      </c>
      <c r="G702" s="69" t="s">
        <v>54</v>
      </c>
      <c r="H702" s="70">
        <v>2013</v>
      </c>
      <c r="I702" s="69" t="s">
        <v>63</v>
      </c>
      <c r="J702" s="69" t="s">
        <v>3637</v>
      </c>
      <c r="K702" s="71" t="s">
        <v>3638</v>
      </c>
      <c r="L702" s="71" t="s">
        <v>3639</v>
      </c>
      <c r="M702" s="71" t="s">
        <v>3640</v>
      </c>
      <c r="N702" s="69" t="s">
        <v>57</v>
      </c>
      <c r="O702" s="64">
        <v>1</v>
      </c>
      <c r="P702" s="72">
        <v>14108500</v>
      </c>
      <c r="Q702" s="69" t="s">
        <v>3641</v>
      </c>
      <c r="R702" s="69"/>
      <c r="S702" s="121" t="s">
        <v>333</v>
      </c>
      <c r="T702" s="56">
        <v>15</v>
      </c>
      <c r="U702" s="56">
        <v>3</v>
      </c>
    </row>
    <row r="703" spans="1:21" ht="14.25" customHeight="1" x14ac:dyDescent="0.35">
      <c r="A703" s="47">
        <v>687</v>
      </c>
      <c r="B703" s="69" t="s">
        <v>79</v>
      </c>
      <c r="C703" s="69" t="s">
        <v>80</v>
      </c>
      <c r="D703" s="70" t="s">
        <v>176</v>
      </c>
      <c r="E703" s="69" t="s">
        <v>414</v>
      </c>
      <c r="F703" s="69" t="s">
        <v>217</v>
      </c>
      <c r="G703" s="69" t="s">
        <v>415</v>
      </c>
      <c r="H703" s="70">
        <v>2021</v>
      </c>
      <c r="I703" s="69" t="s">
        <v>63</v>
      </c>
      <c r="J703" s="69" t="s">
        <v>63</v>
      </c>
      <c r="K703" s="71" t="s">
        <v>3642</v>
      </c>
      <c r="L703" s="71" t="s">
        <v>3643</v>
      </c>
      <c r="M703" s="71" t="s">
        <v>3644</v>
      </c>
      <c r="N703" s="69" t="s">
        <v>57</v>
      </c>
      <c r="O703" s="64">
        <v>1</v>
      </c>
      <c r="P703" s="72">
        <v>33100000</v>
      </c>
      <c r="Q703" s="69" t="s">
        <v>420</v>
      </c>
      <c r="R703" s="69"/>
      <c r="S703" s="121" t="s">
        <v>333</v>
      </c>
      <c r="T703" s="56">
        <v>15</v>
      </c>
      <c r="U703" s="56">
        <v>3</v>
      </c>
    </row>
    <row r="704" spans="1:21" ht="14.25" customHeight="1" thickBot="1" x14ac:dyDescent="0.4">
      <c r="A704" s="58">
        <v>688</v>
      </c>
      <c r="B704" s="125" t="s">
        <v>3645</v>
      </c>
      <c r="C704" s="126" t="s">
        <v>3646</v>
      </c>
      <c r="D704" s="70">
        <v>1</v>
      </c>
      <c r="E704" s="127" t="s">
        <v>3647</v>
      </c>
      <c r="F704" s="128" t="s">
        <v>3648</v>
      </c>
      <c r="G704" s="125" t="s">
        <v>247</v>
      </c>
      <c r="H704" s="128">
        <v>2019</v>
      </c>
      <c r="I704" s="126" t="s">
        <v>63</v>
      </c>
      <c r="J704" s="126" t="s">
        <v>3649</v>
      </c>
      <c r="K704" s="129" t="s">
        <v>3650</v>
      </c>
      <c r="L704" s="130" t="s">
        <v>3651</v>
      </c>
      <c r="M704" s="129" t="s">
        <v>3652</v>
      </c>
      <c r="N704" s="126" t="s">
        <v>57</v>
      </c>
      <c r="O704" s="126" t="s">
        <v>3653</v>
      </c>
      <c r="P704" s="72">
        <v>1498499200</v>
      </c>
      <c r="Q704" s="69" t="s">
        <v>3654</v>
      </c>
      <c r="R704" s="69"/>
      <c r="S704" s="69" t="s">
        <v>3655</v>
      </c>
      <c r="T704" s="56">
        <v>16</v>
      </c>
      <c r="U704" s="56">
        <v>6</v>
      </c>
    </row>
    <row r="705" spans="1:21" ht="14.25" customHeight="1" x14ac:dyDescent="0.35">
      <c r="A705" s="47">
        <v>689</v>
      </c>
      <c r="B705" s="131" t="s">
        <v>3656</v>
      </c>
      <c r="C705" s="132" t="s">
        <v>3657</v>
      </c>
      <c r="D705" s="70">
        <v>1</v>
      </c>
      <c r="E705" s="133" t="s">
        <v>3658</v>
      </c>
      <c r="F705" s="134" t="s">
        <v>3659</v>
      </c>
      <c r="G705" s="131" t="s">
        <v>54</v>
      </c>
      <c r="H705" s="134">
        <v>2008</v>
      </c>
      <c r="I705" s="132" t="s">
        <v>63</v>
      </c>
      <c r="J705" s="132" t="s">
        <v>3660</v>
      </c>
      <c r="K705" s="135" t="s">
        <v>3661</v>
      </c>
      <c r="L705" s="136" t="s">
        <v>3662</v>
      </c>
      <c r="M705" s="137" t="s">
        <v>3663</v>
      </c>
      <c r="N705" s="132" t="s">
        <v>422</v>
      </c>
      <c r="O705" s="132" t="s">
        <v>3664</v>
      </c>
      <c r="P705" s="72">
        <v>109375000</v>
      </c>
      <c r="Q705" s="69" t="s">
        <v>3665</v>
      </c>
      <c r="R705" s="69"/>
      <c r="S705" s="69" t="s">
        <v>3655</v>
      </c>
      <c r="T705" s="56">
        <v>16</v>
      </c>
      <c r="U705" s="56">
        <v>5</v>
      </c>
    </row>
    <row r="706" spans="1:21" ht="14.25" customHeight="1" thickBot="1" x14ac:dyDescent="0.4">
      <c r="A706" s="58">
        <v>690</v>
      </c>
      <c r="B706" s="131" t="s">
        <v>1745</v>
      </c>
      <c r="C706" s="132" t="s">
        <v>1746</v>
      </c>
      <c r="D706" s="70">
        <v>1</v>
      </c>
      <c r="E706" s="133" t="s">
        <v>3666</v>
      </c>
      <c r="F706" s="134" t="s">
        <v>3648</v>
      </c>
      <c r="G706" s="131" t="s">
        <v>54</v>
      </c>
      <c r="H706" s="134">
        <v>2018</v>
      </c>
      <c r="I706" s="132" t="s">
        <v>63</v>
      </c>
      <c r="J706" s="132" t="s">
        <v>3667</v>
      </c>
      <c r="K706" s="135" t="s">
        <v>3668</v>
      </c>
      <c r="L706" s="136" t="s">
        <v>3669</v>
      </c>
      <c r="M706" s="135" t="s">
        <v>3670</v>
      </c>
      <c r="N706" s="132" t="s">
        <v>57</v>
      </c>
      <c r="O706" s="132" t="s">
        <v>3671</v>
      </c>
      <c r="P706" s="72">
        <v>732396800</v>
      </c>
      <c r="Q706" s="69" t="s">
        <v>3672</v>
      </c>
      <c r="R706" s="69"/>
      <c r="S706" s="69" t="s">
        <v>3655</v>
      </c>
      <c r="T706" s="56">
        <v>16</v>
      </c>
      <c r="U706" s="56">
        <v>4</v>
      </c>
    </row>
    <row r="707" spans="1:21" ht="14.25" customHeight="1" x14ac:dyDescent="0.35">
      <c r="A707" s="47">
        <v>691</v>
      </c>
      <c r="B707" s="131" t="s">
        <v>1745</v>
      </c>
      <c r="C707" s="132" t="s">
        <v>1746</v>
      </c>
      <c r="D707" s="70">
        <v>2</v>
      </c>
      <c r="E707" s="133" t="s">
        <v>3673</v>
      </c>
      <c r="F707" s="134" t="s">
        <v>3674</v>
      </c>
      <c r="G707" s="131" t="s">
        <v>54</v>
      </c>
      <c r="H707" s="134">
        <v>2020</v>
      </c>
      <c r="I707" s="132" t="s">
        <v>63</v>
      </c>
      <c r="J707" s="125" t="s">
        <v>3675</v>
      </c>
      <c r="K707" s="129" t="s">
        <v>3676</v>
      </c>
      <c r="L707" s="130" t="s">
        <v>3677</v>
      </c>
      <c r="M707" s="129" t="s">
        <v>3664</v>
      </c>
      <c r="N707" s="132" t="s">
        <v>44</v>
      </c>
      <c r="O707" s="132" t="s">
        <v>3678</v>
      </c>
      <c r="P707" s="72">
        <v>518590000</v>
      </c>
      <c r="Q707" s="69" t="s">
        <v>3679</v>
      </c>
      <c r="R707" s="69"/>
      <c r="S707" s="69" t="s">
        <v>3655</v>
      </c>
      <c r="T707" s="56">
        <v>16</v>
      </c>
      <c r="U707" s="56">
        <v>4</v>
      </c>
    </row>
    <row r="708" spans="1:21" ht="14.25" customHeight="1" thickBot="1" x14ac:dyDescent="0.4">
      <c r="A708" s="58">
        <v>692</v>
      </c>
      <c r="B708" s="131" t="s">
        <v>1745</v>
      </c>
      <c r="C708" s="132" t="s">
        <v>1746</v>
      </c>
      <c r="D708" s="70">
        <v>3</v>
      </c>
      <c r="E708" s="133" t="s">
        <v>3673</v>
      </c>
      <c r="F708" s="134" t="s">
        <v>3680</v>
      </c>
      <c r="G708" s="131" t="s">
        <v>54</v>
      </c>
      <c r="H708" s="134">
        <v>2019</v>
      </c>
      <c r="I708" s="132" t="s">
        <v>63</v>
      </c>
      <c r="J708" s="125" t="s">
        <v>3681</v>
      </c>
      <c r="K708" s="129" t="s">
        <v>3682</v>
      </c>
      <c r="L708" s="130" t="s">
        <v>3683</v>
      </c>
      <c r="M708" s="129" t="s">
        <v>3671</v>
      </c>
      <c r="N708" s="132" t="s">
        <v>44</v>
      </c>
      <c r="O708" s="132"/>
      <c r="P708" s="72">
        <v>494420110</v>
      </c>
      <c r="Q708" s="69" t="s">
        <v>3684</v>
      </c>
      <c r="R708" s="69"/>
      <c r="S708" s="69" t="s">
        <v>3655</v>
      </c>
      <c r="T708" s="56">
        <v>16</v>
      </c>
      <c r="U708" s="56">
        <v>4</v>
      </c>
    </row>
    <row r="709" spans="1:21" ht="14.25" customHeight="1" x14ac:dyDescent="0.35">
      <c r="A709" s="47">
        <v>693</v>
      </c>
      <c r="B709" s="138" t="s">
        <v>1806</v>
      </c>
      <c r="C709" s="139" t="s">
        <v>1807</v>
      </c>
      <c r="D709" s="140">
        <v>1</v>
      </c>
      <c r="E709" s="141" t="s">
        <v>3685</v>
      </c>
      <c r="F709" s="140" t="s">
        <v>1609</v>
      </c>
      <c r="G709" s="138" t="s">
        <v>54</v>
      </c>
      <c r="H709" s="140">
        <v>2008</v>
      </c>
      <c r="I709" s="132"/>
      <c r="J709" s="132" t="s">
        <v>3686</v>
      </c>
      <c r="K709" s="135" t="s">
        <v>3687</v>
      </c>
      <c r="L709" s="136" t="s">
        <v>3688</v>
      </c>
      <c r="M709" s="135" t="s">
        <v>3689</v>
      </c>
      <c r="N709" s="132" t="s">
        <v>57</v>
      </c>
      <c r="O709" s="132" t="s">
        <v>3690</v>
      </c>
      <c r="P709" s="72">
        <v>112500000</v>
      </c>
      <c r="Q709" s="69" t="s">
        <v>3691</v>
      </c>
      <c r="R709" s="69"/>
      <c r="S709" s="69" t="s">
        <v>3655</v>
      </c>
      <c r="T709" s="56">
        <v>16</v>
      </c>
      <c r="U709" s="56">
        <v>4</v>
      </c>
    </row>
    <row r="710" spans="1:21" ht="14.25" customHeight="1" thickBot="1" x14ac:dyDescent="0.4">
      <c r="A710" s="58">
        <v>694</v>
      </c>
      <c r="B710" s="142" t="s">
        <v>1806</v>
      </c>
      <c r="C710" s="142" t="s">
        <v>1807</v>
      </c>
      <c r="D710" s="143">
        <v>2</v>
      </c>
      <c r="E710" s="144" t="s">
        <v>3692</v>
      </c>
      <c r="F710" s="145" t="s">
        <v>2332</v>
      </c>
      <c r="G710" s="146" t="s">
        <v>247</v>
      </c>
      <c r="H710" s="147">
        <v>2024</v>
      </c>
      <c r="I710" s="131" t="s">
        <v>63</v>
      </c>
      <c r="J710" s="148" t="s">
        <v>3693</v>
      </c>
      <c r="K710" s="125" t="s">
        <v>3694</v>
      </c>
      <c r="L710" s="149" t="s">
        <v>3695</v>
      </c>
      <c r="M710" s="126" t="s">
        <v>3678</v>
      </c>
      <c r="N710" s="69" t="s">
        <v>44</v>
      </c>
      <c r="O710" s="69" t="s">
        <v>3696</v>
      </c>
      <c r="P710" s="72">
        <v>429300000</v>
      </c>
      <c r="Q710" s="69" t="s">
        <v>3697</v>
      </c>
      <c r="R710" s="69"/>
      <c r="S710" s="69" t="s">
        <v>3655</v>
      </c>
      <c r="T710" s="56">
        <v>16</v>
      </c>
      <c r="U710" s="56">
        <v>4</v>
      </c>
    </row>
    <row r="711" spans="1:21" ht="14.25" customHeight="1" x14ac:dyDescent="0.35">
      <c r="A711" s="47">
        <v>695</v>
      </c>
      <c r="B711" s="142" t="s">
        <v>70</v>
      </c>
      <c r="C711" s="142" t="s">
        <v>71</v>
      </c>
      <c r="D711" s="143">
        <v>3</v>
      </c>
      <c r="E711" s="150" t="s">
        <v>3698</v>
      </c>
      <c r="F711" s="151" t="s">
        <v>3699</v>
      </c>
      <c r="G711" s="142" t="s">
        <v>54</v>
      </c>
      <c r="H711" s="152">
        <v>2022</v>
      </c>
      <c r="I711" s="131"/>
      <c r="J711" s="125" t="s">
        <v>3700</v>
      </c>
      <c r="K711" s="126" t="s">
        <v>3701</v>
      </c>
      <c r="L711" s="130" t="s">
        <v>3702</v>
      </c>
      <c r="M711" s="71" t="s">
        <v>3703</v>
      </c>
      <c r="N711" s="69" t="s">
        <v>44</v>
      </c>
      <c r="O711" s="69" t="s">
        <v>3696</v>
      </c>
      <c r="P711" s="72">
        <v>425500000</v>
      </c>
      <c r="Q711" s="69" t="s">
        <v>3704</v>
      </c>
      <c r="R711" s="69"/>
      <c r="S711" s="69" t="s">
        <v>3655</v>
      </c>
      <c r="T711" s="56">
        <v>16</v>
      </c>
      <c r="U711" s="56">
        <v>4</v>
      </c>
    </row>
    <row r="712" spans="1:21" ht="70.5" customHeight="1" thickBot="1" x14ac:dyDescent="0.4">
      <c r="A712" s="58">
        <v>696</v>
      </c>
      <c r="B712" s="142" t="s">
        <v>70</v>
      </c>
      <c r="C712" s="142" t="s">
        <v>71</v>
      </c>
      <c r="D712" s="123">
        <v>4</v>
      </c>
      <c r="E712" s="150" t="s">
        <v>3705</v>
      </c>
      <c r="F712" s="153" t="s">
        <v>3699</v>
      </c>
      <c r="G712" s="142" t="s">
        <v>54</v>
      </c>
      <c r="H712" s="152">
        <v>2024</v>
      </c>
      <c r="I712" s="131" t="s">
        <v>63</v>
      </c>
      <c r="J712" s="125" t="s">
        <v>3706</v>
      </c>
      <c r="K712" s="126" t="s">
        <v>3707</v>
      </c>
      <c r="L712" s="154" t="s">
        <v>3708</v>
      </c>
      <c r="M712" s="71" t="s">
        <v>3709</v>
      </c>
      <c r="N712" s="69" t="s">
        <v>44</v>
      </c>
      <c r="O712" s="69" t="s">
        <v>3696</v>
      </c>
      <c r="P712" s="72">
        <v>478300000</v>
      </c>
      <c r="Q712" s="69" t="s">
        <v>3710</v>
      </c>
      <c r="R712" s="69"/>
      <c r="S712" s="69" t="s">
        <v>3655</v>
      </c>
      <c r="T712" s="56">
        <v>16</v>
      </c>
      <c r="U712" s="56">
        <v>4</v>
      </c>
    </row>
    <row r="713" spans="1:21" ht="14.25" customHeight="1" x14ac:dyDescent="0.35">
      <c r="A713" s="47">
        <v>697</v>
      </c>
      <c r="B713" s="142" t="s">
        <v>70</v>
      </c>
      <c r="C713" s="142" t="s">
        <v>71</v>
      </c>
      <c r="D713" s="143">
        <v>5</v>
      </c>
      <c r="E713" s="150" t="s">
        <v>3711</v>
      </c>
      <c r="F713" s="151" t="s">
        <v>3712</v>
      </c>
      <c r="G713" s="142" t="s">
        <v>54</v>
      </c>
      <c r="H713" s="152">
        <v>2014</v>
      </c>
      <c r="I713" s="131"/>
      <c r="J713" s="155" t="s">
        <v>3713</v>
      </c>
      <c r="K713" s="156" t="s">
        <v>3714</v>
      </c>
      <c r="L713" s="154" t="s">
        <v>3715</v>
      </c>
      <c r="M713" s="71" t="s">
        <v>3716</v>
      </c>
      <c r="N713" s="69" t="s">
        <v>57</v>
      </c>
      <c r="O713" s="69" t="s">
        <v>3696</v>
      </c>
      <c r="P713" s="72">
        <v>356889000</v>
      </c>
      <c r="Q713" s="69" t="s">
        <v>3717</v>
      </c>
      <c r="R713" s="69"/>
      <c r="S713" s="69" t="s">
        <v>3655</v>
      </c>
      <c r="T713" s="56">
        <v>16</v>
      </c>
      <c r="U713" s="56">
        <v>4</v>
      </c>
    </row>
    <row r="714" spans="1:21" ht="14.25" customHeight="1" thickBot="1" x14ac:dyDescent="0.4">
      <c r="A714" s="58">
        <v>698</v>
      </c>
      <c r="B714" s="142" t="s">
        <v>79</v>
      </c>
      <c r="C714" s="142" t="s">
        <v>80</v>
      </c>
      <c r="D714" s="123">
        <v>2</v>
      </c>
      <c r="E714" s="144" t="s">
        <v>230</v>
      </c>
      <c r="F714" s="145" t="s">
        <v>217</v>
      </c>
      <c r="G714" s="146" t="s">
        <v>54</v>
      </c>
      <c r="H714" s="152">
        <v>2013</v>
      </c>
      <c r="I714" s="131" t="s">
        <v>63</v>
      </c>
      <c r="J714" s="148" t="s">
        <v>3718</v>
      </c>
      <c r="K714" s="156" t="s">
        <v>3719</v>
      </c>
      <c r="L714" s="71" t="s">
        <v>3720</v>
      </c>
      <c r="M714" s="71" t="s">
        <v>3721</v>
      </c>
      <c r="N714" s="69" t="s">
        <v>57</v>
      </c>
      <c r="O714" s="69" t="s">
        <v>3696</v>
      </c>
      <c r="P714" s="72">
        <v>18004100</v>
      </c>
      <c r="Q714" s="69" t="s">
        <v>3722</v>
      </c>
      <c r="R714" s="69"/>
      <c r="S714" s="69" t="s">
        <v>3655</v>
      </c>
      <c r="T714" s="56">
        <v>16</v>
      </c>
      <c r="U714" s="56">
        <v>3</v>
      </c>
    </row>
    <row r="715" spans="1:21" ht="14.25" customHeight="1" x14ac:dyDescent="0.35">
      <c r="A715" s="47">
        <v>699</v>
      </c>
      <c r="B715" s="142" t="s">
        <v>79</v>
      </c>
      <c r="C715" s="142" t="s">
        <v>80</v>
      </c>
      <c r="D715" s="123">
        <v>3</v>
      </c>
      <c r="E715" s="157" t="s">
        <v>3723</v>
      </c>
      <c r="F715" s="145">
        <v>110</v>
      </c>
      <c r="G715" s="146" t="s">
        <v>54</v>
      </c>
      <c r="H715" s="152">
        <v>2008</v>
      </c>
      <c r="I715" s="131" t="s">
        <v>63</v>
      </c>
      <c r="J715" s="148" t="s">
        <v>3724</v>
      </c>
      <c r="K715" s="156" t="s">
        <v>3725</v>
      </c>
      <c r="L715" s="71" t="s">
        <v>3726</v>
      </c>
      <c r="M715" s="158" t="s">
        <v>3663</v>
      </c>
      <c r="N715" s="69" t="s">
        <v>57</v>
      </c>
      <c r="O715" s="69" t="s">
        <v>3696</v>
      </c>
      <c r="P715" s="72">
        <v>11570000</v>
      </c>
      <c r="Q715" s="69" t="s">
        <v>3727</v>
      </c>
      <c r="R715" s="69"/>
      <c r="S715" s="69" t="s">
        <v>3655</v>
      </c>
      <c r="T715" s="56">
        <v>16</v>
      </c>
      <c r="U715" s="56">
        <v>3</v>
      </c>
    </row>
    <row r="716" spans="1:21" ht="14.25" customHeight="1" thickBot="1" x14ac:dyDescent="0.4">
      <c r="A716" s="58">
        <v>700</v>
      </c>
      <c r="B716" s="142" t="s">
        <v>79</v>
      </c>
      <c r="C716" s="142" t="s">
        <v>80</v>
      </c>
      <c r="D716" s="123">
        <v>4</v>
      </c>
      <c r="E716" s="144" t="s">
        <v>3728</v>
      </c>
      <c r="F716" s="145">
        <v>125</v>
      </c>
      <c r="G716" s="146" t="s">
        <v>54</v>
      </c>
      <c r="H716" s="152">
        <v>2008</v>
      </c>
      <c r="I716" s="131" t="s">
        <v>63</v>
      </c>
      <c r="J716" s="148" t="s">
        <v>3729</v>
      </c>
      <c r="K716" s="156" t="s">
        <v>3730</v>
      </c>
      <c r="L716" s="71" t="s">
        <v>3731</v>
      </c>
      <c r="M716" s="71" t="s">
        <v>3732</v>
      </c>
      <c r="N716" s="69" t="s">
        <v>57</v>
      </c>
      <c r="O716" s="69" t="s">
        <v>3696</v>
      </c>
      <c r="P716" s="72">
        <v>11923000</v>
      </c>
      <c r="Q716" s="69" t="s">
        <v>3733</v>
      </c>
      <c r="R716" s="69"/>
      <c r="S716" s="69" t="s">
        <v>3655</v>
      </c>
      <c r="T716" s="56">
        <v>16</v>
      </c>
      <c r="U716" s="56">
        <v>3</v>
      </c>
    </row>
    <row r="717" spans="1:21" ht="14.25" customHeight="1" x14ac:dyDescent="0.35">
      <c r="A717" s="47">
        <v>701</v>
      </c>
      <c r="B717" s="142" t="s">
        <v>79</v>
      </c>
      <c r="C717" s="142" t="s">
        <v>80</v>
      </c>
      <c r="D717" s="123">
        <v>5</v>
      </c>
      <c r="E717" s="144" t="s">
        <v>3728</v>
      </c>
      <c r="F717" s="145">
        <v>125</v>
      </c>
      <c r="G717" s="146" t="s">
        <v>54</v>
      </c>
      <c r="H717" s="152">
        <v>2008</v>
      </c>
      <c r="I717" s="131" t="s">
        <v>63</v>
      </c>
      <c r="J717" s="148" t="s">
        <v>3734</v>
      </c>
      <c r="K717" s="156" t="s">
        <v>3735</v>
      </c>
      <c r="L717" s="71" t="s">
        <v>3736</v>
      </c>
      <c r="M717" s="71" t="s">
        <v>3737</v>
      </c>
      <c r="N717" s="69" t="s">
        <v>57</v>
      </c>
      <c r="O717" s="69" t="s">
        <v>3696</v>
      </c>
      <c r="P717" s="72">
        <v>11923000</v>
      </c>
      <c r="Q717" s="69" t="s">
        <v>3738</v>
      </c>
      <c r="R717" s="69"/>
      <c r="S717" s="69" t="s">
        <v>3655</v>
      </c>
      <c r="T717" s="56">
        <v>16</v>
      </c>
      <c r="U717" s="56">
        <v>3</v>
      </c>
    </row>
    <row r="718" spans="1:21" ht="14.25" customHeight="1" thickBot="1" x14ac:dyDescent="0.4">
      <c r="A718" s="58">
        <v>702</v>
      </c>
      <c r="B718" s="142" t="s">
        <v>79</v>
      </c>
      <c r="C718" s="142" t="s">
        <v>80</v>
      </c>
      <c r="D718" s="123">
        <v>6</v>
      </c>
      <c r="E718" s="144" t="s">
        <v>3739</v>
      </c>
      <c r="F718" s="145">
        <v>100</v>
      </c>
      <c r="G718" s="146" t="s">
        <v>54</v>
      </c>
      <c r="H718" s="152">
        <v>2008</v>
      </c>
      <c r="I718" s="131" t="s">
        <v>63</v>
      </c>
      <c r="J718" s="148" t="s">
        <v>3740</v>
      </c>
      <c r="K718" s="156" t="s">
        <v>3661</v>
      </c>
      <c r="L718" s="71" t="s">
        <v>3741</v>
      </c>
      <c r="M718" s="158" t="s">
        <v>3663</v>
      </c>
      <c r="N718" s="69" t="s">
        <v>57</v>
      </c>
      <c r="O718" s="69" t="s">
        <v>3696</v>
      </c>
      <c r="P718" s="72">
        <v>12198000</v>
      </c>
      <c r="Q718" s="69" t="s">
        <v>3742</v>
      </c>
      <c r="R718" s="69"/>
      <c r="S718" s="69" t="s">
        <v>3655</v>
      </c>
      <c r="T718" s="56">
        <v>16</v>
      </c>
      <c r="U718" s="56">
        <v>3</v>
      </c>
    </row>
    <row r="719" spans="1:21" ht="14.25" customHeight="1" x14ac:dyDescent="0.35">
      <c r="A719" s="47">
        <v>703</v>
      </c>
      <c r="B719" s="142" t="s">
        <v>79</v>
      </c>
      <c r="C719" s="142" t="s">
        <v>80</v>
      </c>
      <c r="D719" s="123">
        <v>9</v>
      </c>
      <c r="E719" s="144" t="s">
        <v>3743</v>
      </c>
      <c r="F719" s="145">
        <v>100</v>
      </c>
      <c r="G719" s="146" t="s">
        <v>54</v>
      </c>
      <c r="H719" s="152">
        <v>2008</v>
      </c>
      <c r="I719" s="131" t="s">
        <v>63</v>
      </c>
      <c r="J719" s="148" t="s">
        <v>3744</v>
      </c>
      <c r="K719" s="156" t="s">
        <v>3745</v>
      </c>
      <c r="L719" s="71" t="s">
        <v>3746</v>
      </c>
      <c r="M719" s="71" t="s">
        <v>3747</v>
      </c>
      <c r="N719" s="69" t="s">
        <v>57</v>
      </c>
      <c r="O719" s="69" t="s">
        <v>3696</v>
      </c>
      <c r="P719" s="72">
        <v>17314000</v>
      </c>
      <c r="Q719" s="69" t="s">
        <v>3727</v>
      </c>
      <c r="R719" s="69"/>
      <c r="S719" s="69" t="s">
        <v>3655</v>
      </c>
      <c r="T719" s="56">
        <v>16</v>
      </c>
      <c r="U719" s="56">
        <v>3</v>
      </c>
    </row>
    <row r="720" spans="1:21" ht="14.25" customHeight="1" thickBot="1" x14ac:dyDescent="0.4">
      <c r="A720" s="58">
        <v>704</v>
      </c>
      <c r="B720" s="142" t="s">
        <v>79</v>
      </c>
      <c r="C720" s="142" t="s">
        <v>80</v>
      </c>
      <c r="D720" s="123">
        <v>10</v>
      </c>
      <c r="E720" s="144" t="s">
        <v>3743</v>
      </c>
      <c r="F720" s="145">
        <v>100</v>
      </c>
      <c r="G720" s="146" t="s">
        <v>54</v>
      </c>
      <c r="H720" s="152">
        <v>2008</v>
      </c>
      <c r="I720" s="131" t="s">
        <v>63</v>
      </c>
      <c r="J720" s="148" t="s">
        <v>3748</v>
      </c>
      <c r="K720" s="156" t="s">
        <v>3749</v>
      </c>
      <c r="L720" s="71" t="s">
        <v>3750</v>
      </c>
      <c r="M720" s="71" t="s">
        <v>3751</v>
      </c>
      <c r="N720" s="69" t="s">
        <v>57</v>
      </c>
      <c r="O720" s="69" t="s">
        <v>3696</v>
      </c>
      <c r="P720" s="72">
        <v>17314000</v>
      </c>
      <c r="Q720" s="69" t="s">
        <v>3727</v>
      </c>
      <c r="R720" s="69"/>
      <c r="S720" s="69" t="s">
        <v>3655</v>
      </c>
      <c r="T720" s="56">
        <v>16</v>
      </c>
      <c r="U720" s="56">
        <v>3</v>
      </c>
    </row>
    <row r="721" spans="1:21" ht="14.25" customHeight="1" x14ac:dyDescent="0.35">
      <c r="A721" s="47">
        <v>705</v>
      </c>
      <c r="B721" s="142" t="s">
        <v>79</v>
      </c>
      <c r="C721" s="142" t="s">
        <v>80</v>
      </c>
      <c r="D721" s="123">
        <v>11</v>
      </c>
      <c r="E721" s="157" t="s">
        <v>3752</v>
      </c>
      <c r="F721" s="145">
        <v>100</v>
      </c>
      <c r="G721" s="146" t="s">
        <v>54</v>
      </c>
      <c r="H721" s="152">
        <v>2008</v>
      </c>
      <c r="I721" s="131" t="s">
        <v>63</v>
      </c>
      <c r="J721" s="148" t="s">
        <v>3753</v>
      </c>
      <c r="K721" s="156" t="s">
        <v>3745</v>
      </c>
      <c r="L721" s="71" t="s">
        <v>3754</v>
      </c>
      <c r="M721" s="71" t="s">
        <v>3755</v>
      </c>
      <c r="N721" s="69" t="s">
        <v>57</v>
      </c>
      <c r="O721" s="69" t="s">
        <v>3696</v>
      </c>
      <c r="P721" s="72">
        <v>17314000</v>
      </c>
      <c r="Q721" s="69" t="s">
        <v>3756</v>
      </c>
      <c r="R721" s="69"/>
      <c r="S721" s="69" t="s">
        <v>3655</v>
      </c>
      <c r="T721" s="56">
        <v>16</v>
      </c>
      <c r="U721" s="56">
        <v>3</v>
      </c>
    </row>
    <row r="722" spans="1:21" ht="14.25" customHeight="1" thickBot="1" x14ac:dyDescent="0.4">
      <c r="A722" s="58">
        <v>706</v>
      </c>
      <c r="B722" s="142" t="s">
        <v>79</v>
      </c>
      <c r="C722" s="142" t="s">
        <v>80</v>
      </c>
      <c r="D722" s="123">
        <v>12</v>
      </c>
      <c r="E722" s="144" t="s">
        <v>3743</v>
      </c>
      <c r="F722" s="145">
        <v>100</v>
      </c>
      <c r="G722" s="146" t="s">
        <v>54</v>
      </c>
      <c r="H722" s="152">
        <v>2008</v>
      </c>
      <c r="I722" s="131" t="s">
        <v>63</v>
      </c>
      <c r="J722" s="155" t="s">
        <v>3757</v>
      </c>
      <c r="K722" s="156" t="s">
        <v>3758</v>
      </c>
      <c r="L722" s="71" t="s">
        <v>3759</v>
      </c>
      <c r="M722" s="71" t="s">
        <v>3760</v>
      </c>
      <c r="N722" s="69" t="s">
        <v>57</v>
      </c>
      <c r="O722" s="69" t="s">
        <v>3696</v>
      </c>
      <c r="P722" s="72">
        <v>17314000</v>
      </c>
      <c r="Q722" s="69" t="s">
        <v>3761</v>
      </c>
      <c r="R722" s="69"/>
      <c r="S722" s="69" t="s">
        <v>3655</v>
      </c>
      <c r="T722" s="56">
        <v>16</v>
      </c>
      <c r="U722" s="56">
        <v>3</v>
      </c>
    </row>
    <row r="723" spans="1:21" ht="14.25" customHeight="1" x14ac:dyDescent="0.35">
      <c r="A723" s="47">
        <v>707</v>
      </c>
      <c r="B723" s="142" t="s">
        <v>79</v>
      </c>
      <c r="C723" s="142" t="s">
        <v>80</v>
      </c>
      <c r="D723" s="123">
        <v>13</v>
      </c>
      <c r="E723" s="144" t="s">
        <v>3762</v>
      </c>
      <c r="F723" s="145">
        <v>125</v>
      </c>
      <c r="G723" s="146" t="s">
        <v>54</v>
      </c>
      <c r="H723" s="147">
        <v>2008</v>
      </c>
      <c r="I723" s="131" t="s">
        <v>63</v>
      </c>
      <c r="J723" s="148" t="s">
        <v>3763</v>
      </c>
      <c r="K723" s="156" t="s">
        <v>3764</v>
      </c>
      <c r="L723" s="71" t="s">
        <v>3765</v>
      </c>
      <c r="M723" s="71" t="s">
        <v>3766</v>
      </c>
      <c r="N723" s="69" t="s">
        <v>57</v>
      </c>
      <c r="O723" s="69" t="s">
        <v>3696</v>
      </c>
      <c r="P723" s="72">
        <v>17314000</v>
      </c>
      <c r="Q723" s="69" t="s">
        <v>3727</v>
      </c>
      <c r="R723" s="69"/>
      <c r="S723" s="69" t="s">
        <v>3655</v>
      </c>
      <c r="T723" s="56">
        <v>16</v>
      </c>
      <c r="U723" s="56">
        <v>3</v>
      </c>
    </row>
    <row r="724" spans="1:21" ht="14.25" customHeight="1" thickBot="1" x14ac:dyDescent="0.4">
      <c r="A724" s="58">
        <v>708</v>
      </c>
      <c r="B724" s="103" t="s">
        <v>79</v>
      </c>
      <c r="C724" s="103" t="s">
        <v>80</v>
      </c>
      <c r="D724" s="159">
        <v>14</v>
      </c>
      <c r="E724" s="103" t="s">
        <v>3767</v>
      </c>
      <c r="F724" s="159">
        <v>149</v>
      </c>
      <c r="G724" s="103" t="s">
        <v>140</v>
      </c>
      <c r="H724" s="70">
        <v>2018</v>
      </c>
      <c r="I724" s="69" t="s">
        <v>63</v>
      </c>
      <c r="J724" s="69" t="s">
        <v>3768</v>
      </c>
      <c r="K724" s="71" t="s">
        <v>3769</v>
      </c>
      <c r="L724" s="71" t="s">
        <v>3770</v>
      </c>
      <c r="M724" s="71" t="s">
        <v>3771</v>
      </c>
      <c r="N724" s="69" t="s">
        <v>57</v>
      </c>
      <c r="O724" s="69" t="s">
        <v>3696</v>
      </c>
      <c r="P724" s="72">
        <v>31708000</v>
      </c>
      <c r="Q724" s="160" t="s">
        <v>3772</v>
      </c>
      <c r="R724" s="160"/>
      <c r="S724" s="69" t="s">
        <v>3655</v>
      </c>
      <c r="T724" s="56">
        <v>16</v>
      </c>
      <c r="U724" s="56">
        <v>3</v>
      </c>
    </row>
    <row r="725" spans="1:21" ht="14.25" customHeight="1" x14ac:dyDescent="0.35">
      <c r="A725" s="47">
        <v>709</v>
      </c>
      <c r="B725" s="69" t="s">
        <v>79</v>
      </c>
      <c r="C725" s="69" t="s">
        <v>80</v>
      </c>
      <c r="D725" s="70">
        <v>15</v>
      </c>
      <c r="E725" s="69" t="s">
        <v>3773</v>
      </c>
      <c r="F725" s="70">
        <v>109</v>
      </c>
      <c r="G725" s="69" t="s">
        <v>140</v>
      </c>
      <c r="H725" s="70">
        <v>2015</v>
      </c>
      <c r="I725" s="69" t="s">
        <v>63</v>
      </c>
      <c r="J725" s="69" t="s">
        <v>3774</v>
      </c>
      <c r="K725" s="71" t="s">
        <v>3775</v>
      </c>
      <c r="L725" s="71" t="s">
        <v>3776</v>
      </c>
      <c r="M725" s="71" t="s">
        <v>3777</v>
      </c>
      <c r="N725" s="69" t="s">
        <v>57</v>
      </c>
      <c r="O725" s="69" t="s">
        <v>3696</v>
      </c>
      <c r="P725" s="72">
        <v>14654500</v>
      </c>
      <c r="Q725" s="69" t="s">
        <v>3778</v>
      </c>
      <c r="R725" s="69"/>
      <c r="S725" s="69" t="s">
        <v>3655</v>
      </c>
      <c r="T725" s="56">
        <v>16</v>
      </c>
      <c r="U725" s="56">
        <v>3</v>
      </c>
    </row>
    <row r="726" spans="1:21" ht="14.25" customHeight="1" thickBot="1" x14ac:dyDescent="0.4">
      <c r="A726" s="58">
        <v>710</v>
      </c>
      <c r="B726" s="69" t="s">
        <v>79</v>
      </c>
      <c r="C726" s="69" t="s">
        <v>80</v>
      </c>
      <c r="D726" s="70">
        <v>17</v>
      </c>
      <c r="E726" s="69" t="s">
        <v>3779</v>
      </c>
      <c r="F726" s="70">
        <v>125</v>
      </c>
      <c r="G726" s="69" t="s">
        <v>140</v>
      </c>
      <c r="H726" s="70">
        <v>2018</v>
      </c>
      <c r="I726" s="69" t="s">
        <v>63</v>
      </c>
      <c r="J726" s="69" t="s">
        <v>3780</v>
      </c>
      <c r="K726" s="71" t="s">
        <v>3781</v>
      </c>
      <c r="L726" s="71" t="s">
        <v>3782</v>
      </c>
      <c r="M726" s="71" t="s">
        <v>3783</v>
      </c>
      <c r="N726" s="69" t="s">
        <v>57</v>
      </c>
      <c r="O726" s="69" t="s">
        <v>3696</v>
      </c>
      <c r="P726" s="72">
        <v>19471200</v>
      </c>
      <c r="Q726" s="69" t="s">
        <v>3784</v>
      </c>
      <c r="R726" s="69"/>
      <c r="S726" s="69" t="s">
        <v>3655</v>
      </c>
      <c r="T726" s="56">
        <v>16</v>
      </c>
      <c r="U726" s="56">
        <v>3</v>
      </c>
    </row>
    <row r="727" spans="1:21" ht="14.25" customHeight="1" x14ac:dyDescent="0.35">
      <c r="A727" s="47">
        <v>711</v>
      </c>
      <c r="B727" s="69" t="s">
        <v>79</v>
      </c>
      <c r="C727" s="69" t="s">
        <v>80</v>
      </c>
      <c r="D727" s="70">
        <v>18</v>
      </c>
      <c r="E727" s="69" t="s">
        <v>3785</v>
      </c>
      <c r="F727" s="70">
        <v>149</v>
      </c>
      <c r="G727" s="69" t="s">
        <v>140</v>
      </c>
      <c r="H727" s="70">
        <v>2015</v>
      </c>
      <c r="I727" s="69"/>
      <c r="J727" s="69" t="s">
        <v>3786</v>
      </c>
      <c r="K727" s="71" t="s">
        <v>3787</v>
      </c>
      <c r="L727" s="71" t="s">
        <v>3788</v>
      </c>
      <c r="M727" s="71" t="s">
        <v>3789</v>
      </c>
      <c r="N727" s="69" t="s">
        <v>57</v>
      </c>
      <c r="O727" s="69" t="s">
        <v>3696</v>
      </c>
      <c r="P727" s="72">
        <v>19782300</v>
      </c>
      <c r="Q727" s="69" t="s">
        <v>3790</v>
      </c>
      <c r="R727" s="69"/>
      <c r="S727" s="69" t="s">
        <v>3655</v>
      </c>
      <c r="T727" s="56">
        <v>16</v>
      </c>
      <c r="U727" s="56">
        <v>3</v>
      </c>
    </row>
    <row r="728" spans="1:21" ht="14.25" customHeight="1" thickBot="1" x14ac:dyDescent="0.4">
      <c r="A728" s="58">
        <v>712</v>
      </c>
      <c r="B728" s="69" t="s">
        <v>79</v>
      </c>
      <c r="C728" s="69" t="s">
        <v>80</v>
      </c>
      <c r="D728" s="70">
        <v>19</v>
      </c>
      <c r="E728" s="69" t="s">
        <v>155</v>
      </c>
      <c r="F728" s="70">
        <v>108</v>
      </c>
      <c r="G728" s="69" t="s">
        <v>140</v>
      </c>
      <c r="H728" s="70">
        <v>2017</v>
      </c>
      <c r="I728" s="69" t="s">
        <v>63</v>
      </c>
      <c r="J728" s="69" t="s">
        <v>3791</v>
      </c>
      <c r="K728" s="71" t="s">
        <v>3792</v>
      </c>
      <c r="L728" s="71" t="s">
        <v>3793</v>
      </c>
      <c r="M728" s="71" t="s">
        <v>3794</v>
      </c>
      <c r="N728" s="69" t="s">
        <v>57</v>
      </c>
      <c r="O728" s="69" t="s">
        <v>3696</v>
      </c>
      <c r="P728" s="72">
        <v>15252264</v>
      </c>
      <c r="Q728" s="69" t="s">
        <v>3795</v>
      </c>
      <c r="R728" s="69"/>
      <c r="S728" s="69" t="s">
        <v>3655</v>
      </c>
      <c r="T728" s="56">
        <v>16</v>
      </c>
      <c r="U728" s="56">
        <v>3</v>
      </c>
    </row>
    <row r="729" spans="1:21" ht="14.25" customHeight="1" x14ac:dyDescent="0.35">
      <c r="A729" s="47">
        <v>713</v>
      </c>
      <c r="B729" s="69" t="s">
        <v>79</v>
      </c>
      <c r="C729" s="69" t="s">
        <v>80</v>
      </c>
      <c r="D729" s="70">
        <v>20</v>
      </c>
      <c r="E729" s="69" t="s">
        <v>138</v>
      </c>
      <c r="F729" s="70">
        <v>124.8</v>
      </c>
      <c r="G729" s="69" t="s">
        <v>140</v>
      </c>
      <c r="H729" s="70">
        <v>2014</v>
      </c>
      <c r="I729" s="69"/>
      <c r="J729" s="69" t="s">
        <v>3796</v>
      </c>
      <c r="K729" s="71" t="s">
        <v>3797</v>
      </c>
      <c r="L729" s="71" t="s">
        <v>3798</v>
      </c>
      <c r="M729" s="71" t="s">
        <v>3799</v>
      </c>
      <c r="N729" s="69" t="s">
        <v>57</v>
      </c>
      <c r="O729" s="69" t="s">
        <v>3696</v>
      </c>
      <c r="P729" s="72">
        <v>17194000</v>
      </c>
      <c r="Q729" s="69" t="s">
        <v>3800</v>
      </c>
      <c r="R729" s="69"/>
      <c r="S729" s="69" t="s">
        <v>3655</v>
      </c>
      <c r="T729" s="56">
        <v>16</v>
      </c>
      <c r="U729" s="56">
        <v>3</v>
      </c>
    </row>
    <row r="730" spans="1:21" ht="14.25" customHeight="1" thickBot="1" x14ac:dyDescent="0.4">
      <c r="A730" s="58">
        <v>714</v>
      </c>
      <c r="B730" s="69" t="s">
        <v>79</v>
      </c>
      <c r="C730" s="69" t="s">
        <v>80</v>
      </c>
      <c r="D730" s="70">
        <v>21</v>
      </c>
      <c r="E730" s="69" t="s">
        <v>3773</v>
      </c>
      <c r="F730" s="70">
        <v>109</v>
      </c>
      <c r="G730" s="69" t="s">
        <v>140</v>
      </c>
      <c r="H730" s="70">
        <v>2015</v>
      </c>
      <c r="I730" s="69" t="s">
        <v>63</v>
      </c>
      <c r="J730" s="69" t="s">
        <v>3801</v>
      </c>
      <c r="K730" s="71" t="s">
        <v>3802</v>
      </c>
      <c r="L730" s="71" t="s">
        <v>3803</v>
      </c>
      <c r="M730" s="71" t="s">
        <v>3804</v>
      </c>
      <c r="N730" s="69" t="s">
        <v>57</v>
      </c>
      <c r="O730" s="69" t="s">
        <v>3696</v>
      </c>
      <c r="P730" s="72">
        <v>14654500</v>
      </c>
      <c r="Q730" s="69" t="s">
        <v>3805</v>
      </c>
      <c r="R730" s="69"/>
      <c r="S730" s="69" t="s">
        <v>3655</v>
      </c>
      <c r="T730" s="56">
        <v>16</v>
      </c>
      <c r="U730" s="56">
        <v>3</v>
      </c>
    </row>
    <row r="731" spans="1:21" ht="14.25" customHeight="1" x14ac:dyDescent="0.35">
      <c r="A731" s="47">
        <v>715</v>
      </c>
      <c r="B731" s="69" t="s">
        <v>79</v>
      </c>
      <c r="C731" s="69" t="s">
        <v>80</v>
      </c>
      <c r="D731" s="70">
        <v>24</v>
      </c>
      <c r="E731" s="69" t="s">
        <v>3773</v>
      </c>
      <c r="F731" s="70">
        <v>109</v>
      </c>
      <c r="G731" s="69" t="s">
        <v>140</v>
      </c>
      <c r="H731" s="70">
        <v>2015</v>
      </c>
      <c r="I731" s="69"/>
      <c r="J731" s="69" t="s">
        <v>3806</v>
      </c>
      <c r="K731" s="71" t="s">
        <v>3807</v>
      </c>
      <c r="L731" s="71" t="s">
        <v>3808</v>
      </c>
      <c r="M731" s="71" t="s">
        <v>3809</v>
      </c>
      <c r="N731" s="69" t="s">
        <v>57</v>
      </c>
      <c r="O731" s="69" t="s">
        <v>3696</v>
      </c>
      <c r="P731" s="72">
        <v>14654500</v>
      </c>
      <c r="Q731" s="69" t="s">
        <v>3810</v>
      </c>
      <c r="R731" s="69"/>
      <c r="S731" s="69" t="s">
        <v>3655</v>
      </c>
      <c r="T731" s="56">
        <v>16</v>
      </c>
      <c r="U731" s="56">
        <v>3</v>
      </c>
    </row>
    <row r="732" spans="1:21" ht="14.25" customHeight="1" thickBot="1" x14ac:dyDescent="0.4">
      <c r="A732" s="58">
        <v>716</v>
      </c>
      <c r="B732" s="69" t="s">
        <v>3811</v>
      </c>
      <c r="C732" s="69" t="s">
        <v>3812</v>
      </c>
      <c r="D732" s="70">
        <v>1</v>
      </c>
      <c r="E732" s="69" t="s">
        <v>3813</v>
      </c>
      <c r="F732" s="70">
        <v>2499</v>
      </c>
      <c r="G732" s="69" t="s">
        <v>54</v>
      </c>
      <c r="H732" s="70">
        <v>2012</v>
      </c>
      <c r="I732" s="69"/>
      <c r="J732" s="69" t="s">
        <v>3814</v>
      </c>
      <c r="K732" s="71" t="s">
        <v>3815</v>
      </c>
      <c r="L732" s="71" t="s">
        <v>3816</v>
      </c>
      <c r="M732" s="158" t="s">
        <v>3817</v>
      </c>
      <c r="N732" s="69" t="s">
        <v>422</v>
      </c>
      <c r="O732" s="69" t="s">
        <v>3696</v>
      </c>
      <c r="P732" s="72">
        <v>296808732</v>
      </c>
      <c r="Q732" s="69" t="s">
        <v>3818</v>
      </c>
      <c r="R732" s="69"/>
      <c r="S732" s="69" t="s">
        <v>3655</v>
      </c>
      <c r="T732" s="56">
        <v>16</v>
      </c>
      <c r="U732" s="56">
        <v>4</v>
      </c>
    </row>
    <row r="733" spans="1:21" ht="14.25" customHeight="1" x14ac:dyDescent="0.35">
      <c r="A733" s="47">
        <v>717</v>
      </c>
      <c r="B733" s="69" t="s">
        <v>1806</v>
      </c>
      <c r="C733" s="69" t="s">
        <v>1807</v>
      </c>
      <c r="D733" s="70" t="s">
        <v>51</v>
      </c>
      <c r="E733" s="69" t="s">
        <v>2558</v>
      </c>
      <c r="F733" s="69" t="s">
        <v>2559</v>
      </c>
      <c r="G733" s="69" t="s">
        <v>54</v>
      </c>
      <c r="H733" s="70">
        <v>2011</v>
      </c>
      <c r="I733" s="69" t="s">
        <v>63</v>
      </c>
      <c r="J733" s="69" t="s">
        <v>3819</v>
      </c>
      <c r="K733" s="71" t="s">
        <v>3820</v>
      </c>
      <c r="L733" s="71" t="s">
        <v>3821</v>
      </c>
      <c r="M733" s="71" t="s">
        <v>3822</v>
      </c>
      <c r="N733" s="69" t="s">
        <v>57</v>
      </c>
      <c r="O733" s="64">
        <v>1</v>
      </c>
      <c r="P733" s="72">
        <v>228815000</v>
      </c>
      <c r="Q733" s="69" t="s">
        <v>3823</v>
      </c>
      <c r="R733" s="69"/>
      <c r="S733" s="121" t="s">
        <v>377</v>
      </c>
      <c r="T733" s="56">
        <v>17</v>
      </c>
      <c r="U733" s="56">
        <v>4</v>
      </c>
    </row>
    <row r="734" spans="1:21" ht="14.25" customHeight="1" thickBot="1" x14ac:dyDescent="0.4">
      <c r="A734" s="58">
        <v>718</v>
      </c>
      <c r="B734" s="69" t="s">
        <v>70</v>
      </c>
      <c r="C734" s="69" t="s">
        <v>71</v>
      </c>
      <c r="D734" s="70" t="s">
        <v>51</v>
      </c>
      <c r="E734" s="69" t="s">
        <v>3824</v>
      </c>
      <c r="F734" s="69" t="s">
        <v>3825</v>
      </c>
      <c r="G734" s="69" t="s">
        <v>140</v>
      </c>
      <c r="H734" s="70">
        <v>2016</v>
      </c>
      <c r="I734" s="69"/>
      <c r="J734" s="69" t="s">
        <v>3826</v>
      </c>
      <c r="K734" s="71" t="s">
        <v>3827</v>
      </c>
      <c r="L734" s="71" t="s">
        <v>3828</v>
      </c>
      <c r="M734" s="71" t="s">
        <v>3829</v>
      </c>
      <c r="N734" s="69" t="s">
        <v>57</v>
      </c>
      <c r="O734" s="64">
        <v>1</v>
      </c>
      <c r="P734" s="72">
        <v>409652000</v>
      </c>
      <c r="Q734" s="69" t="s">
        <v>3830</v>
      </c>
      <c r="R734" s="69"/>
      <c r="S734" s="121" t="s">
        <v>377</v>
      </c>
      <c r="T734" s="56">
        <v>17</v>
      </c>
      <c r="U734" s="56">
        <v>4</v>
      </c>
    </row>
    <row r="735" spans="1:21" ht="14.25" customHeight="1" x14ac:dyDescent="0.35">
      <c r="A735" s="47">
        <v>719</v>
      </c>
      <c r="B735" s="69" t="s">
        <v>79</v>
      </c>
      <c r="C735" s="69" t="s">
        <v>80</v>
      </c>
      <c r="D735" s="70" t="s">
        <v>51</v>
      </c>
      <c r="E735" s="69" t="s">
        <v>3773</v>
      </c>
      <c r="F735" s="69" t="s">
        <v>3831</v>
      </c>
      <c r="G735" s="69" t="s">
        <v>140</v>
      </c>
      <c r="H735" s="70">
        <v>2015</v>
      </c>
      <c r="I735" s="69"/>
      <c r="J735" s="69" t="s">
        <v>3832</v>
      </c>
      <c r="K735" s="71" t="s">
        <v>3833</v>
      </c>
      <c r="L735" s="71" t="s">
        <v>3834</v>
      </c>
      <c r="M735" s="71" t="s">
        <v>3835</v>
      </c>
      <c r="N735" s="69" t="s">
        <v>57</v>
      </c>
      <c r="O735" s="64">
        <v>1</v>
      </c>
      <c r="P735" s="72">
        <v>14654500</v>
      </c>
      <c r="Q735" s="69" t="s">
        <v>3836</v>
      </c>
      <c r="R735" s="69"/>
      <c r="S735" s="121" t="s">
        <v>377</v>
      </c>
      <c r="T735" s="56">
        <v>17</v>
      </c>
      <c r="U735" s="56">
        <v>3</v>
      </c>
    </row>
    <row r="736" spans="1:21" ht="14.25" customHeight="1" thickBot="1" x14ac:dyDescent="0.4">
      <c r="A736" s="58">
        <v>720</v>
      </c>
      <c r="B736" s="69" t="s">
        <v>79</v>
      </c>
      <c r="C736" s="69" t="s">
        <v>80</v>
      </c>
      <c r="D736" s="70" t="s">
        <v>59</v>
      </c>
      <c r="E736" s="69" t="s">
        <v>3785</v>
      </c>
      <c r="F736" s="69" t="s">
        <v>148</v>
      </c>
      <c r="G736" s="69" t="s">
        <v>140</v>
      </c>
      <c r="H736" s="70">
        <v>2015</v>
      </c>
      <c r="I736" s="69"/>
      <c r="J736" s="69" t="s">
        <v>3837</v>
      </c>
      <c r="K736" s="71" t="s">
        <v>3838</v>
      </c>
      <c r="L736" s="71" t="s">
        <v>3839</v>
      </c>
      <c r="M736" s="71" t="s">
        <v>3840</v>
      </c>
      <c r="N736" s="69" t="s">
        <v>57</v>
      </c>
      <c r="O736" s="64">
        <v>1</v>
      </c>
      <c r="P736" s="72">
        <v>19782300</v>
      </c>
      <c r="Q736" s="69" t="s">
        <v>3841</v>
      </c>
      <c r="R736" s="69"/>
      <c r="S736" s="121" t="s">
        <v>377</v>
      </c>
      <c r="T736" s="56">
        <v>17</v>
      </c>
      <c r="U736" s="56">
        <v>3</v>
      </c>
    </row>
    <row r="737" spans="1:23" ht="14.25" customHeight="1" x14ac:dyDescent="0.35">
      <c r="A737" s="47">
        <v>721</v>
      </c>
      <c r="B737" s="69" t="s">
        <v>79</v>
      </c>
      <c r="C737" s="69" t="s">
        <v>80</v>
      </c>
      <c r="D737" s="70" t="s">
        <v>97</v>
      </c>
      <c r="E737" s="69" t="s">
        <v>3842</v>
      </c>
      <c r="F737" s="69" t="s">
        <v>156</v>
      </c>
      <c r="G737" s="69" t="s">
        <v>140</v>
      </c>
      <c r="H737" s="70">
        <v>2011</v>
      </c>
      <c r="I737" s="69"/>
      <c r="J737" s="69" t="s">
        <v>3843</v>
      </c>
      <c r="K737" s="71" t="s">
        <v>3844</v>
      </c>
      <c r="L737" s="71" t="s">
        <v>3845</v>
      </c>
      <c r="M737" s="71" t="s">
        <v>3846</v>
      </c>
      <c r="N737" s="69" t="s">
        <v>57</v>
      </c>
      <c r="O737" s="64">
        <v>1</v>
      </c>
      <c r="P737" s="72">
        <v>16893000</v>
      </c>
      <c r="Q737" s="69" t="s">
        <v>3847</v>
      </c>
      <c r="R737" s="69"/>
      <c r="S737" s="121" t="s">
        <v>377</v>
      </c>
      <c r="T737" s="56">
        <v>17</v>
      </c>
      <c r="U737" s="56">
        <v>3</v>
      </c>
    </row>
    <row r="738" spans="1:23" ht="14.25" customHeight="1" thickBot="1" x14ac:dyDescent="0.4">
      <c r="A738" s="58">
        <v>722</v>
      </c>
      <c r="B738" s="69" t="s">
        <v>79</v>
      </c>
      <c r="C738" s="69" t="s">
        <v>80</v>
      </c>
      <c r="D738" s="70" t="s">
        <v>101</v>
      </c>
      <c r="E738" s="69" t="s">
        <v>2513</v>
      </c>
      <c r="F738" s="69" t="s">
        <v>202</v>
      </c>
      <c r="G738" s="69" t="s">
        <v>54</v>
      </c>
      <c r="H738" s="70">
        <v>2010</v>
      </c>
      <c r="I738" s="69"/>
      <c r="J738" s="69" t="s">
        <v>3848</v>
      </c>
      <c r="K738" s="71" t="s">
        <v>3849</v>
      </c>
      <c r="L738" s="71" t="s">
        <v>3850</v>
      </c>
      <c r="M738" s="71" t="s">
        <v>3851</v>
      </c>
      <c r="N738" s="69" t="s">
        <v>57</v>
      </c>
      <c r="O738" s="64">
        <v>1</v>
      </c>
      <c r="P738" s="72">
        <v>16050000</v>
      </c>
      <c r="Q738" s="69" t="s">
        <v>3852</v>
      </c>
      <c r="R738" s="69"/>
      <c r="S738" s="121" t="s">
        <v>377</v>
      </c>
      <c r="T738" s="56">
        <v>17</v>
      </c>
      <c r="U738" s="56">
        <v>3</v>
      </c>
    </row>
    <row r="739" spans="1:23" ht="14.25" customHeight="1" x14ac:dyDescent="0.35">
      <c r="A739" s="47">
        <v>723</v>
      </c>
      <c r="B739" s="69" t="s">
        <v>79</v>
      </c>
      <c r="C739" s="69" t="s">
        <v>80</v>
      </c>
      <c r="D739" s="70" t="s">
        <v>107</v>
      </c>
      <c r="E739" s="69" t="s">
        <v>155</v>
      </c>
      <c r="F739" s="69" t="s">
        <v>156</v>
      </c>
      <c r="G739" s="69" t="s">
        <v>140</v>
      </c>
      <c r="H739" s="70">
        <v>2017</v>
      </c>
      <c r="I739" s="69" t="s">
        <v>63</v>
      </c>
      <c r="J739" s="69" t="s">
        <v>3853</v>
      </c>
      <c r="K739" s="71" t="s">
        <v>3854</v>
      </c>
      <c r="L739" s="71" t="s">
        <v>3855</v>
      </c>
      <c r="M739" s="71" t="s">
        <v>3856</v>
      </c>
      <c r="N739" s="69" t="s">
        <v>57</v>
      </c>
      <c r="O739" s="64">
        <v>1</v>
      </c>
      <c r="P739" s="72">
        <v>15252264</v>
      </c>
      <c r="Q739" s="69" t="s">
        <v>3857</v>
      </c>
      <c r="R739" s="69"/>
      <c r="S739" s="121" t="s">
        <v>377</v>
      </c>
      <c r="T739" s="56">
        <v>17</v>
      </c>
      <c r="U739" s="56">
        <v>3</v>
      </c>
    </row>
    <row r="740" spans="1:23" ht="14.25" customHeight="1" thickBot="1" x14ac:dyDescent="0.4">
      <c r="A740" s="58">
        <v>724</v>
      </c>
      <c r="B740" s="69" t="s">
        <v>79</v>
      </c>
      <c r="C740" s="69" t="s">
        <v>80</v>
      </c>
      <c r="D740" s="70" t="s">
        <v>112</v>
      </c>
      <c r="E740" s="69" t="s">
        <v>1110</v>
      </c>
      <c r="F740" s="69" t="s">
        <v>163</v>
      </c>
      <c r="G740" s="69" t="s">
        <v>140</v>
      </c>
      <c r="H740" s="70">
        <v>2017</v>
      </c>
      <c r="I740" s="69" t="s">
        <v>63</v>
      </c>
      <c r="J740" s="69" t="s">
        <v>3858</v>
      </c>
      <c r="K740" s="71" t="s">
        <v>3859</v>
      </c>
      <c r="L740" s="71" t="s">
        <v>3860</v>
      </c>
      <c r="M740" s="71" t="s">
        <v>3861</v>
      </c>
      <c r="N740" s="69" t="s">
        <v>57</v>
      </c>
      <c r="O740" s="64">
        <v>1</v>
      </c>
      <c r="P740" s="72">
        <v>15846600</v>
      </c>
      <c r="Q740" s="69" t="s">
        <v>3862</v>
      </c>
      <c r="R740" s="69"/>
      <c r="S740" s="121" t="s">
        <v>377</v>
      </c>
      <c r="T740" s="56">
        <v>17</v>
      </c>
      <c r="U740" s="56">
        <v>3</v>
      </c>
    </row>
    <row r="741" spans="1:23" ht="14.25" customHeight="1" x14ac:dyDescent="0.35">
      <c r="A741" s="47">
        <v>725</v>
      </c>
      <c r="B741" s="69" t="s">
        <v>79</v>
      </c>
      <c r="C741" s="69" t="s">
        <v>80</v>
      </c>
      <c r="D741" s="70" t="s">
        <v>116</v>
      </c>
      <c r="E741" s="69" t="s">
        <v>1110</v>
      </c>
      <c r="F741" s="69" t="s">
        <v>163</v>
      </c>
      <c r="G741" s="69" t="s">
        <v>140</v>
      </c>
      <c r="H741" s="70">
        <v>2017</v>
      </c>
      <c r="I741" s="69" t="s">
        <v>63</v>
      </c>
      <c r="J741" s="69" t="s">
        <v>3863</v>
      </c>
      <c r="K741" s="71" t="s">
        <v>3864</v>
      </c>
      <c r="L741" s="71" t="s">
        <v>3865</v>
      </c>
      <c r="M741" s="71" t="s">
        <v>3866</v>
      </c>
      <c r="N741" s="69" t="s">
        <v>57</v>
      </c>
      <c r="O741" s="64">
        <v>1</v>
      </c>
      <c r="P741" s="72">
        <v>15846600</v>
      </c>
      <c r="Q741" s="69" t="s">
        <v>3867</v>
      </c>
      <c r="R741" s="69"/>
      <c r="S741" s="121" t="s">
        <v>377</v>
      </c>
      <c r="T741" s="56">
        <v>17</v>
      </c>
      <c r="U741" s="56">
        <v>3</v>
      </c>
    </row>
    <row r="742" spans="1:23" ht="14.25" customHeight="1" thickBot="1" x14ac:dyDescent="0.4">
      <c r="A742" s="58">
        <v>726</v>
      </c>
      <c r="B742" s="69" t="s">
        <v>79</v>
      </c>
      <c r="C742" s="69" t="s">
        <v>80</v>
      </c>
      <c r="D742" s="70" t="s">
        <v>841</v>
      </c>
      <c r="E742" s="69" t="s">
        <v>3868</v>
      </c>
      <c r="F742" s="69" t="s">
        <v>163</v>
      </c>
      <c r="G742" s="69" t="s">
        <v>140</v>
      </c>
      <c r="H742" s="70">
        <v>2017</v>
      </c>
      <c r="I742" s="69" t="s">
        <v>63</v>
      </c>
      <c r="J742" s="69" t="s">
        <v>3869</v>
      </c>
      <c r="K742" s="71" t="s">
        <v>3870</v>
      </c>
      <c r="L742" s="71" t="s">
        <v>3871</v>
      </c>
      <c r="M742" s="71" t="s">
        <v>3872</v>
      </c>
      <c r="N742" s="69" t="s">
        <v>57</v>
      </c>
      <c r="O742" s="64">
        <v>1</v>
      </c>
      <c r="P742" s="72">
        <v>15846600</v>
      </c>
      <c r="Q742" s="69" t="s">
        <v>3873</v>
      </c>
      <c r="R742" s="69"/>
      <c r="S742" s="121" t="s">
        <v>377</v>
      </c>
      <c r="T742" s="56">
        <v>17</v>
      </c>
      <c r="U742" s="56">
        <v>3</v>
      </c>
    </row>
    <row r="743" spans="1:23" ht="14.25" customHeight="1" x14ac:dyDescent="0.35">
      <c r="A743" s="47">
        <v>727</v>
      </c>
      <c r="B743" s="69" t="s">
        <v>79</v>
      </c>
      <c r="C743" s="69" t="s">
        <v>80</v>
      </c>
      <c r="D743" s="70" t="s">
        <v>904</v>
      </c>
      <c r="E743" s="69" t="s">
        <v>1110</v>
      </c>
      <c r="F743" s="69" t="s">
        <v>163</v>
      </c>
      <c r="G743" s="69" t="s">
        <v>140</v>
      </c>
      <c r="H743" s="70">
        <v>2017</v>
      </c>
      <c r="I743" s="69" t="s">
        <v>63</v>
      </c>
      <c r="J743" s="69" t="s">
        <v>3874</v>
      </c>
      <c r="K743" s="71" t="s">
        <v>3875</v>
      </c>
      <c r="L743" s="71" t="s">
        <v>3876</v>
      </c>
      <c r="M743" s="71" t="s">
        <v>3877</v>
      </c>
      <c r="N743" s="69" t="s">
        <v>57</v>
      </c>
      <c r="O743" s="64">
        <v>1</v>
      </c>
      <c r="P743" s="72">
        <v>15846600</v>
      </c>
      <c r="Q743" s="69" t="s">
        <v>3878</v>
      </c>
      <c r="R743" s="69"/>
      <c r="S743" s="121" t="s">
        <v>377</v>
      </c>
      <c r="T743" s="56">
        <v>17</v>
      </c>
      <c r="U743" s="56">
        <v>3</v>
      </c>
    </row>
    <row r="744" spans="1:23" ht="14.25" customHeight="1" thickBot="1" x14ac:dyDescent="0.4">
      <c r="A744" s="58">
        <v>728</v>
      </c>
      <c r="B744" s="69" t="s">
        <v>79</v>
      </c>
      <c r="C744" s="69" t="s">
        <v>80</v>
      </c>
      <c r="D744" s="70" t="s">
        <v>122</v>
      </c>
      <c r="E744" s="69" t="s">
        <v>162</v>
      </c>
      <c r="F744" s="69" t="s">
        <v>163</v>
      </c>
      <c r="G744" s="69" t="s">
        <v>140</v>
      </c>
      <c r="H744" s="70">
        <v>2018</v>
      </c>
      <c r="I744" s="69" t="s">
        <v>63</v>
      </c>
      <c r="J744" s="69" t="s">
        <v>3879</v>
      </c>
      <c r="K744" s="71" t="s">
        <v>3880</v>
      </c>
      <c r="L744" s="71" t="s">
        <v>3881</v>
      </c>
      <c r="M744" s="71" t="s">
        <v>3882</v>
      </c>
      <c r="N744" s="69" t="s">
        <v>57</v>
      </c>
      <c r="O744" s="64">
        <v>1</v>
      </c>
      <c r="P744" s="72">
        <v>15534000</v>
      </c>
      <c r="Q744" s="69" t="s">
        <v>3883</v>
      </c>
      <c r="R744" s="69"/>
      <c r="S744" s="121" t="s">
        <v>377</v>
      </c>
      <c r="T744" s="56">
        <v>17</v>
      </c>
      <c r="U744" s="56">
        <v>3</v>
      </c>
    </row>
    <row r="745" spans="1:23" ht="14.25" customHeight="1" x14ac:dyDescent="0.35">
      <c r="A745" s="47">
        <v>729</v>
      </c>
      <c r="B745" s="69" t="s">
        <v>79</v>
      </c>
      <c r="C745" s="69" t="s">
        <v>80</v>
      </c>
      <c r="D745" s="70" t="s">
        <v>126</v>
      </c>
      <c r="E745" s="69" t="s">
        <v>239</v>
      </c>
      <c r="F745" s="69" t="s">
        <v>148</v>
      </c>
      <c r="G745" s="69" t="s">
        <v>140</v>
      </c>
      <c r="H745" s="70">
        <v>2018</v>
      </c>
      <c r="I745" s="69" t="s">
        <v>63</v>
      </c>
      <c r="J745" s="69" t="s">
        <v>3884</v>
      </c>
      <c r="K745" s="71" t="s">
        <v>3885</v>
      </c>
      <c r="L745" s="71" t="s">
        <v>3886</v>
      </c>
      <c r="M745" s="71" t="s">
        <v>3887</v>
      </c>
      <c r="N745" s="69" t="s">
        <v>57</v>
      </c>
      <c r="O745" s="64">
        <v>1</v>
      </c>
      <c r="P745" s="72">
        <v>20234710</v>
      </c>
      <c r="Q745" s="69" t="s">
        <v>3888</v>
      </c>
      <c r="R745" s="69"/>
      <c r="S745" s="121" t="s">
        <v>377</v>
      </c>
      <c r="T745" s="56">
        <v>17</v>
      </c>
      <c r="U745" s="56">
        <v>3</v>
      </c>
    </row>
    <row r="746" spans="1:23" ht="14.25" customHeight="1" thickBot="1" x14ac:dyDescent="0.4">
      <c r="A746" s="58">
        <v>730</v>
      </c>
      <c r="B746" s="69" t="s">
        <v>79</v>
      </c>
      <c r="C746" s="69" t="s">
        <v>80</v>
      </c>
      <c r="D746" s="70" t="s">
        <v>137</v>
      </c>
      <c r="E746" s="69" t="s">
        <v>414</v>
      </c>
      <c r="F746" s="69" t="s">
        <v>217</v>
      </c>
      <c r="G746" s="69" t="s">
        <v>415</v>
      </c>
      <c r="H746" s="70">
        <v>2021</v>
      </c>
      <c r="I746" s="69" t="s">
        <v>63</v>
      </c>
      <c r="J746" s="69" t="s">
        <v>3889</v>
      </c>
      <c r="K746" s="71" t="s">
        <v>3890</v>
      </c>
      <c r="L746" s="71" t="s">
        <v>3891</v>
      </c>
      <c r="M746" s="71" t="s">
        <v>3892</v>
      </c>
      <c r="N746" s="69" t="s">
        <v>57</v>
      </c>
      <c r="O746" s="64">
        <v>1</v>
      </c>
      <c r="P746" s="72">
        <v>33100000</v>
      </c>
      <c r="Q746" s="69" t="s">
        <v>420</v>
      </c>
      <c r="R746" s="69"/>
      <c r="S746" s="121" t="s">
        <v>377</v>
      </c>
      <c r="T746" s="56">
        <v>17</v>
      </c>
      <c r="U746" s="56">
        <v>3</v>
      </c>
    </row>
    <row r="747" spans="1:23" ht="14.25" customHeight="1" x14ac:dyDescent="0.35">
      <c r="A747" s="47">
        <v>731</v>
      </c>
      <c r="B747" s="69" t="s">
        <v>79</v>
      </c>
      <c r="C747" s="69" t="s">
        <v>80</v>
      </c>
      <c r="D747" s="70" t="s">
        <v>146</v>
      </c>
      <c r="E747" s="69" t="s">
        <v>162</v>
      </c>
      <c r="F747" s="69" t="s">
        <v>163</v>
      </c>
      <c r="G747" s="69" t="s">
        <v>140</v>
      </c>
      <c r="H747" s="70">
        <v>2018</v>
      </c>
      <c r="I747" s="69" t="s">
        <v>63</v>
      </c>
      <c r="J747" s="69" t="s">
        <v>3893</v>
      </c>
      <c r="K747" s="71" t="s">
        <v>3894</v>
      </c>
      <c r="L747" s="71" t="s">
        <v>3895</v>
      </c>
      <c r="M747" s="71" t="s">
        <v>3896</v>
      </c>
      <c r="N747" s="69" t="s">
        <v>57</v>
      </c>
      <c r="O747" s="64">
        <v>1</v>
      </c>
      <c r="P747" s="72">
        <v>15534000</v>
      </c>
      <c r="Q747" s="69" t="s">
        <v>168</v>
      </c>
      <c r="R747" s="69"/>
      <c r="S747" s="121" t="s">
        <v>377</v>
      </c>
      <c r="T747" s="56">
        <v>17</v>
      </c>
      <c r="U747" s="56">
        <v>3</v>
      </c>
    </row>
    <row r="748" spans="1:23" ht="14.25" customHeight="1" thickBot="1" x14ac:dyDescent="0.4">
      <c r="A748" s="58">
        <v>732</v>
      </c>
      <c r="B748" s="69" t="s">
        <v>79</v>
      </c>
      <c r="C748" s="69" t="s">
        <v>80</v>
      </c>
      <c r="D748" s="70" t="s">
        <v>154</v>
      </c>
      <c r="E748" s="69" t="s">
        <v>1110</v>
      </c>
      <c r="F748" s="69" t="s">
        <v>163</v>
      </c>
      <c r="G748" s="69" t="s">
        <v>140</v>
      </c>
      <c r="H748" s="70">
        <v>2017</v>
      </c>
      <c r="I748" s="69" t="s">
        <v>63</v>
      </c>
      <c r="J748" s="69" t="s">
        <v>3897</v>
      </c>
      <c r="K748" s="71" t="s">
        <v>3898</v>
      </c>
      <c r="L748" s="71" t="s">
        <v>3899</v>
      </c>
      <c r="M748" s="71" t="s">
        <v>3900</v>
      </c>
      <c r="N748" s="69" t="s">
        <v>57</v>
      </c>
      <c r="O748" s="64">
        <v>1</v>
      </c>
      <c r="P748" s="72">
        <v>15846600</v>
      </c>
      <c r="Q748" s="69" t="s">
        <v>1793</v>
      </c>
      <c r="R748" s="69"/>
      <c r="S748" s="121" t="s">
        <v>377</v>
      </c>
      <c r="T748" s="56">
        <v>17</v>
      </c>
      <c r="U748" s="56">
        <v>3</v>
      </c>
    </row>
    <row r="749" spans="1:23" ht="14.25" customHeight="1" x14ac:dyDescent="0.35">
      <c r="A749" s="47">
        <v>733</v>
      </c>
      <c r="B749" s="69" t="s">
        <v>79</v>
      </c>
      <c r="C749" s="69" t="s">
        <v>80</v>
      </c>
      <c r="D749" s="70" t="s">
        <v>161</v>
      </c>
      <c r="E749" s="69" t="s">
        <v>1110</v>
      </c>
      <c r="F749" s="69" t="s">
        <v>163</v>
      </c>
      <c r="G749" s="69" t="s">
        <v>140</v>
      </c>
      <c r="H749" s="70">
        <v>2017</v>
      </c>
      <c r="I749" s="69" t="s">
        <v>63</v>
      </c>
      <c r="J749" s="69" t="s">
        <v>3901</v>
      </c>
      <c r="K749" s="71" t="s">
        <v>3902</v>
      </c>
      <c r="L749" s="71" t="s">
        <v>3903</v>
      </c>
      <c r="M749" s="71" t="s">
        <v>3904</v>
      </c>
      <c r="N749" s="69" t="s">
        <v>57</v>
      </c>
      <c r="O749" s="64">
        <v>1</v>
      </c>
      <c r="P749" s="72">
        <v>15846600</v>
      </c>
      <c r="Q749" s="69" t="s">
        <v>1793</v>
      </c>
      <c r="R749" s="69"/>
      <c r="S749" s="121" t="s">
        <v>377</v>
      </c>
      <c r="T749" s="56">
        <v>17</v>
      </c>
      <c r="U749" s="56">
        <v>3</v>
      </c>
    </row>
    <row r="750" spans="1:23" ht="14.25" customHeight="1" thickBot="1" x14ac:dyDescent="0.4">
      <c r="A750" s="58">
        <v>734</v>
      </c>
      <c r="B750" s="73" t="s">
        <v>1745</v>
      </c>
      <c r="C750" s="73" t="s">
        <v>1746</v>
      </c>
      <c r="D750" s="74" t="s">
        <v>51</v>
      </c>
      <c r="E750" s="73" t="s">
        <v>3905</v>
      </c>
      <c r="F750" s="161" t="s">
        <v>3906</v>
      </c>
      <c r="G750" s="73" t="s">
        <v>140</v>
      </c>
      <c r="H750" s="74">
        <v>2019</v>
      </c>
      <c r="I750" s="73" t="s">
        <v>63</v>
      </c>
      <c r="J750" s="73" t="s">
        <v>3907</v>
      </c>
      <c r="K750" s="73" t="s">
        <v>3908</v>
      </c>
      <c r="L750" s="73" t="s">
        <v>3909</v>
      </c>
      <c r="M750" s="73" t="s">
        <v>3910</v>
      </c>
      <c r="N750" s="73" t="s">
        <v>57</v>
      </c>
      <c r="O750" s="75">
        <v>1</v>
      </c>
      <c r="P750" s="76">
        <v>320050000</v>
      </c>
      <c r="Q750" s="73" t="s">
        <v>3911</v>
      </c>
      <c r="R750" s="73"/>
      <c r="S750" s="162" t="s">
        <v>397</v>
      </c>
      <c r="T750" s="163">
        <v>18</v>
      </c>
      <c r="U750" s="163">
        <v>4</v>
      </c>
      <c r="V750" s="164"/>
      <c r="W750" s="164"/>
    </row>
    <row r="751" spans="1:23" ht="14.25" customHeight="1" x14ac:dyDescent="0.35">
      <c r="A751" s="47">
        <v>735</v>
      </c>
      <c r="B751" s="71" t="s">
        <v>70</v>
      </c>
      <c r="C751" s="71" t="s">
        <v>71</v>
      </c>
      <c r="D751" s="119" t="s">
        <v>51</v>
      </c>
      <c r="E751" s="71" t="s">
        <v>3912</v>
      </c>
      <c r="F751" s="158" t="s">
        <v>3913</v>
      </c>
      <c r="G751" s="71" t="s">
        <v>140</v>
      </c>
      <c r="H751" s="119">
        <v>2019</v>
      </c>
      <c r="I751" s="71" t="s">
        <v>63</v>
      </c>
      <c r="J751" s="71" t="s">
        <v>3914</v>
      </c>
      <c r="K751" s="71" t="s">
        <v>3915</v>
      </c>
      <c r="L751" s="71" t="s">
        <v>3916</v>
      </c>
      <c r="M751" s="71" t="s">
        <v>3917</v>
      </c>
      <c r="N751" s="71" t="s">
        <v>57</v>
      </c>
      <c r="O751" s="165">
        <v>1</v>
      </c>
      <c r="P751" s="166">
        <v>533450000</v>
      </c>
      <c r="Q751" s="71" t="s">
        <v>3918</v>
      </c>
      <c r="R751" s="71"/>
      <c r="S751" s="167" t="s">
        <v>397</v>
      </c>
      <c r="T751" s="168">
        <v>18</v>
      </c>
      <c r="U751" s="168">
        <v>4</v>
      </c>
      <c r="V751" s="97"/>
      <c r="W751" s="97"/>
    </row>
    <row r="752" spans="1:23" ht="14.25" customHeight="1" thickBot="1" x14ac:dyDescent="0.4">
      <c r="A752" s="58">
        <v>736</v>
      </c>
      <c r="B752" s="71" t="s">
        <v>79</v>
      </c>
      <c r="C752" s="71" t="s">
        <v>80</v>
      </c>
      <c r="D752" s="119" t="s">
        <v>51</v>
      </c>
      <c r="E752" s="71" t="s">
        <v>2807</v>
      </c>
      <c r="F752" s="71" t="s">
        <v>2808</v>
      </c>
      <c r="G752" s="71" t="s">
        <v>140</v>
      </c>
      <c r="H752" s="119">
        <v>2014</v>
      </c>
      <c r="I752" s="71"/>
      <c r="J752" s="71" t="s">
        <v>3919</v>
      </c>
      <c r="K752" s="71" t="s">
        <v>3920</v>
      </c>
      <c r="L752" s="71" t="s">
        <v>3921</v>
      </c>
      <c r="M752" s="71" t="s">
        <v>3922</v>
      </c>
      <c r="N752" s="71" t="s">
        <v>57</v>
      </c>
      <c r="O752" s="165">
        <v>1</v>
      </c>
      <c r="P752" s="166">
        <v>13816000</v>
      </c>
      <c r="Q752" s="71" t="s">
        <v>63</v>
      </c>
      <c r="R752" s="71"/>
      <c r="S752" s="167" t="s">
        <v>397</v>
      </c>
      <c r="T752" s="168">
        <v>18</v>
      </c>
      <c r="U752" s="168">
        <v>3</v>
      </c>
      <c r="V752" s="97"/>
      <c r="W752" s="97"/>
    </row>
    <row r="753" spans="1:23" ht="14.25" customHeight="1" x14ac:dyDescent="0.35">
      <c r="A753" s="47">
        <v>737</v>
      </c>
      <c r="B753" s="71" t="s">
        <v>79</v>
      </c>
      <c r="C753" s="71" t="s">
        <v>80</v>
      </c>
      <c r="D753" s="119" t="s">
        <v>59</v>
      </c>
      <c r="E753" s="71" t="s">
        <v>2807</v>
      </c>
      <c r="F753" s="71" t="s">
        <v>2808</v>
      </c>
      <c r="G753" s="71" t="s">
        <v>140</v>
      </c>
      <c r="H753" s="119">
        <v>2014</v>
      </c>
      <c r="I753" s="71"/>
      <c r="J753" s="71" t="s">
        <v>3923</v>
      </c>
      <c r="K753" s="71" t="s">
        <v>3924</v>
      </c>
      <c r="L753" s="71" t="s">
        <v>3925</v>
      </c>
      <c r="M753" s="71" t="s">
        <v>3926</v>
      </c>
      <c r="N753" s="71" t="s">
        <v>57</v>
      </c>
      <c r="O753" s="165">
        <v>1</v>
      </c>
      <c r="P753" s="166">
        <v>13816000</v>
      </c>
      <c r="Q753" s="71" t="s">
        <v>63</v>
      </c>
      <c r="R753" s="71"/>
      <c r="S753" s="167" t="s">
        <v>397</v>
      </c>
      <c r="T753" s="168">
        <v>18</v>
      </c>
      <c r="U753" s="168">
        <v>3</v>
      </c>
      <c r="V753" s="97"/>
      <c r="W753" s="97"/>
    </row>
    <row r="754" spans="1:23" ht="14.25" customHeight="1" thickBot="1" x14ac:dyDescent="0.4">
      <c r="A754" s="58">
        <v>738</v>
      </c>
      <c r="B754" s="71" t="s">
        <v>79</v>
      </c>
      <c r="C754" s="71" t="s">
        <v>80</v>
      </c>
      <c r="D754" s="119" t="s">
        <v>97</v>
      </c>
      <c r="E754" s="71" t="s">
        <v>2807</v>
      </c>
      <c r="F754" s="71" t="s">
        <v>2808</v>
      </c>
      <c r="G754" s="71" t="s">
        <v>140</v>
      </c>
      <c r="H754" s="119">
        <v>2014</v>
      </c>
      <c r="I754" s="71"/>
      <c r="J754" s="71" t="s">
        <v>3927</v>
      </c>
      <c r="K754" s="71" t="s">
        <v>3928</v>
      </c>
      <c r="L754" s="71" t="s">
        <v>3929</v>
      </c>
      <c r="M754" s="71" t="s">
        <v>3930</v>
      </c>
      <c r="N754" s="71" t="s">
        <v>57</v>
      </c>
      <c r="O754" s="165">
        <v>1</v>
      </c>
      <c r="P754" s="166">
        <v>13816000</v>
      </c>
      <c r="Q754" s="71" t="s">
        <v>63</v>
      </c>
      <c r="R754" s="71"/>
      <c r="S754" s="167" t="s">
        <v>397</v>
      </c>
      <c r="T754" s="168">
        <v>18</v>
      </c>
      <c r="U754" s="168">
        <v>3</v>
      </c>
      <c r="V754" s="97"/>
      <c r="W754" s="97"/>
    </row>
    <row r="755" spans="1:23" ht="14.25" customHeight="1" x14ac:dyDescent="0.35">
      <c r="A755" s="47">
        <v>739</v>
      </c>
      <c r="B755" s="71" t="s">
        <v>79</v>
      </c>
      <c r="C755" s="71" t="s">
        <v>80</v>
      </c>
      <c r="D755" s="119" t="s">
        <v>101</v>
      </c>
      <c r="E755" s="71" t="s">
        <v>2807</v>
      </c>
      <c r="F755" s="71" t="s">
        <v>2808</v>
      </c>
      <c r="G755" s="71" t="s">
        <v>140</v>
      </c>
      <c r="H755" s="119">
        <v>2014</v>
      </c>
      <c r="I755" s="71"/>
      <c r="J755" s="71" t="s">
        <v>3931</v>
      </c>
      <c r="K755" s="71" t="s">
        <v>3932</v>
      </c>
      <c r="L755" s="71" t="s">
        <v>3933</v>
      </c>
      <c r="M755" s="71" t="s">
        <v>3934</v>
      </c>
      <c r="N755" s="71" t="s">
        <v>57</v>
      </c>
      <c r="O755" s="165">
        <v>1</v>
      </c>
      <c r="P755" s="166">
        <v>13816000</v>
      </c>
      <c r="Q755" s="71" t="s">
        <v>63</v>
      </c>
      <c r="R755" s="71"/>
      <c r="S755" s="167" t="s">
        <v>397</v>
      </c>
      <c r="T755" s="168">
        <v>18</v>
      </c>
      <c r="U755" s="168">
        <v>3</v>
      </c>
      <c r="V755" s="97"/>
      <c r="W755" s="97"/>
    </row>
    <row r="756" spans="1:23" ht="14.25" customHeight="1" thickBot="1" x14ac:dyDescent="0.4">
      <c r="A756" s="58">
        <v>740</v>
      </c>
      <c r="B756" s="71" t="s">
        <v>79</v>
      </c>
      <c r="C756" s="71" t="s">
        <v>80</v>
      </c>
      <c r="D756" s="119" t="s">
        <v>107</v>
      </c>
      <c r="E756" s="71" t="s">
        <v>2807</v>
      </c>
      <c r="F756" s="71" t="s">
        <v>2808</v>
      </c>
      <c r="G756" s="71" t="s">
        <v>140</v>
      </c>
      <c r="H756" s="119">
        <v>2014</v>
      </c>
      <c r="I756" s="71"/>
      <c r="J756" s="71" t="s">
        <v>3935</v>
      </c>
      <c r="K756" s="71" t="s">
        <v>3936</v>
      </c>
      <c r="L756" s="71" t="s">
        <v>3937</v>
      </c>
      <c r="M756" s="71" t="s">
        <v>3938</v>
      </c>
      <c r="N756" s="71" t="s">
        <v>57</v>
      </c>
      <c r="O756" s="165">
        <v>1</v>
      </c>
      <c r="P756" s="166">
        <v>13816000</v>
      </c>
      <c r="Q756" s="71" t="s">
        <v>3939</v>
      </c>
      <c r="R756" s="71"/>
      <c r="S756" s="167" t="s">
        <v>397</v>
      </c>
      <c r="T756" s="168">
        <v>18</v>
      </c>
      <c r="U756" s="168">
        <v>3</v>
      </c>
      <c r="V756" s="97"/>
      <c r="W756" s="97"/>
    </row>
    <row r="757" spans="1:23" ht="14.25" customHeight="1" x14ac:dyDescent="0.35">
      <c r="A757" s="47">
        <v>741</v>
      </c>
      <c r="B757" s="71" t="s">
        <v>79</v>
      </c>
      <c r="C757" s="71" t="s">
        <v>80</v>
      </c>
      <c r="D757" s="119" t="s">
        <v>112</v>
      </c>
      <c r="E757" s="71" t="s">
        <v>1377</v>
      </c>
      <c r="F757" s="71" t="s">
        <v>1378</v>
      </c>
      <c r="G757" s="71" t="s">
        <v>140</v>
      </c>
      <c r="H757" s="119">
        <v>2014</v>
      </c>
      <c r="I757" s="71"/>
      <c r="J757" s="71" t="s">
        <v>3940</v>
      </c>
      <c r="K757" s="71" t="s">
        <v>3941</v>
      </c>
      <c r="L757" s="71" t="s">
        <v>3942</v>
      </c>
      <c r="M757" s="71" t="s">
        <v>3943</v>
      </c>
      <c r="N757" s="71" t="s">
        <v>57</v>
      </c>
      <c r="O757" s="165">
        <v>1</v>
      </c>
      <c r="P757" s="166">
        <v>19189533</v>
      </c>
      <c r="Q757" s="71" t="s">
        <v>3944</v>
      </c>
      <c r="R757" s="71"/>
      <c r="S757" s="167" t="s">
        <v>397</v>
      </c>
      <c r="T757" s="168">
        <v>18</v>
      </c>
      <c r="U757" s="168">
        <v>3</v>
      </c>
      <c r="V757" s="97"/>
      <c r="W757" s="97"/>
    </row>
    <row r="758" spans="1:23" ht="14.25" customHeight="1" thickBot="1" x14ac:dyDescent="0.4">
      <c r="A758" s="58">
        <v>742</v>
      </c>
      <c r="B758" s="71" t="s">
        <v>79</v>
      </c>
      <c r="C758" s="71" t="s">
        <v>80</v>
      </c>
      <c r="D758" s="119" t="s">
        <v>116</v>
      </c>
      <c r="E758" s="71" t="s">
        <v>1377</v>
      </c>
      <c r="F758" s="71" t="s">
        <v>1378</v>
      </c>
      <c r="G758" s="71" t="s">
        <v>140</v>
      </c>
      <c r="H758" s="119">
        <v>2014</v>
      </c>
      <c r="I758" s="71"/>
      <c r="J758" s="71" t="s">
        <v>3945</v>
      </c>
      <c r="K758" s="71" t="s">
        <v>3946</v>
      </c>
      <c r="L758" s="71" t="s">
        <v>3947</v>
      </c>
      <c r="M758" s="71" t="s">
        <v>3948</v>
      </c>
      <c r="N758" s="71" t="s">
        <v>57</v>
      </c>
      <c r="O758" s="165">
        <v>1</v>
      </c>
      <c r="P758" s="166">
        <v>19189533</v>
      </c>
      <c r="Q758" s="71" t="s">
        <v>3949</v>
      </c>
      <c r="R758" s="71"/>
      <c r="S758" s="167" t="s">
        <v>397</v>
      </c>
      <c r="T758" s="168">
        <v>18</v>
      </c>
      <c r="U758" s="168">
        <v>3</v>
      </c>
      <c r="V758" s="97"/>
      <c r="W758" s="97"/>
    </row>
    <row r="759" spans="1:23" ht="14.25" customHeight="1" x14ac:dyDescent="0.35">
      <c r="A759" s="47">
        <v>743</v>
      </c>
      <c r="B759" s="71" t="s">
        <v>79</v>
      </c>
      <c r="C759" s="71" t="s">
        <v>80</v>
      </c>
      <c r="D759" s="119" t="s">
        <v>841</v>
      </c>
      <c r="E759" s="71" t="s">
        <v>1377</v>
      </c>
      <c r="F759" s="71" t="s">
        <v>1378</v>
      </c>
      <c r="G759" s="71" t="s">
        <v>140</v>
      </c>
      <c r="H759" s="119">
        <v>2014</v>
      </c>
      <c r="I759" s="71"/>
      <c r="J759" s="71" t="s">
        <v>3950</v>
      </c>
      <c r="K759" s="71" t="s">
        <v>3951</v>
      </c>
      <c r="L759" s="71" t="s">
        <v>3952</v>
      </c>
      <c r="M759" s="71" t="s">
        <v>3953</v>
      </c>
      <c r="N759" s="71" t="s">
        <v>57</v>
      </c>
      <c r="O759" s="165">
        <v>1</v>
      </c>
      <c r="P759" s="166">
        <v>19189533</v>
      </c>
      <c r="Q759" s="71" t="s">
        <v>63</v>
      </c>
      <c r="R759" s="71"/>
      <c r="S759" s="167" t="s">
        <v>397</v>
      </c>
      <c r="T759" s="168">
        <v>18</v>
      </c>
      <c r="U759" s="168">
        <v>3</v>
      </c>
      <c r="V759" s="97"/>
      <c r="W759" s="97"/>
    </row>
    <row r="760" spans="1:23" ht="14.25" customHeight="1" thickBot="1" x14ac:dyDescent="0.4">
      <c r="A760" s="58">
        <v>744</v>
      </c>
      <c r="B760" s="71" t="s">
        <v>79</v>
      </c>
      <c r="C760" s="71" t="s">
        <v>80</v>
      </c>
      <c r="D760" s="119" t="s">
        <v>122</v>
      </c>
      <c r="E760" s="71" t="s">
        <v>1377</v>
      </c>
      <c r="F760" s="71" t="s">
        <v>1378</v>
      </c>
      <c r="G760" s="71" t="s">
        <v>140</v>
      </c>
      <c r="H760" s="119">
        <v>2014</v>
      </c>
      <c r="I760" s="71"/>
      <c r="J760" s="71" t="s">
        <v>3954</v>
      </c>
      <c r="K760" s="71" t="s">
        <v>3955</v>
      </c>
      <c r="L760" s="71" t="s">
        <v>3956</v>
      </c>
      <c r="M760" s="71" t="s">
        <v>3957</v>
      </c>
      <c r="N760" s="71" t="s">
        <v>57</v>
      </c>
      <c r="O760" s="165">
        <v>1</v>
      </c>
      <c r="P760" s="166">
        <v>19189533</v>
      </c>
      <c r="Q760" s="71" t="s">
        <v>3958</v>
      </c>
      <c r="R760" s="71"/>
      <c r="S760" s="167" t="s">
        <v>397</v>
      </c>
      <c r="T760" s="168">
        <v>18</v>
      </c>
      <c r="U760" s="168">
        <v>3</v>
      </c>
      <c r="V760" s="97"/>
      <c r="W760" s="97"/>
    </row>
    <row r="761" spans="1:23" ht="14.25" customHeight="1" x14ac:dyDescent="0.35">
      <c r="A761" s="47">
        <v>745</v>
      </c>
      <c r="B761" s="71" t="s">
        <v>79</v>
      </c>
      <c r="C761" s="71" t="s">
        <v>80</v>
      </c>
      <c r="D761" s="119" t="s">
        <v>126</v>
      </c>
      <c r="E761" s="71" t="s">
        <v>3959</v>
      </c>
      <c r="F761" s="71" t="s">
        <v>202</v>
      </c>
      <c r="G761" s="71" t="s">
        <v>140</v>
      </c>
      <c r="H761" s="119">
        <v>2019</v>
      </c>
      <c r="I761" s="71" t="s">
        <v>63</v>
      </c>
      <c r="J761" s="71" t="s">
        <v>3960</v>
      </c>
      <c r="K761" s="71" t="s">
        <v>3961</v>
      </c>
      <c r="L761" s="71" t="s">
        <v>3962</v>
      </c>
      <c r="M761" s="71" t="s">
        <v>3963</v>
      </c>
      <c r="N761" s="71" t="s">
        <v>57</v>
      </c>
      <c r="O761" s="165">
        <v>1</v>
      </c>
      <c r="P761" s="166">
        <v>21200000</v>
      </c>
      <c r="Q761" s="71" t="s">
        <v>3964</v>
      </c>
      <c r="R761" s="71"/>
      <c r="S761" s="167" t="s">
        <v>397</v>
      </c>
      <c r="T761" s="168">
        <v>18</v>
      </c>
      <c r="U761" s="168">
        <v>3</v>
      </c>
      <c r="V761" s="97"/>
      <c r="W761" s="97"/>
    </row>
    <row r="762" spans="1:23" ht="14.25" customHeight="1" thickBot="1" x14ac:dyDescent="0.4">
      <c r="A762" s="58">
        <v>746</v>
      </c>
      <c r="B762" s="71" t="s">
        <v>79</v>
      </c>
      <c r="C762" s="71" t="s">
        <v>80</v>
      </c>
      <c r="D762" s="119" t="s">
        <v>132</v>
      </c>
      <c r="E762" s="71" t="s">
        <v>3959</v>
      </c>
      <c r="F762" s="71" t="s">
        <v>202</v>
      </c>
      <c r="G762" s="71" t="s">
        <v>140</v>
      </c>
      <c r="H762" s="119">
        <v>2019</v>
      </c>
      <c r="I762" s="71" t="s">
        <v>63</v>
      </c>
      <c r="J762" s="71" t="s">
        <v>3965</v>
      </c>
      <c r="K762" s="71" t="s">
        <v>3966</v>
      </c>
      <c r="L762" s="71" t="s">
        <v>3967</v>
      </c>
      <c r="M762" s="71" t="s">
        <v>3968</v>
      </c>
      <c r="N762" s="71" t="s">
        <v>57</v>
      </c>
      <c r="O762" s="165">
        <v>1</v>
      </c>
      <c r="P762" s="166">
        <v>21200000</v>
      </c>
      <c r="Q762" s="71" t="s">
        <v>3969</v>
      </c>
      <c r="R762" s="71"/>
      <c r="S762" s="167" t="s">
        <v>397</v>
      </c>
      <c r="T762" s="168">
        <v>18</v>
      </c>
      <c r="U762" s="168">
        <v>3</v>
      </c>
      <c r="V762" s="97"/>
      <c r="W762" s="97"/>
    </row>
    <row r="763" spans="1:23" ht="14.25" customHeight="1" x14ac:dyDescent="0.35">
      <c r="A763" s="47">
        <v>747</v>
      </c>
      <c r="B763" s="71" t="s">
        <v>79</v>
      </c>
      <c r="C763" s="71" t="s">
        <v>80</v>
      </c>
      <c r="D763" s="119" t="s">
        <v>1236</v>
      </c>
      <c r="E763" s="71" t="s">
        <v>3970</v>
      </c>
      <c r="F763" s="71" t="s">
        <v>202</v>
      </c>
      <c r="G763" s="71" t="s">
        <v>140</v>
      </c>
      <c r="H763" s="119">
        <v>2004</v>
      </c>
      <c r="I763" s="71"/>
      <c r="J763" s="71" t="s">
        <v>3971</v>
      </c>
      <c r="K763" s="71" t="s">
        <v>3972</v>
      </c>
      <c r="L763" s="71" t="s">
        <v>3973</v>
      </c>
      <c r="M763" s="71"/>
      <c r="N763" s="71" t="s">
        <v>57</v>
      </c>
      <c r="O763" s="165">
        <v>1</v>
      </c>
      <c r="P763" s="166">
        <v>8000000</v>
      </c>
      <c r="Q763" s="71" t="s">
        <v>3974</v>
      </c>
      <c r="R763" s="71"/>
      <c r="S763" s="167" t="s">
        <v>397</v>
      </c>
      <c r="T763" s="168">
        <v>18</v>
      </c>
      <c r="U763" s="168">
        <v>3</v>
      </c>
      <c r="V763" s="97"/>
      <c r="W763" s="97"/>
    </row>
    <row r="764" spans="1:23" ht="14.25" customHeight="1" thickBot="1" x14ac:dyDescent="0.4">
      <c r="A764" s="58">
        <v>748</v>
      </c>
      <c r="B764" s="71" t="s">
        <v>79</v>
      </c>
      <c r="C764" s="71" t="s">
        <v>80</v>
      </c>
      <c r="D764" s="119" t="s">
        <v>187</v>
      </c>
      <c r="E764" s="71" t="s">
        <v>3975</v>
      </c>
      <c r="F764" s="71" t="s">
        <v>1513</v>
      </c>
      <c r="G764" s="71" t="s">
        <v>140</v>
      </c>
      <c r="H764" s="119">
        <v>2024</v>
      </c>
      <c r="I764" s="71" t="s">
        <v>63</v>
      </c>
      <c r="J764" s="71" t="s">
        <v>3976</v>
      </c>
      <c r="K764" s="71" t="s">
        <v>3977</v>
      </c>
      <c r="L764" s="71" t="s">
        <v>3978</v>
      </c>
      <c r="M764" s="71" t="s">
        <v>3979</v>
      </c>
      <c r="N764" s="71" t="s">
        <v>44</v>
      </c>
      <c r="O764" s="165">
        <v>1</v>
      </c>
      <c r="P764" s="166">
        <v>24150000</v>
      </c>
      <c r="Q764" s="71" t="s">
        <v>3980</v>
      </c>
      <c r="R764" s="71"/>
      <c r="S764" s="167" t="s">
        <v>397</v>
      </c>
      <c r="T764" s="168">
        <v>18</v>
      </c>
      <c r="U764" s="168">
        <v>3</v>
      </c>
      <c r="V764" s="97"/>
      <c r="W764" s="97"/>
    </row>
    <row r="765" spans="1:23" ht="14.25" customHeight="1" x14ac:dyDescent="0.35">
      <c r="A765" s="47">
        <v>749</v>
      </c>
      <c r="B765" s="71" t="s">
        <v>79</v>
      </c>
      <c r="C765" s="71" t="s">
        <v>80</v>
      </c>
      <c r="D765" s="119" t="s">
        <v>190</v>
      </c>
      <c r="E765" s="71" t="s">
        <v>3981</v>
      </c>
      <c r="F765" s="71" t="s">
        <v>1513</v>
      </c>
      <c r="G765" s="71" t="s">
        <v>140</v>
      </c>
      <c r="H765" s="119">
        <v>2024</v>
      </c>
      <c r="I765" s="71" t="s">
        <v>63</v>
      </c>
      <c r="J765" s="71" t="s">
        <v>3982</v>
      </c>
      <c r="K765" s="71" t="s">
        <v>3983</v>
      </c>
      <c r="L765" s="71" t="s">
        <v>3984</v>
      </c>
      <c r="M765" s="71" t="s">
        <v>3985</v>
      </c>
      <c r="N765" s="71" t="s">
        <v>44</v>
      </c>
      <c r="O765" s="165">
        <v>1</v>
      </c>
      <c r="P765" s="166">
        <v>24150000</v>
      </c>
      <c r="Q765" s="71" t="s">
        <v>3986</v>
      </c>
      <c r="R765" s="71"/>
      <c r="S765" s="167" t="s">
        <v>397</v>
      </c>
      <c r="T765" s="168">
        <v>18</v>
      </c>
      <c r="U765" s="168">
        <v>3</v>
      </c>
      <c r="V765" s="97"/>
      <c r="W765" s="97"/>
    </row>
    <row r="766" spans="1:23" ht="14.25" customHeight="1" thickBot="1" x14ac:dyDescent="0.4">
      <c r="A766" s="58">
        <v>750</v>
      </c>
      <c r="B766" s="71" t="s">
        <v>79</v>
      </c>
      <c r="C766" s="71" t="s">
        <v>80</v>
      </c>
      <c r="D766" s="119" t="s">
        <v>192</v>
      </c>
      <c r="E766" s="71" t="s">
        <v>3981</v>
      </c>
      <c r="F766" s="71" t="s">
        <v>1513</v>
      </c>
      <c r="G766" s="71" t="s">
        <v>140</v>
      </c>
      <c r="H766" s="119">
        <v>2024</v>
      </c>
      <c r="I766" s="71" t="s">
        <v>63</v>
      </c>
      <c r="J766" s="71" t="s">
        <v>3987</v>
      </c>
      <c r="K766" s="71" t="s">
        <v>3988</v>
      </c>
      <c r="L766" s="71" t="s">
        <v>3989</v>
      </c>
      <c r="M766" s="71" t="s">
        <v>3990</v>
      </c>
      <c r="N766" s="71" t="s">
        <v>44</v>
      </c>
      <c r="O766" s="165">
        <v>1</v>
      </c>
      <c r="P766" s="166">
        <v>24150000</v>
      </c>
      <c r="Q766" s="71" t="s">
        <v>3991</v>
      </c>
      <c r="R766" s="71"/>
      <c r="S766" s="167" t="s">
        <v>397</v>
      </c>
      <c r="T766" s="168">
        <v>18</v>
      </c>
      <c r="U766" s="168">
        <v>3</v>
      </c>
      <c r="V766" s="97"/>
      <c r="W766" s="97"/>
    </row>
    <row r="767" spans="1:23" ht="14.25" customHeight="1" x14ac:dyDescent="0.35">
      <c r="A767" s="47">
        <v>751</v>
      </c>
      <c r="B767" s="71" t="s">
        <v>79</v>
      </c>
      <c r="C767" s="71" t="s">
        <v>80</v>
      </c>
      <c r="D767" s="119" t="s">
        <v>194</v>
      </c>
      <c r="E767" s="71" t="s">
        <v>3981</v>
      </c>
      <c r="F767" s="71" t="s">
        <v>1513</v>
      </c>
      <c r="G767" s="71" t="s">
        <v>140</v>
      </c>
      <c r="H767" s="119">
        <v>2024</v>
      </c>
      <c r="I767" s="71" t="s">
        <v>63</v>
      </c>
      <c r="J767" s="71" t="s">
        <v>3992</v>
      </c>
      <c r="K767" s="71" t="s">
        <v>3993</v>
      </c>
      <c r="L767" s="71" t="s">
        <v>3994</v>
      </c>
      <c r="M767" s="71" t="s">
        <v>3995</v>
      </c>
      <c r="N767" s="71" t="s">
        <v>44</v>
      </c>
      <c r="O767" s="165">
        <v>1</v>
      </c>
      <c r="P767" s="166">
        <v>24150000</v>
      </c>
      <c r="Q767" s="71" t="s">
        <v>3996</v>
      </c>
      <c r="R767" s="71"/>
      <c r="S767" s="167" t="s">
        <v>397</v>
      </c>
      <c r="T767" s="168">
        <v>18</v>
      </c>
      <c r="U767" s="168">
        <v>3</v>
      </c>
      <c r="V767" s="97"/>
      <c r="W767" s="97"/>
    </row>
    <row r="768" spans="1:23" ht="14.25" customHeight="1" thickBot="1" x14ac:dyDescent="0.4">
      <c r="A768" s="58">
        <v>752</v>
      </c>
      <c r="B768" s="71" t="s">
        <v>79</v>
      </c>
      <c r="C768" s="71" t="s">
        <v>80</v>
      </c>
      <c r="D768" s="119" t="s">
        <v>195</v>
      </c>
      <c r="E768" s="71" t="s">
        <v>3981</v>
      </c>
      <c r="F768" s="71" t="s">
        <v>1513</v>
      </c>
      <c r="G768" s="71" t="s">
        <v>140</v>
      </c>
      <c r="H768" s="119">
        <v>2024</v>
      </c>
      <c r="I768" s="71" t="s">
        <v>63</v>
      </c>
      <c r="J768" s="71" t="s">
        <v>3997</v>
      </c>
      <c r="K768" s="71" t="s">
        <v>3998</v>
      </c>
      <c r="L768" s="71" t="s">
        <v>3999</v>
      </c>
      <c r="M768" s="71" t="s">
        <v>4000</v>
      </c>
      <c r="N768" s="71" t="s">
        <v>44</v>
      </c>
      <c r="O768" s="165">
        <v>1</v>
      </c>
      <c r="P768" s="166">
        <v>24150000</v>
      </c>
      <c r="Q768" s="71" t="s">
        <v>4001</v>
      </c>
      <c r="R768" s="71"/>
      <c r="S768" s="167" t="s">
        <v>397</v>
      </c>
      <c r="T768" s="168">
        <v>18</v>
      </c>
      <c r="U768" s="168">
        <v>3</v>
      </c>
      <c r="V768" s="97"/>
      <c r="W768" s="97"/>
    </row>
    <row r="769" spans="1:23" ht="14.25" customHeight="1" x14ac:dyDescent="0.35">
      <c r="A769" s="47">
        <v>753</v>
      </c>
      <c r="B769" s="71" t="s">
        <v>79</v>
      </c>
      <c r="C769" s="71" t="s">
        <v>80</v>
      </c>
      <c r="D769" s="119" t="s">
        <v>199</v>
      </c>
      <c r="E769" s="71" t="s">
        <v>3981</v>
      </c>
      <c r="F769" s="71" t="s">
        <v>1513</v>
      </c>
      <c r="G769" s="71" t="s">
        <v>140</v>
      </c>
      <c r="H769" s="119">
        <v>2024</v>
      </c>
      <c r="I769" s="71" t="s">
        <v>63</v>
      </c>
      <c r="J769" s="71" t="s">
        <v>4002</v>
      </c>
      <c r="K769" s="71" t="s">
        <v>4003</v>
      </c>
      <c r="L769" s="71" t="s">
        <v>4004</v>
      </c>
      <c r="M769" s="71" t="s">
        <v>4005</v>
      </c>
      <c r="N769" s="71" t="s">
        <v>44</v>
      </c>
      <c r="O769" s="165">
        <v>1</v>
      </c>
      <c r="P769" s="166">
        <v>24150000</v>
      </c>
      <c r="Q769" s="71" t="s">
        <v>4006</v>
      </c>
      <c r="R769" s="71"/>
      <c r="S769" s="167" t="s">
        <v>397</v>
      </c>
      <c r="T769" s="168">
        <v>18</v>
      </c>
      <c r="U769" s="168">
        <v>3</v>
      </c>
      <c r="V769" s="97"/>
      <c r="W769" s="97"/>
    </row>
    <row r="770" spans="1:23" ht="14.25" customHeight="1" thickBot="1" x14ac:dyDescent="0.4">
      <c r="A770" s="58">
        <v>754</v>
      </c>
      <c r="B770" s="73" t="s">
        <v>79</v>
      </c>
      <c r="C770" s="73" t="s">
        <v>80</v>
      </c>
      <c r="D770" s="74" t="s">
        <v>200</v>
      </c>
      <c r="E770" s="73" t="s">
        <v>3981</v>
      </c>
      <c r="F770" s="73" t="s">
        <v>1513</v>
      </c>
      <c r="G770" s="73" t="s">
        <v>140</v>
      </c>
      <c r="H770" s="74">
        <v>2024</v>
      </c>
      <c r="I770" s="73" t="s">
        <v>63</v>
      </c>
      <c r="J770" s="73" t="s">
        <v>4007</v>
      </c>
      <c r="K770" s="73" t="s">
        <v>4008</v>
      </c>
      <c r="L770" s="73" t="s">
        <v>4009</v>
      </c>
      <c r="M770" s="73" t="s">
        <v>4010</v>
      </c>
      <c r="N770" s="73" t="s">
        <v>44</v>
      </c>
      <c r="O770" s="75">
        <v>1</v>
      </c>
      <c r="P770" s="76">
        <v>24150000</v>
      </c>
      <c r="Q770" s="73" t="s">
        <v>4011</v>
      </c>
      <c r="R770" s="73"/>
      <c r="S770" s="162" t="s">
        <v>397</v>
      </c>
      <c r="T770" s="163">
        <v>18</v>
      </c>
      <c r="U770" s="163">
        <v>3</v>
      </c>
      <c r="V770" s="164"/>
      <c r="W770" s="164"/>
    </row>
    <row r="771" spans="1:23" ht="14.25" customHeight="1" x14ac:dyDescent="0.35">
      <c r="A771" s="47">
        <v>755</v>
      </c>
      <c r="B771" s="69" t="s">
        <v>1806</v>
      </c>
      <c r="C771" s="69" t="s">
        <v>1807</v>
      </c>
      <c r="D771" s="70" t="s">
        <v>51</v>
      </c>
      <c r="E771" s="69" t="s">
        <v>4012</v>
      </c>
      <c r="F771" s="69" t="s">
        <v>2559</v>
      </c>
      <c r="G771" s="69" t="s">
        <v>54</v>
      </c>
      <c r="H771" s="70">
        <v>2012</v>
      </c>
      <c r="I771" s="69" t="s">
        <v>63</v>
      </c>
      <c r="J771" s="69" t="s">
        <v>4013</v>
      </c>
      <c r="K771" s="71" t="s">
        <v>4014</v>
      </c>
      <c r="L771" s="71" t="s">
        <v>4015</v>
      </c>
      <c r="M771" s="71" t="s">
        <v>4016</v>
      </c>
      <c r="N771" s="69" t="s">
        <v>57</v>
      </c>
      <c r="O771" s="64">
        <v>1</v>
      </c>
      <c r="P771" s="72">
        <v>241669450</v>
      </c>
      <c r="Q771" s="69" t="s">
        <v>4017</v>
      </c>
      <c r="R771" s="69"/>
      <c r="S771" s="121" t="s">
        <v>419</v>
      </c>
      <c r="T771" s="56">
        <v>19</v>
      </c>
      <c r="U771" s="56">
        <v>4</v>
      </c>
    </row>
    <row r="772" spans="1:23" ht="14.25" customHeight="1" thickBot="1" x14ac:dyDescent="0.4">
      <c r="A772" s="58">
        <v>756</v>
      </c>
      <c r="B772" s="69" t="s">
        <v>79</v>
      </c>
      <c r="C772" s="69" t="s">
        <v>80</v>
      </c>
      <c r="D772" s="70" t="s">
        <v>59</v>
      </c>
      <c r="E772" s="69" t="s">
        <v>138</v>
      </c>
      <c r="F772" s="69" t="s">
        <v>139</v>
      </c>
      <c r="G772" s="69" t="s">
        <v>140</v>
      </c>
      <c r="H772" s="70">
        <v>2014</v>
      </c>
      <c r="I772" s="69"/>
      <c r="J772" s="69" t="s">
        <v>4018</v>
      </c>
      <c r="K772" s="71" t="s">
        <v>4019</v>
      </c>
      <c r="L772" s="71" t="s">
        <v>4020</v>
      </c>
      <c r="M772" s="71" t="s">
        <v>4021</v>
      </c>
      <c r="N772" s="69" t="s">
        <v>57</v>
      </c>
      <c r="O772" s="64">
        <v>1</v>
      </c>
      <c r="P772" s="72">
        <v>17194000</v>
      </c>
      <c r="Q772" s="69" t="s">
        <v>4022</v>
      </c>
      <c r="R772" s="69"/>
      <c r="S772" s="121" t="s">
        <v>419</v>
      </c>
      <c r="T772" s="56">
        <v>19</v>
      </c>
      <c r="U772" s="56">
        <v>3</v>
      </c>
    </row>
    <row r="773" spans="1:23" ht="14.25" customHeight="1" x14ac:dyDescent="0.35">
      <c r="A773" s="47">
        <v>757</v>
      </c>
      <c r="B773" s="69" t="s">
        <v>79</v>
      </c>
      <c r="C773" s="69" t="s">
        <v>80</v>
      </c>
      <c r="D773" s="70" t="s">
        <v>97</v>
      </c>
      <c r="E773" s="69" t="s">
        <v>1383</v>
      </c>
      <c r="F773" s="69" t="s">
        <v>163</v>
      </c>
      <c r="G773" s="69" t="s">
        <v>140</v>
      </c>
      <c r="H773" s="70">
        <v>2015</v>
      </c>
      <c r="I773" s="69"/>
      <c r="J773" s="69" t="s">
        <v>4023</v>
      </c>
      <c r="K773" s="71" t="s">
        <v>4024</v>
      </c>
      <c r="L773" s="71" t="s">
        <v>4025</v>
      </c>
      <c r="M773" s="71" t="s">
        <v>4026</v>
      </c>
      <c r="N773" s="69" t="s">
        <v>57</v>
      </c>
      <c r="O773" s="64">
        <v>1</v>
      </c>
      <c r="P773" s="72">
        <v>14962333</v>
      </c>
      <c r="Q773" s="69" t="s">
        <v>4027</v>
      </c>
      <c r="R773" s="69"/>
      <c r="S773" s="121" t="s">
        <v>419</v>
      </c>
      <c r="T773" s="56">
        <v>19</v>
      </c>
      <c r="U773" s="56">
        <v>3</v>
      </c>
    </row>
    <row r="774" spans="1:23" ht="14.25" customHeight="1" thickBot="1" x14ac:dyDescent="0.4">
      <c r="A774" s="58">
        <v>758</v>
      </c>
      <c r="B774" s="69" t="s">
        <v>79</v>
      </c>
      <c r="C774" s="69" t="s">
        <v>80</v>
      </c>
      <c r="D774" s="70" t="s">
        <v>101</v>
      </c>
      <c r="E774" s="69" t="s">
        <v>1383</v>
      </c>
      <c r="F774" s="69" t="s">
        <v>163</v>
      </c>
      <c r="G774" s="69" t="s">
        <v>140</v>
      </c>
      <c r="H774" s="70">
        <v>2015</v>
      </c>
      <c r="I774" s="69"/>
      <c r="J774" s="69" t="s">
        <v>4028</v>
      </c>
      <c r="K774" s="71" t="s">
        <v>4029</v>
      </c>
      <c r="L774" s="71" t="s">
        <v>4030</v>
      </c>
      <c r="M774" s="71" t="s">
        <v>4031</v>
      </c>
      <c r="N774" s="69" t="s">
        <v>57</v>
      </c>
      <c r="O774" s="64">
        <v>1</v>
      </c>
      <c r="P774" s="72">
        <v>14962333</v>
      </c>
      <c r="Q774" s="69" t="s">
        <v>4032</v>
      </c>
      <c r="R774" s="69"/>
      <c r="S774" s="121" t="s">
        <v>419</v>
      </c>
      <c r="T774" s="56">
        <v>19</v>
      </c>
      <c r="U774" s="56">
        <v>3</v>
      </c>
    </row>
    <row r="775" spans="1:23" ht="14.25" customHeight="1" x14ac:dyDescent="0.35">
      <c r="A775" s="47">
        <v>759</v>
      </c>
      <c r="B775" s="69" t="s">
        <v>79</v>
      </c>
      <c r="C775" s="69" t="s">
        <v>80</v>
      </c>
      <c r="D775" s="70" t="s">
        <v>107</v>
      </c>
      <c r="E775" s="69" t="s">
        <v>2178</v>
      </c>
      <c r="F775" s="69" t="s">
        <v>2179</v>
      </c>
      <c r="G775" s="69" t="s">
        <v>54</v>
      </c>
      <c r="H775" s="70">
        <v>2015</v>
      </c>
      <c r="I775" s="69"/>
      <c r="J775" s="69" t="s">
        <v>4033</v>
      </c>
      <c r="K775" s="71" t="s">
        <v>4034</v>
      </c>
      <c r="L775" s="71" t="s">
        <v>4035</v>
      </c>
      <c r="M775" s="71" t="s">
        <v>4036</v>
      </c>
      <c r="N775" s="69" t="s">
        <v>57</v>
      </c>
      <c r="O775" s="64">
        <v>1</v>
      </c>
      <c r="P775" s="72">
        <v>18876000</v>
      </c>
      <c r="Q775" s="69" t="s">
        <v>4037</v>
      </c>
      <c r="R775" s="69"/>
      <c r="S775" s="121" t="s">
        <v>419</v>
      </c>
      <c r="T775" s="56">
        <v>19</v>
      </c>
      <c r="U775" s="56">
        <v>3</v>
      </c>
    </row>
    <row r="776" spans="1:23" ht="14.25" customHeight="1" thickBot="1" x14ac:dyDescent="0.4">
      <c r="A776" s="58">
        <v>760</v>
      </c>
      <c r="B776" s="69" t="s">
        <v>79</v>
      </c>
      <c r="C776" s="69" t="s">
        <v>80</v>
      </c>
      <c r="D776" s="70" t="s">
        <v>112</v>
      </c>
      <c r="E776" s="69" t="s">
        <v>4038</v>
      </c>
      <c r="F776" s="69" t="s">
        <v>4039</v>
      </c>
      <c r="G776" s="69" t="s">
        <v>140</v>
      </c>
      <c r="H776" s="70">
        <v>2015</v>
      </c>
      <c r="I776" s="69"/>
      <c r="J776" s="69" t="s">
        <v>4040</v>
      </c>
      <c r="K776" s="71" t="s">
        <v>4041</v>
      </c>
      <c r="L776" s="71" t="s">
        <v>4042</v>
      </c>
      <c r="M776" s="71" t="s">
        <v>4043</v>
      </c>
      <c r="N776" s="69" t="s">
        <v>57</v>
      </c>
      <c r="O776" s="64">
        <v>1</v>
      </c>
      <c r="P776" s="72">
        <v>18976000</v>
      </c>
      <c r="Q776" s="69" t="s">
        <v>4044</v>
      </c>
      <c r="R776" s="69"/>
      <c r="S776" s="121" t="s">
        <v>419</v>
      </c>
      <c r="T776" s="56">
        <v>19</v>
      </c>
      <c r="U776" s="56">
        <v>3</v>
      </c>
    </row>
    <row r="777" spans="1:23" ht="14.25" customHeight="1" x14ac:dyDescent="0.35">
      <c r="A777" s="47">
        <v>761</v>
      </c>
      <c r="B777" s="69" t="s">
        <v>79</v>
      </c>
      <c r="C777" s="69" t="s">
        <v>80</v>
      </c>
      <c r="D777" s="70" t="s">
        <v>116</v>
      </c>
      <c r="E777" s="69" t="s">
        <v>4038</v>
      </c>
      <c r="F777" s="69" t="s">
        <v>4039</v>
      </c>
      <c r="G777" s="69" t="s">
        <v>140</v>
      </c>
      <c r="H777" s="70">
        <v>2015</v>
      </c>
      <c r="I777" s="69"/>
      <c r="J777" s="69" t="s">
        <v>4045</v>
      </c>
      <c r="K777" s="71" t="s">
        <v>4046</v>
      </c>
      <c r="L777" s="71" t="s">
        <v>4047</v>
      </c>
      <c r="M777" s="71" t="s">
        <v>4048</v>
      </c>
      <c r="N777" s="69" t="s">
        <v>57</v>
      </c>
      <c r="O777" s="64">
        <v>1</v>
      </c>
      <c r="P777" s="72">
        <v>18976000</v>
      </c>
      <c r="Q777" s="69" t="s">
        <v>4049</v>
      </c>
      <c r="R777" s="69"/>
      <c r="S777" s="121" t="s">
        <v>419</v>
      </c>
      <c r="T777" s="56">
        <v>19</v>
      </c>
      <c r="U777" s="56">
        <v>3</v>
      </c>
    </row>
    <row r="778" spans="1:23" ht="14.25" customHeight="1" thickBot="1" x14ac:dyDescent="0.4">
      <c r="A778" s="58">
        <v>762</v>
      </c>
      <c r="B778" s="69" t="s">
        <v>79</v>
      </c>
      <c r="C778" s="69" t="s">
        <v>80</v>
      </c>
      <c r="D778" s="70" t="s">
        <v>841</v>
      </c>
      <c r="E778" s="69" t="s">
        <v>4038</v>
      </c>
      <c r="F778" s="69" t="s">
        <v>4039</v>
      </c>
      <c r="G778" s="69" t="s">
        <v>140</v>
      </c>
      <c r="H778" s="70">
        <v>2015</v>
      </c>
      <c r="I778" s="69"/>
      <c r="J778" s="69" t="s">
        <v>4050</v>
      </c>
      <c r="K778" s="71" t="s">
        <v>4051</v>
      </c>
      <c r="L778" s="71" t="s">
        <v>4052</v>
      </c>
      <c r="M778" s="71" t="s">
        <v>4053</v>
      </c>
      <c r="N778" s="69" t="s">
        <v>57</v>
      </c>
      <c r="O778" s="64">
        <v>1</v>
      </c>
      <c r="P778" s="72">
        <v>18976000</v>
      </c>
      <c r="Q778" s="69" t="s">
        <v>4054</v>
      </c>
      <c r="R778" s="69"/>
      <c r="S778" s="121" t="s">
        <v>419</v>
      </c>
      <c r="T778" s="56">
        <v>19</v>
      </c>
      <c r="U778" s="56">
        <v>3</v>
      </c>
    </row>
    <row r="779" spans="1:23" ht="14.25" customHeight="1" x14ac:dyDescent="0.35">
      <c r="A779" s="47">
        <v>763</v>
      </c>
      <c r="B779" s="69" t="s">
        <v>79</v>
      </c>
      <c r="C779" s="69" t="s">
        <v>80</v>
      </c>
      <c r="D779" s="70" t="s">
        <v>904</v>
      </c>
      <c r="E779" s="69" t="s">
        <v>4038</v>
      </c>
      <c r="F779" s="69" t="s">
        <v>4039</v>
      </c>
      <c r="G779" s="69" t="s">
        <v>140</v>
      </c>
      <c r="H779" s="70">
        <v>2015</v>
      </c>
      <c r="I779" s="69"/>
      <c r="J779" s="69" t="s">
        <v>4055</v>
      </c>
      <c r="K779" s="71" t="s">
        <v>4056</v>
      </c>
      <c r="L779" s="71" t="s">
        <v>4057</v>
      </c>
      <c r="M779" s="71" t="s">
        <v>4058</v>
      </c>
      <c r="N779" s="69" t="s">
        <v>57</v>
      </c>
      <c r="O779" s="64">
        <v>1</v>
      </c>
      <c r="P779" s="72">
        <v>18976000</v>
      </c>
      <c r="Q779" s="69" t="s">
        <v>4059</v>
      </c>
      <c r="R779" s="69"/>
      <c r="S779" s="121" t="s">
        <v>419</v>
      </c>
      <c r="T779" s="56">
        <v>19</v>
      </c>
      <c r="U779" s="56">
        <v>3</v>
      </c>
    </row>
    <row r="780" spans="1:23" ht="14.25" customHeight="1" thickBot="1" x14ac:dyDescent="0.4">
      <c r="A780" s="58">
        <v>764</v>
      </c>
      <c r="B780" s="69" t="s">
        <v>79</v>
      </c>
      <c r="C780" s="69" t="s">
        <v>80</v>
      </c>
      <c r="D780" s="70" t="s">
        <v>122</v>
      </c>
      <c r="E780" s="69" t="s">
        <v>4038</v>
      </c>
      <c r="F780" s="69" t="s">
        <v>4039</v>
      </c>
      <c r="G780" s="69" t="s">
        <v>140</v>
      </c>
      <c r="H780" s="70">
        <v>2015</v>
      </c>
      <c r="I780" s="69"/>
      <c r="J780" s="69" t="s">
        <v>4060</v>
      </c>
      <c r="K780" s="71" t="s">
        <v>4061</v>
      </c>
      <c r="L780" s="71" t="s">
        <v>4062</v>
      </c>
      <c r="M780" s="71" t="s">
        <v>4063</v>
      </c>
      <c r="N780" s="69" t="s">
        <v>57</v>
      </c>
      <c r="O780" s="64">
        <v>1</v>
      </c>
      <c r="P780" s="72">
        <v>18976000</v>
      </c>
      <c r="Q780" s="69" t="s">
        <v>4064</v>
      </c>
      <c r="R780" s="69"/>
      <c r="S780" s="121" t="s">
        <v>419</v>
      </c>
      <c r="T780" s="56">
        <v>19</v>
      </c>
      <c r="U780" s="56">
        <v>3</v>
      </c>
    </row>
    <row r="781" spans="1:23" ht="14.25" customHeight="1" x14ac:dyDescent="0.35">
      <c r="A781" s="47">
        <v>765</v>
      </c>
      <c r="B781" s="69" t="s">
        <v>79</v>
      </c>
      <c r="C781" s="69" t="s">
        <v>80</v>
      </c>
      <c r="D781" s="70" t="s">
        <v>126</v>
      </c>
      <c r="E781" s="69" t="s">
        <v>155</v>
      </c>
      <c r="F781" s="69" t="s">
        <v>163</v>
      </c>
      <c r="G781" s="69" t="s">
        <v>140</v>
      </c>
      <c r="H781" s="70">
        <v>2017</v>
      </c>
      <c r="I781" s="69" t="s">
        <v>63</v>
      </c>
      <c r="J781" s="69" t="s">
        <v>4065</v>
      </c>
      <c r="K781" s="71" t="s">
        <v>4066</v>
      </c>
      <c r="L781" s="71" t="s">
        <v>4067</v>
      </c>
      <c r="M781" s="71" t="s">
        <v>4068</v>
      </c>
      <c r="N781" s="69" t="s">
        <v>57</v>
      </c>
      <c r="O781" s="64">
        <v>1</v>
      </c>
      <c r="P781" s="72">
        <v>15252264</v>
      </c>
      <c r="Q781" s="69" t="s">
        <v>4069</v>
      </c>
      <c r="R781" s="69"/>
      <c r="S781" s="121" t="s">
        <v>419</v>
      </c>
      <c r="T781" s="56">
        <v>19</v>
      </c>
      <c r="U781" s="56">
        <v>3</v>
      </c>
    </row>
    <row r="782" spans="1:23" ht="14.25" customHeight="1" thickBot="1" x14ac:dyDescent="0.4">
      <c r="A782" s="58">
        <v>766</v>
      </c>
      <c r="B782" s="69" t="s">
        <v>79</v>
      </c>
      <c r="C782" s="69" t="s">
        <v>80</v>
      </c>
      <c r="D782" s="70" t="s">
        <v>132</v>
      </c>
      <c r="E782" s="69" t="s">
        <v>1110</v>
      </c>
      <c r="F782" s="69" t="s">
        <v>163</v>
      </c>
      <c r="G782" s="69" t="s">
        <v>140</v>
      </c>
      <c r="H782" s="70">
        <v>2017</v>
      </c>
      <c r="I782" s="69" t="s">
        <v>63</v>
      </c>
      <c r="J782" s="69" t="s">
        <v>4070</v>
      </c>
      <c r="K782" s="71" t="s">
        <v>4071</v>
      </c>
      <c r="L782" s="71" t="s">
        <v>4072</v>
      </c>
      <c r="M782" s="71" t="s">
        <v>4073</v>
      </c>
      <c r="N782" s="69" t="s">
        <v>57</v>
      </c>
      <c r="O782" s="64">
        <v>1</v>
      </c>
      <c r="P782" s="72">
        <v>15846600</v>
      </c>
      <c r="Q782" s="69" t="s">
        <v>4074</v>
      </c>
      <c r="R782" s="69"/>
      <c r="S782" s="121" t="s">
        <v>419</v>
      </c>
      <c r="T782" s="56">
        <v>19</v>
      </c>
      <c r="U782" s="56">
        <v>3</v>
      </c>
    </row>
    <row r="783" spans="1:23" ht="14.25" customHeight="1" x14ac:dyDescent="0.35">
      <c r="A783" s="47">
        <v>767</v>
      </c>
      <c r="B783" s="69" t="s">
        <v>79</v>
      </c>
      <c r="C783" s="69" t="s">
        <v>80</v>
      </c>
      <c r="D783" s="70" t="s">
        <v>137</v>
      </c>
      <c r="E783" s="69" t="s">
        <v>162</v>
      </c>
      <c r="F783" s="69" t="s">
        <v>163</v>
      </c>
      <c r="G783" s="69" t="s">
        <v>140</v>
      </c>
      <c r="H783" s="70">
        <v>2018</v>
      </c>
      <c r="I783" s="69" t="s">
        <v>63</v>
      </c>
      <c r="J783" s="69" t="s">
        <v>4075</v>
      </c>
      <c r="K783" s="71" t="s">
        <v>4076</v>
      </c>
      <c r="L783" s="71" t="s">
        <v>4077</v>
      </c>
      <c r="M783" s="71" t="s">
        <v>4078</v>
      </c>
      <c r="N783" s="69" t="s">
        <v>57</v>
      </c>
      <c r="O783" s="64">
        <v>1</v>
      </c>
      <c r="P783" s="72">
        <v>15534000</v>
      </c>
      <c r="Q783" s="69" t="s">
        <v>4079</v>
      </c>
      <c r="R783" s="69"/>
      <c r="S783" s="121" t="s">
        <v>419</v>
      </c>
      <c r="T783" s="56">
        <v>19</v>
      </c>
      <c r="U783" s="56">
        <v>3</v>
      </c>
    </row>
    <row r="784" spans="1:23" ht="14.25" customHeight="1" thickBot="1" x14ac:dyDescent="0.4">
      <c r="A784" s="58">
        <v>768</v>
      </c>
      <c r="B784" s="69" t="s">
        <v>79</v>
      </c>
      <c r="C784" s="69" t="s">
        <v>80</v>
      </c>
      <c r="D784" s="70" t="s">
        <v>146</v>
      </c>
      <c r="E784" s="69" t="s">
        <v>4080</v>
      </c>
      <c r="F784" s="69" t="s">
        <v>443</v>
      </c>
      <c r="G784" s="69" t="s">
        <v>140</v>
      </c>
      <c r="H784" s="70">
        <v>2021</v>
      </c>
      <c r="I784" s="69" t="s">
        <v>63</v>
      </c>
      <c r="J784" s="69" t="s">
        <v>4081</v>
      </c>
      <c r="K784" s="71" t="s">
        <v>4082</v>
      </c>
      <c r="L784" s="71" t="s">
        <v>4083</v>
      </c>
      <c r="M784" s="71" t="s">
        <v>4084</v>
      </c>
      <c r="N784" s="69" t="s">
        <v>57</v>
      </c>
      <c r="O784" s="64">
        <v>1</v>
      </c>
      <c r="P784" s="72">
        <v>17500000</v>
      </c>
      <c r="Q784" s="69" t="s">
        <v>4085</v>
      </c>
      <c r="R784" s="69"/>
      <c r="S784" s="121" t="s">
        <v>419</v>
      </c>
      <c r="T784" s="56">
        <v>19</v>
      </c>
      <c r="U784" s="56">
        <v>3</v>
      </c>
    </row>
    <row r="785" spans="1:21" ht="14.25" customHeight="1" x14ac:dyDescent="0.35">
      <c r="A785" s="47">
        <v>769</v>
      </c>
      <c r="B785" s="69" t="s">
        <v>79</v>
      </c>
      <c r="C785" s="69" t="s">
        <v>80</v>
      </c>
      <c r="D785" s="70" t="s">
        <v>154</v>
      </c>
      <c r="E785" s="69" t="s">
        <v>4080</v>
      </c>
      <c r="F785" s="69" t="s">
        <v>443</v>
      </c>
      <c r="G785" s="69" t="s">
        <v>140</v>
      </c>
      <c r="H785" s="70">
        <v>2021</v>
      </c>
      <c r="I785" s="69" t="s">
        <v>63</v>
      </c>
      <c r="J785" s="69" t="s">
        <v>4081</v>
      </c>
      <c r="K785" s="71" t="s">
        <v>4086</v>
      </c>
      <c r="L785" s="71" t="s">
        <v>4087</v>
      </c>
      <c r="M785" s="71" t="s">
        <v>4088</v>
      </c>
      <c r="N785" s="69" t="s">
        <v>57</v>
      </c>
      <c r="O785" s="64">
        <v>1</v>
      </c>
      <c r="P785" s="72">
        <v>17500000</v>
      </c>
      <c r="Q785" s="69" t="s">
        <v>4089</v>
      </c>
      <c r="R785" s="69"/>
      <c r="S785" s="121" t="s">
        <v>419</v>
      </c>
      <c r="T785" s="56">
        <v>19</v>
      </c>
      <c r="U785" s="56">
        <v>3</v>
      </c>
    </row>
    <row r="786" spans="1:21" ht="14.25" customHeight="1" thickBot="1" x14ac:dyDescent="0.4">
      <c r="A786" s="58">
        <v>770</v>
      </c>
      <c r="B786" s="69" t="s">
        <v>79</v>
      </c>
      <c r="C786" s="69" t="s">
        <v>80</v>
      </c>
      <c r="D786" s="70" t="s">
        <v>161</v>
      </c>
      <c r="E786" s="69" t="s">
        <v>4080</v>
      </c>
      <c r="F786" s="69" t="s">
        <v>443</v>
      </c>
      <c r="G786" s="69" t="s">
        <v>140</v>
      </c>
      <c r="H786" s="70">
        <v>2021</v>
      </c>
      <c r="I786" s="69" t="s">
        <v>63</v>
      </c>
      <c r="J786" s="69" t="s">
        <v>4090</v>
      </c>
      <c r="K786" s="71" t="s">
        <v>4082</v>
      </c>
      <c r="L786" s="71" t="s">
        <v>4083</v>
      </c>
      <c r="M786" s="71" t="s">
        <v>4084</v>
      </c>
      <c r="N786" s="69" t="s">
        <v>57</v>
      </c>
      <c r="O786" s="64">
        <v>1</v>
      </c>
      <c r="P786" s="72">
        <v>17500000</v>
      </c>
      <c r="Q786" s="69" t="s">
        <v>4091</v>
      </c>
      <c r="R786" s="69"/>
      <c r="S786" s="121" t="s">
        <v>419</v>
      </c>
      <c r="T786" s="56">
        <v>19</v>
      </c>
      <c r="U786" s="56">
        <v>3</v>
      </c>
    </row>
    <row r="787" spans="1:21" ht="14.25" customHeight="1" x14ac:dyDescent="0.35">
      <c r="A787" s="47">
        <v>771</v>
      </c>
      <c r="B787" s="69" t="s">
        <v>79</v>
      </c>
      <c r="C787" s="69" t="s">
        <v>80</v>
      </c>
      <c r="D787" s="70" t="s">
        <v>169</v>
      </c>
      <c r="E787" s="69" t="s">
        <v>4080</v>
      </c>
      <c r="F787" s="69" t="s">
        <v>443</v>
      </c>
      <c r="G787" s="69" t="s">
        <v>140</v>
      </c>
      <c r="H787" s="70">
        <v>2021</v>
      </c>
      <c r="I787" s="69" t="s">
        <v>63</v>
      </c>
      <c r="J787" s="69" t="s">
        <v>4092</v>
      </c>
      <c r="K787" s="71" t="s">
        <v>4093</v>
      </c>
      <c r="L787" s="71" t="s">
        <v>4094</v>
      </c>
      <c r="M787" s="71" t="s">
        <v>4095</v>
      </c>
      <c r="N787" s="69" t="s">
        <v>57</v>
      </c>
      <c r="O787" s="64">
        <v>1</v>
      </c>
      <c r="P787" s="72">
        <v>17500000</v>
      </c>
      <c r="Q787" s="69" t="s">
        <v>4096</v>
      </c>
      <c r="R787" s="69"/>
      <c r="S787" s="121" t="s">
        <v>419</v>
      </c>
      <c r="T787" s="56">
        <v>19</v>
      </c>
      <c r="U787" s="56">
        <v>3</v>
      </c>
    </row>
    <row r="788" spans="1:21" ht="14.25" customHeight="1" thickBot="1" x14ac:dyDescent="0.4">
      <c r="A788" s="58">
        <v>772</v>
      </c>
      <c r="B788" s="69" t="s">
        <v>79</v>
      </c>
      <c r="C788" s="69" t="s">
        <v>80</v>
      </c>
      <c r="D788" s="70" t="s">
        <v>176</v>
      </c>
      <c r="E788" s="69" t="s">
        <v>162</v>
      </c>
      <c r="F788" s="69" t="s">
        <v>163</v>
      </c>
      <c r="G788" s="69" t="s">
        <v>140</v>
      </c>
      <c r="H788" s="70">
        <v>2018</v>
      </c>
      <c r="I788" s="69" t="s">
        <v>63</v>
      </c>
      <c r="J788" s="69" t="s">
        <v>4097</v>
      </c>
      <c r="K788" s="71" t="s">
        <v>4098</v>
      </c>
      <c r="L788" s="71" t="s">
        <v>4099</v>
      </c>
      <c r="M788" s="71" t="s">
        <v>4100</v>
      </c>
      <c r="N788" s="69" t="s">
        <v>57</v>
      </c>
      <c r="O788" s="64">
        <v>1</v>
      </c>
      <c r="P788" s="72">
        <v>15534000</v>
      </c>
      <c r="Q788" s="69" t="s">
        <v>4101</v>
      </c>
      <c r="R788" s="69"/>
      <c r="S788" s="121" t="s">
        <v>419</v>
      </c>
      <c r="T788" s="56">
        <v>19</v>
      </c>
      <c r="U788" s="56">
        <v>3</v>
      </c>
    </row>
    <row r="789" spans="1:21" ht="14.25" customHeight="1" x14ac:dyDescent="0.35">
      <c r="A789" s="47">
        <v>773</v>
      </c>
      <c r="B789" s="69" t="s">
        <v>79</v>
      </c>
      <c r="C789" s="69" t="s">
        <v>80</v>
      </c>
      <c r="D789" s="70" t="s">
        <v>1236</v>
      </c>
      <c r="E789" s="69" t="s">
        <v>2513</v>
      </c>
      <c r="F789" s="69" t="s">
        <v>202</v>
      </c>
      <c r="G789" s="69" t="s">
        <v>54</v>
      </c>
      <c r="H789" s="70">
        <v>2010</v>
      </c>
      <c r="I789" s="69"/>
      <c r="J789" s="69" t="s">
        <v>4102</v>
      </c>
      <c r="K789" s="71" t="s">
        <v>4103</v>
      </c>
      <c r="L789" s="71" t="s">
        <v>4104</v>
      </c>
      <c r="M789" s="71" t="s">
        <v>4105</v>
      </c>
      <c r="N789" s="69" t="s">
        <v>57</v>
      </c>
      <c r="O789" s="64">
        <v>1</v>
      </c>
      <c r="P789" s="72">
        <v>16050000</v>
      </c>
      <c r="Q789" s="69" t="s">
        <v>4106</v>
      </c>
      <c r="R789" s="69"/>
      <c r="S789" s="121" t="s">
        <v>419</v>
      </c>
      <c r="T789" s="56">
        <v>19</v>
      </c>
      <c r="U789" s="56">
        <v>3</v>
      </c>
    </row>
    <row r="790" spans="1:21" ht="14.25" customHeight="1" thickBot="1" x14ac:dyDescent="0.4">
      <c r="A790" s="58">
        <v>774</v>
      </c>
      <c r="B790" s="69" t="s">
        <v>70</v>
      </c>
      <c r="C790" s="69" t="s">
        <v>71</v>
      </c>
      <c r="D790" s="70" t="s">
        <v>51</v>
      </c>
      <c r="E790" s="69" t="s">
        <v>4107</v>
      </c>
      <c r="F790" s="69" t="s">
        <v>4108</v>
      </c>
      <c r="G790" s="69" t="s">
        <v>247</v>
      </c>
      <c r="H790" s="70">
        <v>2006</v>
      </c>
      <c r="I790" s="69"/>
      <c r="J790" s="69" t="s">
        <v>4109</v>
      </c>
      <c r="K790" s="71" t="s">
        <v>4110</v>
      </c>
      <c r="L790" s="71" t="s">
        <v>4111</v>
      </c>
      <c r="M790" s="71" t="s">
        <v>4112</v>
      </c>
      <c r="N790" s="69" t="s">
        <v>57</v>
      </c>
      <c r="O790" s="64">
        <v>1</v>
      </c>
      <c r="P790" s="72">
        <v>149700000</v>
      </c>
      <c r="Q790" s="69" t="s">
        <v>71</v>
      </c>
      <c r="R790" s="69"/>
      <c r="S790" s="121" t="s">
        <v>440</v>
      </c>
      <c r="T790" s="56">
        <v>20</v>
      </c>
      <c r="U790" s="56">
        <v>4</v>
      </c>
    </row>
    <row r="791" spans="1:21" ht="14.25" customHeight="1" x14ac:dyDescent="0.35">
      <c r="A791" s="47">
        <v>775</v>
      </c>
      <c r="B791" s="69" t="s">
        <v>70</v>
      </c>
      <c r="C791" s="69" t="s">
        <v>71</v>
      </c>
      <c r="D791" s="70" t="s">
        <v>59</v>
      </c>
      <c r="E791" s="69" t="s">
        <v>4113</v>
      </c>
      <c r="F791" s="69" t="s">
        <v>1595</v>
      </c>
      <c r="G791" s="69" t="s">
        <v>140</v>
      </c>
      <c r="H791" s="70">
        <v>2014</v>
      </c>
      <c r="I791" s="69"/>
      <c r="J791" s="69" t="s">
        <v>4114</v>
      </c>
      <c r="K791" s="71" t="s">
        <v>4115</v>
      </c>
      <c r="L791" s="71" t="s">
        <v>4116</v>
      </c>
      <c r="M791" s="71" t="s">
        <v>4117</v>
      </c>
      <c r="N791" s="69" t="s">
        <v>57</v>
      </c>
      <c r="O791" s="64">
        <v>1</v>
      </c>
      <c r="P791" s="72">
        <v>248730000</v>
      </c>
      <c r="Q791" s="69" t="s">
        <v>4118</v>
      </c>
      <c r="R791" s="69"/>
      <c r="S791" s="121" t="s">
        <v>440</v>
      </c>
      <c r="T791" s="56">
        <v>20</v>
      </c>
      <c r="U791" s="56">
        <v>4</v>
      </c>
    </row>
    <row r="792" spans="1:21" ht="14.25" customHeight="1" thickBot="1" x14ac:dyDescent="0.4">
      <c r="A792" s="58">
        <v>776</v>
      </c>
      <c r="B792" s="69" t="s">
        <v>79</v>
      </c>
      <c r="C792" s="69" t="s">
        <v>80</v>
      </c>
      <c r="D792" s="70" t="s">
        <v>51</v>
      </c>
      <c r="E792" s="69" t="s">
        <v>2949</v>
      </c>
      <c r="F792" s="69" t="s">
        <v>231</v>
      </c>
      <c r="G792" s="69" t="s">
        <v>54</v>
      </c>
      <c r="H792" s="70">
        <v>2013</v>
      </c>
      <c r="I792" s="69"/>
      <c r="J792" s="69" t="s">
        <v>4119</v>
      </c>
      <c r="K792" s="71" t="s">
        <v>4120</v>
      </c>
      <c r="L792" s="71" t="s">
        <v>4121</v>
      </c>
      <c r="M792" s="71" t="s">
        <v>4122</v>
      </c>
      <c r="N792" s="69" t="s">
        <v>57</v>
      </c>
      <c r="O792" s="64">
        <v>1</v>
      </c>
      <c r="P792" s="72">
        <v>18004100</v>
      </c>
      <c r="Q792" s="69"/>
      <c r="R792" s="69"/>
      <c r="S792" s="121" t="s">
        <v>440</v>
      </c>
      <c r="T792" s="56">
        <v>20</v>
      </c>
      <c r="U792" s="56">
        <v>3</v>
      </c>
    </row>
    <row r="793" spans="1:21" ht="14.25" customHeight="1" x14ac:dyDescent="0.35">
      <c r="A793" s="47">
        <v>777</v>
      </c>
      <c r="B793" s="69" t="s">
        <v>79</v>
      </c>
      <c r="C793" s="69" t="s">
        <v>80</v>
      </c>
      <c r="D793" s="70" t="s">
        <v>59</v>
      </c>
      <c r="E793" s="69" t="s">
        <v>2513</v>
      </c>
      <c r="F793" s="69" t="s">
        <v>202</v>
      </c>
      <c r="G793" s="69" t="s">
        <v>54</v>
      </c>
      <c r="H793" s="70">
        <v>2010</v>
      </c>
      <c r="I793" s="69"/>
      <c r="J793" s="69" t="s">
        <v>4123</v>
      </c>
      <c r="K793" s="71" t="s">
        <v>4124</v>
      </c>
      <c r="L793" s="71" t="s">
        <v>4125</v>
      </c>
      <c r="M793" s="71" t="s">
        <v>4126</v>
      </c>
      <c r="N793" s="69" t="s">
        <v>57</v>
      </c>
      <c r="O793" s="64">
        <v>1</v>
      </c>
      <c r="P793" s="72">
        <v>16050000</v>
      </c>
      <c r="Q793" s="69" t="s">
        <v>168</v>
      </c>
      <c r="R793" s="69"/>
      <c r="S793" s="121" t="s">
        <v>440</v>
      </c>
      <c r="T793" s="56">
        <v>20</v>
      </c>
      <c r="U793" s="56">
        <v>3</v>
      </c>
    </row>
    <row r="794" spans="1:21" ht="14.25" customHeight="1" thickBot="1" x14ac:dyDescent="0.4">
      <c r="A794" s="58">
        <v>778</v>
      </c>
      <c r="B794" s="69" t="s">
        <v>79</v>
      </c>
      <c r="C794" s="69" t="s">
        <v>80</v>
      </c>
      <c r="D794" s="70" t="s">
        <v>101</v>
      </c>
      <c r="E794" s="69" t="s">
        <v>162</v>
      </c>
      <c r="F794" s="69" t="s">
        <v>163</v>
      </c>
      <c r="G794" s="69" t="s">
        <v>140</v>
      </c>
      <c r="H794" s="70">
        <v>2018</v>
      </c>
      <c r="I794" s="69" t="s">
        <v>63</v>
      </c>
      <c r="J794" s="69" t="s">
        <v>4127</v>
      </c>
      <c r="K794" s="71" t="s">
        <v>4128</v>
      </c>
      <c r="L794" s="71" t="s">
        <v>4129</v>
      </c>
      <c r="M794" s="71" t="s">
        <v>4130</v>
      </c>
      <c r="N794" s="69" t="s">
        <v>57</v>
      </c>
      <c r="O794" s="64">
        <v>1</v>
      </c>
      <c r="P794" s="72">
        <v>15534000</v>
      </c>
      <c r="Q794" s="69" t="s">
        <v>168</v>
      </c>
      <c r="R794" s="69"/>
      <c r="S794" s="121" t="s">
        <v>440</v>
      </c>
      <c r="T794" s="56">
        <v>20</v>
      </c>
      <c r="U794" s="56">
        <v>3</v>
      </c>
    </row>
    <row r="795" spans="1:21" ht="14.25" customHeight="1" x14ac:dyDescent="0.35">
      <c r="A795" s="47">
        <v>779</v>
      </c>
      <c r="B795" s="69" t="s">
        <v>79</v>
      </c>
      <c r="C795" s="69" t="s">
        <v>80</v>
      </c>
      <c r="D795" s="70" t="s">
        <v>107</v>
      </c>
      <c r="E795" s="69" t="s">
        <v>239</v>
      </c>
      <c r="F795" s="69" t="s">
        <v>148</v>
      </c>
      <c r="G795" s="69" t="s">
        <v>140</v>
      </c>
      <c r="H795" s="70">
        <v>2018</v>
      </c>
      <c r="I795" s="69" t="s">
        <v>63</v>
      </c>
      <c r="J795" s="69" t="s">
        <v>4131</v>
      </c>
      <c r="K795" s="71" t="s">
        <v>4132</v>
      </c>
      <c r="L795" s="71" t="s">
        <v>4133</v>
      </c>
      <c r="M795" s="71" t="s">
        <v>4134</v>
      </c>
      <c r="N795" s="69" t="s">
        <v>57</v>
      </c>
      <c r="O795" s="64">
        <v>1</v>
      </c>
      <c r="P795" s="72">
        <v>20234710</v>
      </c>
      <c r="Q795" s="69" t="s">
        <v>168</v>
      </c>
      <c r="R795" s="69"/>
      <c r="S795" s="121" t="s">
        <v>440</v>
      </c>
      <c r="T795" s="56">
        <v>20</v>
      </c>
      <c r="U795" s="56">
        <v>3</v>
      </c>
    </row>
    <row r="796" spans="1:21" ht="14.25" customHeight="1" thickBot="1" x14ac:dyDescent="0.4">
      <c r="A796" s="58">
        <v>780</v>
      </c>
      <c r="B796" s="69" t="s">
        <v>79</v>
      </c>
      <c r="C796" s="69" t="s">
        <v>80</v>
      </c>
      <c r="D796" s="70" t="s">
        <v>112</v>
      </c>
      <c r="E796" s="69" t="s">
        <v>2807</v>
      </c>
      <c r="F796" s="69" t="s">
        <v>2808</v>
      </c>
      <c r="G796" s="69" t="s">
        <v>140</v>
      </c>
      <c r="H796" s="70">
        <v>2014</v>
      </c>
      <c r="I796" s="69"/>
      <c r="J796" s="69" t="s">
        <v>4135</v>
      </c>
      <c r="K796" s="71" t="s">
        <v>4136</v>
      </c>
      <c r="L796" s="71" t="s">
        <v>4137</v>
      </c>
      <c r="M796" s="71" t="s">
        <v>4138</v>
      </c>
      <c r="N796" s="69" t="s">
        <v>57</v>
      </c>
      <c r="O796" s="64">
        <v>1</v>
      </c>
      <c r="P796" s="72">
        <v>13816000</v>
      </c>
      <c r="Q796" s="69" t="s">
        <v>4139</v>
      </c>
      <c r="R796" s="69"/>
      <c r="S796" s="121" t="s">
        <v>440</v>
      </c>
      <c r="T796" s="56">
        <v>20</v>
      </c>
      <c r="U796" s="56">
        <v>3</v>
      </c>
    </row>
    <row r="797" spans="1:21" ht="14.25" customHeight="1" x14ac:dyDescent="0.35">
      <c r="A797" s="47">
        <v>781</v>
      </c>
      <c r="B797" s="69" t="s">
        <v>79</v>
      </c>
      <c r="C797" s="69" t="s">
        <v>80</v>
      </c>
      <c r="D797" s="70" t="s">
        <v>116</v>
      </c>
      <c r="E797" s="69" t="s">
        <v>4140</v>
      </c>
      <c r="F797" s="69" t="s">
        <v>4141</v>
      </c>
      <c r="G797" s="69" t="s">
        <v>2955</v>
      </c>
      <c r="H797" s="70">
        <v>2014</v>
      </c>
      <c r="I797" s="69"/>
      <c r="J797" s="69" t="s">
        <v>4142</v>
      </c>
      <c r="K797" s="71" t="s">
        <v>4143</v>
      </c>
      <c r="L797" s="71" t="s">
        <v>4144</v>
      </c>
      <c r="M797" s="71" t="s">
        <v>4145</v>
      </c>
      <c r="N797" s="69" t="s">
        <v>57</v>
      </c>
      <c r="O797" s="64">
        <v>1</v>
      </c>
      <c r="P797" s="72">
        <v>16858000</v>
      </c>
      <c r="Q797" s="69" t="s">
        <v>4146</v>
      </c>
      <c r="R797" s="69"/>
      <c r="S797" s="121" t="s">
        <v>440</v>
      </c>
      <c r="T797" s="56">
        <v>20</v>
      </c>
      <c r="U797" s="56">
        <v>3</v>
      </c>
    </row>
    <row r="798" spans="1:21" ht="14.25" customHeight="1" thickBot="1" x14ac:dyDescent="0.4">
      <c r="A798" s="58">
        <v>782</v>
      </c>
      <c r="B798" s="69" t="s">
        <v>79</v>
      </c>
      <c r="C798" s="69" t="s">
        <v>80</v>
      </c>
      <c r="D798" s="70" t="s">
        <v>841</v>
      </c>
      <c r="E798" s="69" t="s">
        <v>138</v>
      </c>
      <c r="F798" s="69" t="s">
        <v>139</v>
      </c>
      <c r="G798" s="69" t="s">
        <v>140</v>
      </c>
      <c r="H798" s="70">
        <v>2014</v>
      </c>
      <c r="I798" s="69"/>
      <c r="J798" s="69" t="s">
        <v>4147</v>
      </c>
      <c r="K798" s="71" t="s">
        <v>4148</v>
      </c>
      <c r="L798" s="71" t="s">
        <v>4149</v>
      </c>
      <c r="M798" s="71" t="s">
        <v>4150</v>
      </c>
      <c r="N798" s="69" t="s">
        <v>57</v>
      </c>
      <c r="O798" s="64">
        <v>1</v>
      </c>
      <c r="P798" s="72">
        <v>17194000</v>
      </c>
      <c r="Q798" s="69" t="s">
        <v>4151</v>
      </c>
      <c r="R798" s="69"/>
      <c r="S798" s="121" t="s">
        <v>440</v>
      </c>
      <c r="T798" s="56">
        <v>20</v>
      </c>
      <c r="U798" s="56">
        <v>3</v>
      </c>
    </row>
    <row r="799" spans="1:21" ht="14.25" customHeight="1" x14ac:dyDescent="0.35">
      <c r="A799" s="47">
        <v>783</v>
      </c>
      <c r="B799" s="69" t="s">
        <v>79</v>
      </c>
      <c r="C799" s="69" t="s">
        <v>80</v>
      </c>
      <c r="D799" s="70" t="s">
        <v>904</v>
      </c>
      <c r="E799" s="69" t="s">
        <v>138</v>
      </c>
      <c r="F799" s="69" t="s">
        <v>139</v>
      </c>
      <c r="G799" s="69" t="s">
        <v>140</v>
      </c>
      <c r="H799" s="70">
        <v>2014</v>
      </c>
      <c r="I799" s="69"/>
      <c r="J799" s="69" t="s">
        <v>4152</v>
      </c>
      <c r="K799" s="71" t="s">
        <v>4153</v>
      </c>
      <c r="L799" s="71" t="s">
        <v>4154</v>
      </c>
      <c r="M799" s="71" t="s">
        <v>4155</v>
      </c>
      <c r="N799" s="69" t="s">
        <v>57</v>
      </c>
      <c r="O799" s="64">
        <v>1</v>
      </c>
      <c r="P799" s="72">
        <v>17194000</v>
      </c>
      <c r="Q799" s="69" t="s">
        <v>4156</v>
      </c>
      <c r="R799" s="69"/>
      <c r="S799" s="121" t="s">
        <v>440</v>
      </c>
      <c r="T799" s="56">
        <v>20</v>
      </c>
      <c r="U799" s="56">
        <v>3</v>
      </c>
    </row>
    <row r="800" spans="1:21" ht="14.25" customHeight="1" thickBot="1" x14ac:dyDescent="0.4">
      <c r="A800" s="58">
        <v>784</v>
      </c>
      <c r="B800" s="69" t="s">
        <v>1806</v>
      </c>
      <c r="C800" s="69" t="s">
        <v>1807</v>
      </c>
      <c r="D800" s="70" t="s">
        <v>51</v>
      </c>
      <c r="E800" s="69" t="s">
        <v>2558</v>
      </c>
      <c r="F800" s="69" t="s">
        <v>2559</v>
      </c>
      <c r="G800" s="69" t="s">
        <v>54</v>
      </c>
      <c r="H800" s="70">
        <v>2011</v>
      </c>
      <c r="I800" s="69" t="s">
        <v>63</v>
      </c>
      <c r="J800" s="69" t="s">
        <v>4157</v>
      </c>
      <c r="K800" s="71" t="s">
        <v>4158</v>
      </c>
      <c r="L800" s="71" t="s">
        <v>4159</v>
      </c>
      <c r="M800" s="71" t="s">
        <v>4160</v>
      </c>
      <c r="N800" s="69" t="s">
        <v>57</v>
      </c>
      <c r="O800" s="64">
        <v>1</v>
      </c>
      <c r="P800" s="72">
        <v>228815000</v>
      </c>
      <c r="Q800" s="169" t="s">
        <v>4161</v>
      </c>
      <c r="R800" s="138"/>
      <c r="S800" s="121" t="s">
        <v>466</v>
      </c>
      <c r="T800" s="56">
        <v>21</v>
      </c>
      <c r="U800" s="56">
        <v>4</v>
      </c>
    </row>
    <row r="801" spans="1:21" ht="14.25" customHeight="1" x14ac:dyDescent="0.35">
      <c r="A801" s="47">
        <v>785</v>
      </c>
      <c r="B801" s="69" t="s">
        <v>79</v>
      </c>
      <c r="C801" s="69" t="s">
        <v>80</v>
      </c>
      <c r="D801" s="70" t="s">
        <v>51</v>
      </c>
      <c r="E801" s="69" t="s">
        <v>1110</v>
      </c>
      <c r="F801" s="69" t="s">
        <v>163</v>
      </c>
      <c r="G801" s="69" t="s">
        <v>140</v>
      </c>
      <c r="H801" s="70">
        <v>2017</v>
      </c>
      <c r="I801" s="69" t="s">
        <v>63</v>
      </c>
      <c r="J801" s="69" t="s">
        <v>4162</v>
      </c>
      <c r="K801" s="71" t="s">
        <v>4163</v>
      </c>
      <c r="L801" s="71" t="s">
        <v>4164</v>
      </c>
      <c r="M801" s="71" t="s">
        <v>4165</v>
      </c>
      <c r="N801" s="69" t="s">
        <v>57</v>
      </c>
      <c r="O801" s="64">
        <v>1</v>
      </c>
      <c r="P801" s="72">
        <v>15846600</v>
      </c>
      <c r="Q801" s="170" t="s">
        <v>4166</v>
      </c>
      <c r="R801" s="138"/>
      <c r="S801" s="121" t="s">
        <v>466</v>
      </c>
      <c r="T801" s="56">
        <v>21</v>
      </c>
      <c r="U801" s="56">
        <v>3</v>
      </c>
    </row>
    <row r="802" spans="1:21" ht="14.25" customHeight="1" thickBot="1" x14ac:dyDescent="0.4">
      <c r="A802" s="58">
        <v>786</v>
      </c>
      <c r="B802" s="69" t="s">
        <v>79</v>
      </c>
      <c r="C802" s="69" t="s">
        <v>80</v>
      </c>
      <c r="D802" s="70" t="s">
        <v>59</v>
      </c>
      <c r="E802" s="69" t="s">
        <v>1377</v>
      </c>
      <c r="F802" s="69" t="s">
        <v>1378</v>
      </c>
      <c r="G802" s="69" t="s">
        <v>140</v>
      </c>
      <c r="H802" s="70">
        <v>2014</v>
      </c>
      <c r="I802" s="69"/>
      <c r="J802" s="69" t="s">
        <v>4167</v>
      </c>
      <c r="K802" s="71" t="s">
        <v>4168</v>
      </c>
      <c r="L802" s="71" t="s">
        <v>4169</v>
      </c>
      <c r="M802" s="71" t="s">
        <v>4170</v>
      </c>
      <c r="N802" s="69" t="s">
        <v>57</v>
      </c>
      <c r="O802" s="64">
        <v>1</v>
      </c>
      <c r="P802" s="72">
        <v>19189533</v>
      </c>
      <c r="Q802" s="170" t="s">
        <v>4171</v>
      </c>
      <c r="R802" s="138"/>
      <c r="S802" s="121" t="s">
        <v>466</v>
      </c>
      <c r="T802" s="56">
        <v>21</v>
      </c>
      <c r="U802" s="56">
        <v>3</v>
      </c>
    </row>
    <row r="803" spans="1:21" ht="14.25" customHeight="1" x14ac:dyDescent="0.35">
      <c r="A803" s="47">
        <v>787</v>
      </c>
      <c r="B803" s="69" t="s">
        <v>79</v>
      </c>
      <c r="C803" s="69" t="s">
        <v>80</v>
      </c>
      <c r="D803" s="70" t="s">
        <v>97</v>
      </c>
      <c r="E803" s="69" t="s">
        <v>1377</v>
      </c>
      <c r="F803" s="69" t="s">
        <v>1378</v>
      </c>
      <c r="G803" s="69" t="s">
        <v>140</v>
      </c>
      <c r="H803" s="70">
        <v>2014</v>
      </c>
      <c r="I803" s="69"/>
      <c r="J803" s="69" t="s">
        <v>4172</v>
      </c>
      <c r="K803" s="71" t="s">
        <v>4173</v>
      </c>
      <c r="L803" s="71" t="s">
        <v>4174</v>
      </c>
      <c r="M803" s="71" t="s">
        <v>4175</v>
      </c>
      <c r="N803" s="69" t="s">
        <v>57</v>
      </c>
      <c r="O803" s="64">
        <v>1</v>
      </c>
      <c r="P803" s="72">
        <v>19189533</v>
      </c>
      <c r="Q803" s="170" t="s">
        <v>4176</v>
      </c>
      <c r="R803" s="138"/>
      <c r="S803" s="121" t="s">
        <v>466</v>
      </c>
      <c r="T803" s="56">
        <v>21</v>
      </c>
      <c r="U803" s="56">
        <v>3</v>
      </c>
    </row>
    <row r="804" spans="1:21" ht="14.25" customHeight="1" thickBot="1" x14ac:dyDescent="0.4">
      <c r="A804" s="58">
        <v>788</v>
      </c>
      <c r="B804" s="69" t="s">
        <v>79</v>
      </c>
      <c r="C804" s="69" t="s">
        <v>80</v>
      </c>
      <c r="D804" s="70" t="s">
        <v>101</v>
      </c>
      <c r="E804" s="69" t="s">
        <v>1383</v>
      </c>
      <c r="F804" s="69" t="s">
        <v>163</v>
      </c>
      <c r="G804" s="69" t="s">
        <v>140</v>
      </c>
      <c r="H804" s="70">
        <v>2015</v>
      </c>
      <c r="I804" s="69"/>
      <c r="J804" s="69" t="s">
        <v>4177</v>
      </c>
      <c r="K804" s="71" t="s">
        <v>4178</v>
      </c>
      <c r="L804" s="71" t="s">
        <v>4179</v>
      </c>
      <c r="M804" s="71" t="s">
        <v>4180</v>
      </c>
      <c r="N804" s="69" t="s">
        <v>57</v>
      </c>
      <c r="O804" s="64">
        <v>1</v>
      </c>
      <c r="P804" s="72">
        <v>14962333</v>
      </c>
      <c r="Q804" s="170" t="s">
        <v>4181</v>
      </c>
      <c r="R804" s="138"/>
      <c r="S804" s="121" t="s">
        <v>466</v>
      </c>
      <c r="T804" s="56">
        <v>21</v>
      </c>
      <c r="U804" s="56">
        <v>3</v>
      </c>
    </row>
    <row r="805" spans="1:21" ht="14.25" customHeight="1" x14ac:dyDescent="0.35">
      <c r="A805" s="47">
        <v>789</v>
      </c>
      <c r="B805" s="69" t="s">
        <v>79</v>
      </c>
      <c r="C805" s="69" t="s">
        <v>80</v>
      </c>
      <c r="D805" s="70" t="s">
        <v>107</v>
      </c>
      <c r="E805" s="69" t="s">
        <v>4182</v>
      </c>
      <c r="F805" s="69" t="s">
        <v>88</v>
      </c>
      <c r="G805" s="69" t="s">
        <v>54</v>
      </c>
      <c r="H805" s="70">
        <v>2008</v>
      </c>
      <c r="I805" s="69"/>
      <c r="J805" s="69" t="s">
        <v>4183</v>
      </c>
      <c r="K805" s="71" t="s">
        <v>4184</v>
      </c>
      <c r="L805" s="71" t="s">
        <v>4185</v>
      </c>
      <c r="M805" s="71" t="s">
        <v>4186</v>
      </c>
      <c r="N805" s="69" t="s">
        <v>57</v>
      </c>
      <c r="O805" s="64">
        <v>1</v>
      </c>
      <c r="P805" s="72">
        <v>16950000</v>
      </c>
      <c r="Q805" s="170" t="s">
        <v>4187</v>
      </c>
      <c r="R805" s="138"/>
      <c r="S805" s="121" t="s">
        <v>466</v>
      </c>
      <c r="T805" s="56">
        <v>21</v>
      </c>
      <c r="U805" s="56">
        <v>3</v>
      </c>
    </row>
    <row r="806" spans="1:21" ht="14.25" customHeight="1" thickBot="1" x14ac:dyDescent="0.4">
      <c r="A806" s="58">
        <v>790</v>
      </c>
      <c r="B806" s="69" t="s">
        <v>79</v>
      </c>
      <c r="C806" s="69" t="s">
        <v>80</v>
      </c>
      <c r="D806" s="70" t="s">
        <v>112</v>
      </c>
      <c r="E806" s="69" t="s">
        <v>4188</v>
      </c>
      <c r="F806" s="69" t="s">
        <v>88</v>
      </c>
      <c r="G806" s="69" t="s">
        <v>54</v>
      </c>
      <c r="H806" s="70">
        <v>2010</v>
      </c>
      <c r="I806" s="69"/>
      <c r="J806" s="69" t="s">
        <v>4189</v>
      </c>
      <c r="K806" s="71" t="s">
        <v>4190</v>
      </c>
      <c r="L806" s="71" t="s">
        <v>4191</v>
      </c>
      <c r="M806" s="71" t="s">
        <v>4192</v>
      </c>
      <c r="N806" s="69" t="s">
        <v>57</v>
      </c>
      <c r="O806" s="64">
        <v>1</v>
      </c>
      <c r="P806" s="72">
        <v>19000000</v>
      </c>
      <c r="Q806" s="170" t="s">
        <v>4193</v>
      </c>
      <c r="R806" s="138"/>
      <c r="S806" s="121" t="s">
        <v>466</v>
      </c>
      <c r="T806" s="56">
        <v>21</v>
      </c>
      <c r="U806" s="56">
        <v>3</v>
      </c>
    </row>
    <row r="807" spans="1:21" ht="14.25" customHeight="1" x14ac:dyDescent="0.35">
      <c r="A807" s="47">
        <v>791</v>
      </c>
      <c r="B807" s="69" t="s">
        <v>79</v>
      </c>
      <c r="C807" s="69" t="s">
        <v>80</v>
      </c>
      <c r="D807" s="70" t="s">
        <v>116</v>
      </c>
      <c r="E807" s="69" t="s">
        <v>230</v>
      </c>
      <c r="F807" s="69" t="s">
        <v>231</v>
      </c>
      <c r="G807" s="69" t="s">
        <v>54</v>
      </c>
      <c r="H807" s="70">
        <v>2013</v>
      </c>
      <c r="I807" s="69" t="s">
        <v>63</v>
      </c>
      <c r="J807" s="69" t="s">
        <v>4194</v>
      </c>
      <c r="K807" s="71" t="s">
        <v>4195</v>
      </c>
      <c r="L807" s="71" t="s">
        <v>4196</v>
      </c>
      <c r="M807" s="71" t="s">
        <v>4197</v>
      </c>
      <c r="N807" s="69" t="s">
        <v>57</v>
      </c>
      <c r="O807" s="64">
        <v>1</v>
      </c>
      <c r="P807" s="72">
        <v>18381100</v>
      </c>
      <c r="Q807" s="170" t="s">
        <v>4198</v>
      </c>
      <c r="R807" s="138"/>
      <c r="S807" s="121" t="s">
        <v>466</v>
      </c>
      <c r="T807" s="56">
        <v>21</v>
      </c>
      <c r="U807" s="56">
        <v>3</v>
      </c>
    </row>
    <row r="808" spans="1:21" ht="14.25" customHeight="1" thickBot="1" x14ac:dyDescent="0.4">
      <c r="A808" s="58">
        <v>792</v>
      </c>
      <c r="B808" s="69" t="s">
        <v>79</v>
      </c>
      <c r="C808" s="69" t="s">
        <v>80</v>
      </c>
      <c r="D808" s="70" t="s">
        <v>841</v>
      </c>
      <c r="E808" s="69" t="s">
        <v>2648</v>
      </c>
      <c r="F808" s="69">
        <v>149</v>
      </c>
      <c r="G808" s="69" t="s">
        <v>54</v>
      </c>
      <c r="H808" s="70">
        <v>2025</v>
      </c>
      <c r="I808" s="69" t="s">
        <v>63</v>
      </c>
      <c r="J808" s="69" t="s">
        <v>4199</v>
      </c>
      <c r="K808" s="71" t="s">
        <v>4200</v>
      </c>
      <c r="L808" s="71" t="s">
        <v>4201</v>
      </c>
      <c r="M808" s="71" t="s">
        <v>4202</v>
      </c>
      <c r="N808" s="69" t="s">
        <v>422</v>
      </c>
      <c r="O808" s="64">
        <v>1</v>
      </c>
      <c r="P808" s="72">
        <v>24614999.800000001</v>
      </c>
      <c r="Q808" s="170" t="s">
        <v>4203</v>
      </c>
      <c r="R808" s="138"/>
      <c r="S808" s="121" t="s">
        <v>466</v>
      </c>
      <c r="T808" s="56">
        <v>21</v>
      </c>
      <c r="U808" s="56">
        <v>3</v>
      </c>
    </row>
    <row r="809" spans="1:21" ht="14.25" customHeight="1" x14ac:dyDescent="0.35">
      <c r="A809" s="47">
        <v>793</v>
      </c>
      <c r="B809" s="69" t="s">
        <v>4204</v>
      </c>
      <c r="C809" s="69" t="s">
        <v>4205</v>
      </c>
      <c r="D809" s="70" t="s">
        <v>51</v>
      </c>
      <c r="E809" s="69" t="s">
        <v>4206</v>
      </c>
      <c r="F809" s="69" t="s">
        <v>4207</v>
      </c>
      <c r="G809" s="69" t="s">
        <v>54</v>
      </c>
      <c r="H809" s="70">
        <v>2010</v>
      </c>
      <c r="I809" s="69" t="s">
        <v>63</v>
      </c>
      <c r="J809" s="69" t="s">
        <v>4208</v>
      </c>
      <c r="K809" s="71" t="s">
        <v>4209</v>
      </c>
      <c r="L809" s="71" t="s">
        <v>4210</v>
      </c>
      <c r="M809" s="71" t="s">
        <v>4211</v>
      </c>
      <c r="N809" s="69" t="s">
        <v>422</v>
      </c>
      <c r="O809" s="64">
        <v>1</v>
      </c>
      <c r="P809" s="72">
        <v>172500000</v>
      </c>
      <c r="Q809" s="170" t="s">
        <v>4212</v>
      </c>
      <c r="R809" s="138"/>
      <c r="S809" s="121" t="s">
        <v>466</v>
      </c>
      <c r="T809" s="56">
        <v>21</v>
      </c>
      <c r="U809" s="56">
        <v>4</v>
      </c>
    </row>
    <row r="810" spans="1:21" ht="14.25" customHeight="1" thickBot="1" x14ac:dyDescent="0.4">
      <c r="A810" s="58">
        <v>794</v>
      </c>
      <c r="B810" s="69" t="s">
        <v>4204</v>
      </c>
      <c r="C810" s="69" t="s">
        <v>4205</v>
      </c>
      <c r="D810" s="70" t="s">
        <v>59</v>
      </c>
      <c r="E810" s="69" t="s">
        <v>4213</v>
      </c>
      <c r="F810" s="69">
        <v>2393</v>
      </c>
      <c r="G810" s="69" t="s">
        <v>54</v>
      </c>
      <c r="H810" s="70">
        <v>2025</v>
      </c>
      <c r="I810" s="69" t="s">
        <v>63</v>
      </c>
      <c r="J810" s="69" t="s">
        <v>4214</v>
      </c>
      <c r="K810" s="71" t="s">
        <v>4215</v>
      </c>
      <c r="L810" s="71" t="s">
        <v>4216</v>
      </c>
      <c r="M810" s="71" t="s">
        <v>4217</v>
      </c>
      <c r="N810" s="69" t="s">
        <v>44</v>
      </c>
      <c r="O810" s="64">
        <v>1</v>
      </c>
      <c r="P810" s="72">
        <v>747699999.00000012</v>
      </c>
      <c r="Q810" s="170" t="s">
        <v>4218</v>
      </c>
      <c r="R810" s="138"/>
      <c r="S810" s="121" t="s">
        <v>466</v>
      </c>
      <c r="T810" s="56">
        <v>21</v>
      </c>
      <c r="U810" s="56">
        <v>4</v>
      </c>
    </row>
    <row r="811" spans="1:21" ht="14.25" customHeight="1" x14ac:dyDescent="0.35">
      <c r="A811" s="47">
        <v>795</v>
      </c>
      <c r="B811" s="69" t="s">
        <v>4219</v>
      </c>
      <c r="C811" s="69" t="s">
        <v>4220</v>
      </c>
      <c r="D811" s="70" t="s">
        <v>51</v>
      </c>
      <c r="E811" s="69" t="s">
        <v>4221</v>
      </c>
      <c r="F811" s="69" t="s">
        <v>4222</v>
      </c>
      <c r="G811" s="69" t="s">
        <v>4223</v>
      </c>
      <c r="H811" s="70">
        <v>2021</v>
      </c>
      <c r="I811" s="69" t="s">
        <v>63</v>
      </c>
      <c r="J811" s="69" t="s">
        <v>4224</v>
      </c>
      <c r="K811" s="71" t="s">
        <v>4225</v>
      </c>
      <c r="L811" s="71" t="s">
        <v>4226</v>
      </c>
      <c r="M811" s="71" t="s">
        <v>4227</v>
      </c>
      <c r="N811" s="69" t="s">
        <v>57</v>
      </c>
      <c r="O811" s="64">
        <v>1</v>
      </c>
      <c r="P811" s="72">
        <v>358000000</v>
      </c>
      <c r="Q811" s="69" t="s">
        <v>4228</v>
      </c>
      <c r="R811" s="69"/>
      <c r="S811" s="121" t="s">
        <v>495</v>
      </c>
      <c r="T811" s="56">
        <v>22</v>
      </c>
      <c r="U811" s="56">
        <v>4</v>
      </c>
    </row>
    <row r="812" spans="1:21" ht="14.25" customHeight="1" thickBot="1" x14ac:dyDescent="0.4">
      <c r="A812" s="58">
        <v>796</v>
      </c>
      <c r="B812" s="69" t="s">
        <v>1806</v>
      </c>
      <c r="C812" s="69" t="s">
        <v>1807</v>
      </c>
      <c r="D812" s="70" t="s">
        <v>51</v>
      </c>
      <c r="E812" s="69" t="s">
        <v>4229</v>
      </c>
      <c r="F812" s="69" t="s">
        <v>4230</v>
      </c>
      <c r="G812" s="69" t="s">
        <v>4231</v>
      </c>
      <c r="H812" s="70">
        <v>2010</v>
      </c>
      <c r="I812" s="69"/>
      <c r="J812" s="69" t="s">
        <v>4232</v>
      </c>
      <c r="K812" s="71" t="s">
        <v>4233</v>
      </c>
      <c r="L812" s="71" t="s">
        <v>4234</v>
      </c>
      <c r="M812" s="71" t="s">
        <v>4227</v>
      </c>
      <c r="N812" s="69" t="s">
        <v>57</v>
      </c>
      <c r="O812" s="64">
        <v>1</v>
      </c>
      <c r="P812" s="72">
        <v>259750000</v>
      </c>
      <c r="Q812" s="69" t="s">
        <v>4235</v>
      </c>
      <c r="R812" s="69"/>
      <c r="S812" s="121" t="s">
        <v>495</v>
      </c>
      <c r="T812" s="56">
        <v>22</v>
      </c>
      <c r="U812" s="56">
        <v>4</v>
      </c>
    </row>
    <row r="813" spans="1:21" ht="14.25" customHeight="1" x14ac:dyDescent="0.35">
      <c r="A813" s="47">
        <v>797</v>
      </c>
      <c r="B813" s="69" t="s">
        <v>79</v>
      </c>
      <c r="C813" s="69" t="s">
        <v>80</v>
      </c>
      <c r="D813" s="70" t="s">
        <v>51</v>
      </c>
      <c r="E813" s="69" t="s">
        <v>4236</v>
      </c>
      <c r="F813" s="69" t="s">
        <v>202</v>
      </c>
      <c r="G813" s="69" t="s">
        <v>54</v>
      </c>
      <c r="H813" s="70">
        <v>2011</v>
      </c>
      <c r="I813" s="69"/>
      <c r="J813" s="69" t="s">
        <v>4237</v>
      </c>
      <c r="K813" s="71" t="s">
        <v>4238</v>
      </c>
      <c r="L813" s="71" t="s">
        <v>4239</v>
      </c>
      <c r="M813" s="71" t="s">
        <v>4240</v>
      </c>
      <c r="N813" s="69" t="s">
        <v>57</v>
      </c>
      <c r="O813" s="64">
        <v>1</v>
      </c>
      <c r="P813" s="72">
        <v>19700000</v>
      </c>
      <c r="Q813" s="69" t="s">
        <v>4241</v>
      </c>
      <c r="R813" s="69"/>
      <c r="S813" s="121" t="s">
        <v>495</v>
      </c>
      <c r="T813" s="56">
        <v>22</v>
      </c>
      <c r="U813" s="56">
        <v>3</v>
      </c>
    </row>
    <row r="814" spans="1:21" ht="14.25" customHeight="1" thickBot="1" x14ac:dyDescent="0.4">
      <c r="A814" s="58">
        <v>798</v>
      </c>
      <c r="B814" s="69" t="s">
        <v>79</v>
      </c>
      <c r="C814" s="69" t="s">
        <v>80</v>
      </c>
      <c r="D814" s="70" t="s">
        <v>59</v>
      </c>
      <c r="E814" s="69" t="s">
        <v>4242</v>
      </c>
      <c r="F814" s="69" t="s">
        <v>2386</v>
      </c>
      <c r="G814" s="69" t="s">
        <v>4243</v>
      </c>
      <c r="H814" s="70">
        <v>2012</v>
      </c>
      <c r="I814" s="69"/>
      <c r="J814" s="69" t="s">
        <v>4244</v>
      </c>
      <c r="K814" s="71" t="s">
        <v>4245</v>
      </c>
      <c r="L814" s="71" t="s">
        <v>4246</v>
      </c>
      <c r="M814" s="71" t="s">
        <v>4247</v>
      </c>
      <c r="N814" s="69" t="s">
        <v>57</v>
      </c>
      <c r="O814" s="64">
        <v>1</v>
      </c>
      <c r="P814" s="72">
        <v>23200000</v>
      </c>
      <c r="Q814" s="69" t="s">
        <v>4248</v>
      </c>
      <c r="R814" s="69"/>
      <c r="S814" s="121" t="s">
        <v>495</v>
      </c>
      <c r="T814" s="56">
        <v>22</v>
      </c>
      <c r="U814" s="56">
        <v>3</v>
      </c>
    </row>
    <row r="815" spans="1:21" ht="14.25" customHeight="1" x14ac:dyDescent="0.35">
      <c r="A815" s="47">
        <v>799</v>
      </c>
      <c r="B815" s="69" t="s">
        <v>79</v>
      </c>
      <c r="C815" s="69" t="s">
        <v>80</v>
      </c>
      <c r="D815" s="70" t="s">
        <v>101</v>
      </c>
      <c r="E815" s="69" t="s">
        <v>4249</v>
      </c>
      <c r="F815" s="69" t="s">
        <v>2386</v>
      </c>
      <c r="G815" s="69" t="s">
        <v>54</v>
      </c>
      <c r="H815" s="70">
        <v>2004</v>
      </c>
      <c r="I815" s="69"/>
      <c r="J815" s="69" t="s">
        <v>4250</v>
      </c>
      <c r="K815" s="71" t="s">
        <v>4251</v>
      </c>
      <c r="L815" s="71" t="s">
        <v>4252</v>
      </c>
      <c r="M815" s="71" t="s">
        <v>4253</v>
      </c>
      <c r="N815" s="69" t="s">
        <v>57</v>
      </c>
      <c r="O815" s="64">
        <v>1</v>
      </c>
      <c r="P815" s="72">
        <v>12750000</v>
      </c>
      <c r="Q815" s="69" t="s">
        <v>4254</v>
      </c>
      <c r="R815" s="69"/>
      <c r="S815" s="121" t="s">
        <v>495</v>
      </c>
      <c r="T815" s="56">
        <v>22</v>
      </c>
      <c r="U815" s="56">
        <v>3</v>
      </c>
    </row>
    <row r="816" spans="1:21" ht="14.25" customHeight="1" thickBot="1" x14ac:dyDescent="0.4">
      <c r="A816" s="58">
        <v>800</v>
      </c>
      <c r="B816" s="69" t="s">
        <v>79</v>
      </c>
      <c r="C816" s="69" t="s">
        <v>80</v>
      </c>
      <c r="D816" s="70" t="s">
        <v>107</v>
      </c>
      <c r="E816" s="69" t="s">
        <v>4255</v>
      </c>
      <c r="F816" s="69" t="s">
        <v>4256</v>
      </c>
      <c r="G816" s="69" t="s">
        <v>54</v>
      </c>
      <c r="H816" s="70">
        <v>2005</v>
      </c>
      <c r="I816" s="69"/>
      <c r="J816" s="69" t="s">
        <v>4257</v>
      </c>
      <c r="K816" s="71" t="s">
        <v>4258</v>
      </c>
      <c r="L816" s="71" t="s">
        <v>4259</v>
      </c>
      <c r="M816" s="71" t="s">
        <v>4260</v>
      </c>
      <c r="N816" s="69" t="s">
        <v>57</v>
      </c>
      <c r="O816" s="64">
        <v>1</v>
      </c>
      <c r="P816" s="72">
        <v>12750000</v>
      </c>
      <c r="Q816" s="69" t="s">
        <v>4261</v>
      </c>
      <c r="R816" s="69"/>
      <c r="S816" s="121" t="s">
        <v>495</v>
      </c>
      <c r="T816" s="56">
        <v>22</v>
      </c>
      <c r="U816" s="56">
        <v>3</v>
      </c>
    </row>
    <row r="817" spans="1:23" ht="14.25" customHeight="1" x14ac:dyDescent="0.35">
      <c r="A817" s="47">
        <v>801</v>
      </c>
      <c r="B817" s="69" t="s">
        <v>79</v>
      </c>
      <c r="C817" s="69" t="s">
        <v>80</v>
      </c>
      <c r="D817" s="70" t="s">
        <v>116</v>
      </c>
      <c r="E817" s="69" t="s">
        <v>4262</v>
      </c>
      <c r="F817" s="69" t="s">
        <v>4256</v>
      </c>
      <c r="G817" s="69" t="s">
        <v>54</v>
      </c>
      <c r="H817" s="70">
        <v>2005</v>
      </c>
      <c r="I817" s="69"/>
      <c r="J817" s="69" t="s">
        <v>4263</v>
      </c>
      <c r="K817" s="71" t="s">
        <v>4264</v>
      </c>
      <c r="L817" s="71" t="s">
        <v>4265</v>
      </c>
      <c r="M817" s="71" t="s">
        <v>4266</v>
      </c>
      <c r="N817" s="69" t="s">
        <v>57</v>
      </c>
      <c r="O817" s="64">
        <v>1</v>
      </c>
      <c r="P817" s="72">
        <v>13175000</v>
      </c>
      <c r="Q817" s="69" t="s">
        <v>4267</v>
      </c>
      <c r="R817" s="69"/>
      <c r="S817" s="121" t="s">
        <v>495</v>
      </c>
      <c r="T817" s="56">
        <v>22</v>
      </c>
      <c r="U817" s="56">
        <v>3</v>
      </c>
    </row>
    <row r="818" spans="1:23" ht="14.25" customHeight="1" thickBot="1" x14ac:dyDescent="0.4">
      <c r="A818" s="58">
        <v>802</v>
      </c>
      <c r="B818" s="69" t="s">
        <v>79</v>
      </c>
      <c r="C818" s="69" t="s">
        <v>80</v>
      </c>
      <c r="D818" s="70" t="s">
        <v>904</v>
      </c>
      <c r="E818" s="69" t="s">
        <v>4268</v>
      </c>
      <c r="F818" s="69" t="s">
        <v>202</v>
      </c>
      <c r="G818" s="69" t="s">
        <v>54</v>
      </c>
      <c r="H818" s="70">
        <v>2005</v>
      </c>
      <c r="I818" s="69"/>
      <c r="J818" s="69" t="s">
        <v>4269</v>
      </c>
      <c r="K818" s="71" t="s">
        <v>4270</v>
      </c>
      <c r="L818" s="71" t="s">
        <v>4271</v>
      </c>
      <c r="M818" s="71" t="s">
        <v>4272</v>
      </c>
      <c r="N818" s="69" t="s">
        <v>57</v>
      </c>
      <c r="O818" s="64">
        <v>1</v>
      </c>
      <c r="P818" s="72">
        <v>13723000</v>
      </c>
      <c r="Q818" s="69" t="s">
        <v>4273</v>
      </c>
      <c r="R818" s="69"/>
      <c r="S818" s="121" t="s">
        <v>495</v>
      </c>
      <c r="T818" s="56">
        <v>22</v>
      </c>
      <c r="U818" s="56">
        <v>3</v>
      </c>
    </row>
    <row r="819" spans="1:23" ht="14.25" customHeight="1" x14ac:dyDescent="0.35">
      <c r="A819" s="47">
        <v>803</v>
      </c>
      <c r="B819" s="69" t="s">
        <v>79</v>
      </c>
      <c r="C819" s="69" t="s">
        <v>80</v>
      </c>
      <c r="D819" s="70" t="s">
        <v>126</v>
      </c>
      <c r="E819" s="69" t="s">
        <v>4274</v>
      </c>
      <c r="F819" s="69" t="s">
        <v>4256</v>
      </c>
      <c r="G819" s="69" t="s">
        <v>54</v>
      </c>
      <c r="H819" s="70">
        <v>2006</v>
      </c>
      <c r="I819" s="69"/>
      <c r="J819" s="69" t="s">
        <v>4275</v>
      </c>
      <c r="K819" s="71" t="s">
        <v>4276</v>
      </c>
      <c r="L819" s="71" t="s">
        <v>4277</v>
      </c>
      <c r="M819" s="71" t="s">
        <v>4278</v>
      </c>
      <c r="N819" s="69" t="s">
        <v>57</v>
      </c>
      <c r="O819" s="64">
        <v>1</v>
      </c>
      <c r="P819" s="72">
        <v>11475000</v>
      </c>
      <c r="Q819" s="69" t="s">
        <v>4279</v>
      </c>
      <c r="R819" s="69"/>
      <c r="S819" s="121" t="s">
        <v>495</v>
      </c>
      <c r="T819" s="56">
        <v>22</v>
      </c>
      <c r="U819" s="56">
        <v>3</v>
      </c>
    </row>
    <row r="820" spans="1:23" ht="14.25" customHeight="1" thickBot="1" x14ac:dyDescent="0.4">
      <c r="A820" s="58">
        <v>804</v>
      </c>
      <c r="B820" s="69" t="s">
        <v>79</v>
      </c>
      <c r="C820" s="69" t="s">
        <v>80</v>
      </c>
      <c r="D820" s="70" t="s">
        <v>132</v>
      </c>
      <c r="E820" s="69" t="s">
        <v>4280</v>
      </c>
      <c r="F820" s="69" t="s">
        <v>2386</v>
      </c>
      <c r="G820" s="69" t="s">
        <v>54</v>
      </c>
      <c r="H820" s="70">
        <v>2006</v>
      </c>
      <c r="I820" s="69"/>
      <c r="J820" s="69" t="s">
        <v>4281</v>
      </c>
      <c r="K820" s="71" t="s">
        <v>4282</v>
      </c>
      <c r="L820" s="71" t="s">
        <v>4283</v>
      </c>
      <c r="M820" s="71" t="s">
        <v>4284</v>
      </c>
      <c r="N820" s="69" t="s">
        <v>57</v>
      </c>
      <c r="O820" s="64">
        <v>1</v>
      </c>
      <c r="P820" s="72">
        <v>14025000</v>
      </c>
      <c r="Q820" s="69" t="s">
        <v>4285</v>
      </c>
      <c r="R820" s="69"/>
      <c r="S820" s="121" t="s">
        <v>495</v>
      </c>
      <c r="T820" s="56">
        <v>22</v>
      </c>
      <c r="U820" s="56">
        <v>3</v>
      </c>
    </row>
    <row r="821" spans="1:23" ht="14.25" customHeight="1" x14ac:dyDescent="0.35">
      <c r="A821" s="47">
        <v>805</v>
      </c>
      <c r="B821" s="69" t="s">
        <v>79</v>
      </c>
      <c r="C821" s="69" t="s">
        <v>80</v>
      </c>
      <c r="D821" s="70" t="s">
        <v>137</v>
      </c>
      <c r="E821" s="69" t="s">
        <v>4286</v>
      </c>
      <c r="F821" s="69" t="s">
        <v>217</v>
      </c>
      <c r="G821" s="69" t="s">
        <v>4287</v>
      </c>
      <c r="H821" s="70">
        <v>2021</v>
      </c>
      <c r="I821" s="69" t="s">
        <v>63</v>
      </c>
      <c r="J821" s="69" t="s">
        <v>4288</v>
      </c>
      <c r="K821" s="71" t="s">
        <v>4289</v>
      </c>
      <c r="L821" s="71" t="s">
        <v>4290</v>
      </c>
      <c r="M821" s="71" t="s">
        <v>4291</v>
      </c>
      <c r="N821" s="69" t="s">
        <v>57</v>
      </c>
      <c r="O821" s="64">
        <v>1</v>
      </c>
      <c r="P821" s="72">
        <v>33000000</v>
      </c>
      <c r="Q821" s="69" t="s">
        <v>4292</v>
      </c>
      <c r="R821" s="69"/>
      <c r="S821" s="121" t="s">
        <v>495</v>
      </c>
      <c r="T821" s="56">
        <v>22</v>
      </c>
      <c r="U821" s="56">
        <v>3</v>
      </c>
    </row>
    <row r="822" spans="1:23" ht="14.25" customHeight="1" thickBot="1" x14ac:dyDescent="0.4">
      <c r="A822" s="58">
        <v>806</v>
      </c>
      <c r="B822" s="69" t="s">
        <v>79</v>
      </c>
      <c r="C822" s="69" t="s">
        <v>80</v>
      </c>
      <c r="D822" s="70" t="s">
        <v>146</v>
      </c>
      <c r="E822" s="69" t="s">
        <v>4286</v>
      </c>
      <c r="F822" s="69" t="s">
        <v>217</v>
      </c>
      <c r="G822" s="69" t="s">
        <v>4287</v>
      </c>
      <c r="H822" s="70">
        <v>2021</v>
      </c>
      <c r="I822" s="69" t="s">
        <v>63</v>
      </c>
      <c r="J822" s="69" t="s">
        <v>4293</v>
      </c>
      <c r="K822" s="71" t="s">
        <v>4294</v>
      </c>
      <c r="L822" s="71" t="s">
        <v>4295</v>
      </c>
      <c r="M822" s="71" t="s">
        <v>4296</v>
      </c>
      <c r="N822" s="69" t="s">
        <v>57</v>
      </c>
      <c r="O822" s="64">
        <v>1</v>
      </c>
      <c r="P822" s="72">
        <v>33000000</v>
      </c>
      <c r="Q822" s="69" t="s">
        <v>4297</v>
      </c>
      <c r="R822" s="69"/>
      <c r="S822" s="121" t="s">
        <v>495</v>
      </c>
      <c r="T822" s="56">
        <v>22</v>
      </c>
      <c r="U822" s="56">
        <v>3</v>
      </c>
    </row>
    <row r="823" spans="1:23" ht="14.25" customHeight="1" x14ac:dyDescent="0.35">
      <c r="A823" s="47">
        <v>807</v>
      </c>
      <c r="B823" s="69" t="s">
        <v>79</v>
      </c>
      <c r="C823" s="69" t="s">
        <v>80</v>
      </c>
      <c r="D823" s="70" t="s">
        <v>154</v>
      </c>
      <c r="E823" s="69" t="s">
        <v>4286</v>
      </c>
      <c r="F823" s="69" t="s">
        <v>217</v>
      </c>
      <c r="G823" s="69" t="s">
        <v>4287</v>
      </c>
      <c r="H823" s="70">
        <v>2021</v>
      </c>
      <c r="I823" s="69" t="s">
        <v>63</v>
      </c>
      <c r="J823" s="69" t="s">
        <v>4298</v>
      </c>
      <c r="K823" s="71" t="s">
        <v>4299</v>
      </c>
      <c r="L823" s="71" t="s">
        <v>4300</v>
      </c>
      <c r="M823" s="71" t="s">
        <v>4301</v>
      </c>
      <c r="N823" s="69" t="s">
        <v>57</v>
      </c>
      <c r="O823" s="64">
        <v>1</v>
      </c>
      <c r="P823" s="72">
        <v>33000000</v>
      </c>
      <c r="Q823" s="69" t="s">
        <v>4302</v>
      </c>
      <c r="R823" s="69"/>
      <c r="S823" s="121" t="s">
        <v>495</v>
      </c>
      <c r="T823" s="56">
        <v>22</v>
      </c>
      <c r="U823" s="56">
        <v>3</v>
      </c>
    </row>
    <row r="824" spans="1:23" ht="14.25" customHeight="1" thickBot="1" x14ac:dyDescent="0.4">
      <c r="A824" s="58">
        <v>808</v>
      </c>
      <c r="B824" s="69" t="s">
        <v>79</v>
      </c>
      <c r="C824" s="69" t="s">
        <v>80</v>
      </c>
      <c r="D824" s="70" t="s">
        <v>161</v>
      </c>
      <c r="E824" s="69" t="s">
        <v>4303</v>
      </c>
      <c r="F824" s="69" t="s">
        <v>202</v>
      </c>
      <c r="G824" s="69" t="s">
        <v>4287</v>
      </c>
      <c r="H824" s="70">
        <v>2021</v>
      </c>
      <c r="I824" s="69" t="s">
        <v>63</v>
      </c>
      <c r="J824" s="69" t="s">
        <v>4304</v>
      </c>
      <c r="K824" s="71" t="s">
        <v>4305</v>
      </c>
      <c r="L824" s="71" t="s">
        <v>4306</v>
      </c>
      <c r="M824" s="71" t="s">
        <v>4307</v>
      </c>
      <c r="N824" s="69" t="s">
        <v>57</v>
      </c>
      <c r="O824" s="64">
        <v>1</v>
      </c>
      <c r="P824" s="72">
        <v>17500000</v>
      </c>
      <c r="Q824" s="69" t="s">
        <v>4308</v>
      </c>
      <c r="R824" s="69"/>
      <c r="S824" s="121" t="s">
        <v>495</v>
      </c>
      <c r="T824" s="56">
        <v>22</v>
      </c>
      <c r="U824" s="56">
        <v>3</v>
      </c>
    </row>
    <row r="825" spans="1:23" ht="14.25" customHeight="1" x14ac:dyDescent="0.35">
      <c r="A825" s="47">
        <v>809</v>
      </c>
      <c r="B825" s="69" t="s">
        <v>79</v>
      </c>
      <c r="C825" s="69" t="s">
        <v>80</v>
      </c>
      <c r="D825" s="70" t="s">
        <v>169</v>
      </c>
      <c r="E825" s="69" t="s">
        <v>147</v>
      </c>
      <c r="F825" s="69" t="s">
        <v>217</v>
      </c>
      <c r="G825" s="69" t="s">
        <v>140</v>
      </c>
      <c r="H825" s="70">
        <v>2015</v>
      </c>
      <c r="I825" s="69"/>
      <c r="J825" s="69" t="s">
        <v>4309</v>
      </c>
      <c r="K825" s="71" t="s">
        <v>4310</v>
      </c>
      <c r="L825" s="71" t="s">
        <v>4311</v>
      </c>
      <c r="M825" s="71" t="s">
        <v>4312</v>
      </c>
      <c r="N825" s="69" t="s">
        <v>57</v>
      </c>
      <c r="O825" s="64">
        <v>1</v>
      </c>
      <c r="P825" s="72">
        <v>19430000</v>
      </c>
      <c r="Q825" s="69" t="s">
        <v>4313</v>
      </c>
      <c r="R825" s="69"/>
      <c r="S825" s="121" t="s">
        <v>495</v>
      </c>
      <c r="T825" s="56">
        <v>22</v>
      </c>
      <c r="U825" s="56">
        <v>3</v>
      </c>
    </row>
    <row r="826" spans="1:23" ht="14.25" customHeight="1" thickBot="1" x14ac:dyDescent="0.4">
      <c r="A826" s="58">
        <v>810</v>
      </c>
      <c r="B826" s="69" t="s">
        <v>79</v>
      </c>
      <c r="C826" s="69" t="s">
        <v>80</v>
      </c>
      <c r="D826" s="70" t="s">
        <v>176</v>
      </c>
      <c r="E826" s="69" t="s">
        <v>4314</v>
      </c>
      <c r="F826" s="69" t="s">
        <v>2386</v>
      </c>
      <c r="G826" s="69" t="s">
        <v>54</v>
      </c>
      <c r="H826" s="70">
        <v>2008</v>
      </c>
      <c r="I826" s="69"/>
      <c r="J826" s="69" t="s">
        <v>4315</v>
      </c>
      <c r="K826" s="71" t="s">
        <v>4316</v>
      </c>
      <c r="L826" s="71" t="s">
        <v>4317</v>
      </c>
      <c r="M826" s="71" t="s">
        <v>4318</v>
      </c>
      <c r="N826" s="69" t="s">
        <v>57</v>
      </c>
      <c r="O826" s="64">
        <v>1</v>
      </c>
      <c r="P826" s="72">
        <v>16950000</v>
      </c>
      <c r="Q826" s="69" t="s">
        <v>4319</v>
      </c>
      <c r="R826" s="69"/>
      <c r="S826" s="121" t="s">
        <v>495</v>
      </c>
      <c r="T826" s="56">
        <v>22</v>
      </c>
      <c r="U826" s="56">
        <v>3</v>
      </c>
    </row>
    <row r="827" spans="1:23" ht="14.25" customHeight="1" x14ac:dyDescent="0.35">
      <c r="A827" s="47">
        <v>811</v>
      </c>
      <c r="B827" s="69" t="s">
        <v>79</v>
      </c>
      <c r="C827" s="69" t="s">
        <v>80</v>
      </c>
      <c r="D827" s="70" t="s">
        <v>4320</v>
      </c>
      <c r="E827" s="69" t="s">
        <v>4321</v>
      </c>
      <c r="F827" s="69" t="s">
        <v>4322</v>
      </c>
      <c r="G827" s="69" t="s">
        <v>4323</v>
      </c>
      <c r="H827" s="70">
        <v>2024</v>
      </c>
      <c r="I827" s="69" t="s">
        <v>63</v>
      </c>
      <c r="J827" s="69" t="s">
        <v>4324</v>
      </c>
      <c r="K827" s="71" t="s">
        <v>4325</v>
      </c>
      <c r="L827" s="71" t="s">
        <v>4326</v>
      </c>
      <c r="M827" s="71" t="s">
        <v>4327</v>
      </c>
      <c r="N827" s="69" t="s">
        <v>4328</v>
      </c>
      <c r="O827" s="64">
        <v>1</v>
      </c>
      <c r="P827" s="72">
        <v>62038000</v>
      </c>
      <c r="Q827" s="69" t="s">
        <v>4329</v>
      </c>
      <c r="R827" s="69"/>
      <c r="S827" s="121" t="s">
        <v>495</v>
      </c>
      <c r="T827" s="56">
        <v>22</v>
      </c>
      <c r="U827" s="56">
        <v>3</v>
      </c>
    </row>
    <row r="828" spans="1:23" ht="14.25" customHeight="1" thickBot="1" x14ac:dyDescent="0.4">
      <c r="A828" s="58">
        <v>812</v>
      </c>
      <c r="B828" s="69" t="s">
        <v>79</v>
      </c>
      <c r="C828" s="69" t="s">
        <v>80</v>
      </c>
      <c r="D828" s="70" t="s">
        <v>4330</v>
      </c>
      <c r="E828" s="69" t="s">
        <v>4331</v>
      </c>
      <c r="F828" s="69" t="s">
        <v>4322</v>
      </c>
      <c r="G828" s="69" t="s">
        <v>4323</v>
      </c>
      <c r="H828" s="70">
        <v>2025</v>
      </c>
      <c r="I828" s="69" t="s">
        <v>63</v>
      </c>
      <c r="J828" s="69" t="s">
        <v>4332</v>
      </c>
      <c r="K828" s="71" t="s">
        <v>4333</v>
      </c>
      <c r="L828" s="71" t="s">
        <v>4334</v>
      </c>
      <c r="M828" s="71" t="s">
        <v>4335</v>
      </c>
      <c r="N828" s="69" t="s">
        <v>44</v>
      </c>
      <c r="O828" s="64">
        <v>1</v>
      </c>
      <c r="P828" s="72">
        <v>62950000</v>
      </c>
      <c r="Q828" s="69" t="s">
        <v>4336</v>
      </c>
      <c r="R828" s="69"/>
      <c r="S828" s="121" t="s">
        <v>495</v>
      </c>
      <c r="T828" s="56">
        <v>22</v>
      </c>
      <c r="U828" s="56">
        <v>3</v>
      </c>
    </row>
    <row r="829" spans="1:23" ht="14.25" customHeight="1" x14ac:dyDescent="0.35">
      <c r="A829" s="47">
        <v>813</v>
      </c>
      <c r="B829" s="69" t="s">
        <v>79</v>
      </c>
      <c r="C829" s="69" t="s">
        <v>80</v>
      </c>
      <c r="D829" s="70" t="s">
        <v>192</v>
      </c>
      <c r="E829" s="69" t="s">
        <v>4337</v>
      </c>
      <c r="F829" s="69" t="s">
        <v>202</v>
      </c>
      <c r="G829" s="69" t="s">
        <v>4231</v>
      </c>
      <c r="H829" s="70">
        <v>2025</v>
      </c>
      <c r="I829" s="69" t="s">
        <v>63</v>
      </c>
      <c r="J829" s="69" t="s">
        <v>4338</v>
      </c>
      <c r="K829" s="71" t="s">
        <v>4339</v>
      </c>
      <c r="L829" s="71" t="s">
        <v>4340</v>
      </c>
      <c r="M829" s="71" t="s">
        <v>4341</v>
      </c>
      <c r="N829" s="69" t="s">
        <v>44</v>
      </c>
      <c r="O829" s="64">
        <v>1</v>
      </c>
      <c r="P829" s="72">
        <v>24250000</v>
      </c>
      <c r="Q829" s="69" t="s">
        <v>4342</v>
      </c>
      <c r="R829" s="69"/>
      <c r="S829" s="121" t="s">
        <v>495</v>
      </c>
      <c r="T829" s="56">
        <v>22</v>
      </c>
      <c r="U829" s="56">
        <v>3</v>
      </c>
    </row>
    <row r="830" spans="1:23" ht="14.25" customHeight="1" thickBot="1" x14ac:dyDescent="0.4">
      <c r="A830" s="58">
        <v>814</v>
      </c>
      <c r="B830" s="171" t="s">
        <v>1806</v>
      </c>
      <c r="C830" s="171" t="s">
        <v>1807</v>
      </c>
      <c r="D830" s="172" t="s">
        <v>51</v>
      </c>
      <c r="E830" s="171" t="s">
        <v>2558</v>
      </c>
      <c r="F830" s="171" t="s">
        <v>2559</v>
      </c>
      <c r="G830" s="171" t="s">
        <v>54</v>
      </c>
      <c r="H830" s="172">
        <v>2011</v>
      </c>
      <c r="I830" s="171" t="s">
        <v>63</v>
      </c>
      <c r="J830" s="171" t="s">
        <v>4343</v>
      </c>
      <c r="K830" s="171" t="s">
        <v>4344</v>
      </c>
      <c r="L830" s="171" t="s">
        <v>4345</v>
      </c>
      <c r="M830" s="171" t="s">
        <v>4346</v>
      </c>
      <c r="N830" s="171" t="s">
        <v>57</v>
      </c>
      <c r="O830" s="173">
        <v>1</v>
      </c>
      <c r="P830" s="174">
        <v>228815000</v>
      </c>
      <c r="Q830" s="171" t="s">
        <v>4347</v>
      </c>
      <c r="R830" s="171"/>
      <c r="S830" s="175" t="s">
        <v>515</v>
      </c>
      <c r="T830" s="176">
        <v>23</v>
      </c>
      <c r="U830" s="176">
        <v>4</v>
      </c>
      <c r="V830" s="177"/>
      <c r="W830" s="177"/>
    </row>
    <row r="831" spans="1:23" ht="14.25" customHeight="1" x14ac:dyDescent="0.35">
      <c r="A831" s="47">
        <v>815</v>
      </c>
      <c r="B831" s="69" t="s">
        <v>1806</v>
      </c>
      <c r="C831" s="69" t="s">
        <v>1807</v>
      </c>
      <c r="D831" s="70" t="s">
        <v>59</v>
      </c>
      <c r="E831" s="69" t="s">
        <v>4348</v>
      </c>
      <c r="F831" s="69" t="s">
        <v>4349</v>
      </c>
      <c r="G831" s="69" t="s">
        <v>140</v>
      </c>
      <c r="H831" s="70">
        <v>2024</v>
      </c>
      <c r="I831" s="69" t="s">
        <v>63</v>
      </c>
      <c r="J831" s="69" t="s">
        <v>4350</v>
      </c>
      <c r="K831" s="71" t="s">
        <v>4351</v>
      </c>
      <c r="L831" s="71" t="s">
        <v>4352</v>
      </c>
      <c r="M831" s="71" t="s">
        <v>4353</v>
      </c>
      <c r="N831" s="69" t="s">
        <v>44</v>
      </c>
      <c r="O831" s="64">
        <v>1</v>
      </c>
      <c r="P831" s="72">
        <v>416800000</v>
      </c>
      <c r="Q831" s="69" t="s">
        <v>4354</v>
      </c>
      <c r="R831" s="69"/>
      <c r="S831" s="121" t="s">
        <v>515</v>
      </c>
      <c r="T831" s="56">
        <v>23</v>
      </c>
      <c r="U831" s="56">
        <v>4</v>
      </c>
    </row>
    <row r="832" spans="1:23" ht="14.25" customHeight="1" thickBot="1" x14ac:dyDescent="0.4">
      <c r="A832" s="58">
        <v>816</v>
      </c>
      <c r="B832" s="69" t="s">
        <v>79</v>
      </c>
      <c r="C832" s="69" t="s">
        <v>80</v>
      </c>
      <c r="D832" s="70" t="s">
        <v>51</v>
      </c>
      <c r="E832" s="69" t="s">
        <v>147</v>
      </c>
      <c r="F832" s="69" t="s">
        <v>148</v>
      </c>
      <c r="G832" s="69" t="s">
        <v>140</v>
      </c>
      <c r="H832" s="70">
        <v>2015</v>
      </c>
      <c r="I832" s="69"/>
      <c r="J832" s="69" t="s">
        <v>4355</v>
      </c>
      <c r="K832" s="71" t="s">
        <v>4356</v>
      </c>
      <c r="L832" s="71" t="s">
        <v>4357</v>
      </c>
      <c r="M832" s="71" t="s">
        <v>4358</v>
      </c>
      <c r="N832" s="69" t="s">
        <v>57</v>
      </c>
      <c r="O832" s="64">
        <v>1</v>
      </c>
      <c r="P832" s="72">
        <v>19430000</v>
      </c>
      <c r="Q832" s="69" t="s">
        <v>4359</v>
      </c>
      <c r="R832" s="69"/>
      <c r="S832" s="121" t="s">
        <v>515</v>
      </c>
      <c r="T832" s="56">
        <v>23</v>
      </c>
      <c r="U832" s="56">
        <v>3</v>
      </c>
    </row>
    <row r="833" spans="1:21" ht="14.25" customHeight="1" x14ac:dyDescent="0.35">
      <c r="A833" s="47">
        <v>817</v>
      </c>
      <c r="B833" s="69" t="s">
        <v>79</v>
      </c>
      <c r="C833" s="69" t="s">
        <v>80</v>
      </c>
      <c r="D833" s="70" t="s">
        <v>59</v>
      </c>
      <c r="E833" s="69" t="s">
        <v>4360</v>
      </c>
      <c r="F833" s="69" t="s">
        <v>231</v>
      </c>
      <c r="G833" s="69" t="s">
        <v>2955</v>
      </c>
      <c r="H833" s="70">
        <v>2014</v>
      </c>
      <c r="I833" s="69"/>
      <c r="J833" s="69" t="s">
        <v>4361</v>
      </c>
      <c r="K833" s="71" t="s">
        <v>4362</v>
      </c>
      <c r="L833" s="71" t="s">
        <v>4363</v>
      </c>
      <c r="M833" s="71" t="s">
        <v>4364</v>
      </c>
      <c r="N833" s="69" t="s">
        <v>57</v>
      </c>
      <c r="O833" s="64">
        <v>1</v>
      </c>
      <c r="P833" s="72">
        <v>27500000</v>
      </c>
      <c r="Q833" s="69" t="s">
        <v>4365</v>
      </c>
      <c r="R833" s="69"/>
      <c r="S833" s="121" t="s">
        <v>515</v>
      </c>
      <c r="T833" s="56">
        <v>23</v>
      </c>
      <c r="U833" s="56">
        <v>3</v>
      </c>
    </row>
    <row r="834" spans="1:21" ht="14.25" customHeight="1" thickBot="1" x14ac:dyDescent="0.4">
      <c r="A834" s="58">
        <v>818</v>
      </c>
      <c r="B834" s="69" t="s">
        <v>79</v>
      </c>
      <c r="C834" s="69" t="s">
        <v>80</v>
      </c>
      <c r="D834" s="70" t="s">
        <v>97</v>
      </c>
      <c r="E834" s="69" t="s">
        <v>1383</v>
      </c>
      <c r="F834" s="69" t="s">
        <v>163</v>
      </c>
      <c r="G834" s="69" t="s">
        <v>140</v>
      </c>
      <c r="H834" s="70">
        <v>2015</v>
      </c>
      <c r="I834" s="69"/>
      <c r="J834" s="69" t="s">
        <v>4366</v>
      </c>
      <c r="K834" s="71" t="s">
        <v>4367</v>
      </c>
      <c r="L834" s="71" t="s">
        <v>4368</v>
      </c>
      <c r="M834" s="71" t="s">
        <v>4369</v>
      </c>
      <c r="N834" s="69" t="s">
        <v>57</v>
      </c>
      <c r="O834" s="64">
        <v>1</v>
      </c>
      <c r="P834" s="72">
        <v>14962333</v>
      </c>
      <c r="Q834" s="69" t="s">
        <v>4370</v>
      </c>
      <c r="R834" s="69"/>
      <c r="S834" s="121" t="s">
        <v>515</v>
      </c>
      <c r="T834" s="56">
        <v>23</v>
      </c>
      <c r="U834" s="56">
        <v>3</v>
      </c>
    </row>
    <row r="835" spans="1:21" ht="14.25" customHeight="1" x14ac:dyDescent="0.35">
      <c r="A835" s="47">
        <v>819</v>
      </c>
      <c r="B835" s="69" t="s">
        <v>79</v>
      </c>
      <c r="C835" s="69" t="s">
        <v>80</v>
      </c>
      <c r="D835" s="70" t="s">
        <v>107</v>
      </c>
      <c r="E835" s="69" t="s">
        <v>4371</v>
      </c>
      <c r="F835" s="69" t="s">
        <v>2386</v>
      </c>
      <c r="G835" s="69" t="s">
        <v>140</v>
      </c>
      <c r="H835" s="70">
        <v>2009</v>
      </c>
      <c r="I835" s="69" t="s">
        <v>2973</v>
      </c>
      <c r="J835" s="69" t="s">
        <v>4372</v>
      </c>
      <c r="K835" s="71" t="s">
        <v>4373</v>
      </c>
      <c r="L835" s="71" t="s">
        <v>4374</v>
      </c>
      <c r="M835" s="71" t="s">
        <v>4375</v>
      </c>
      <c r="N835" s="69" t="s">
        <v>57</v>
      </c>
      <c r="O835" s="64">
        <v>1</v>
      </c>
      <c r="P835" s="72">
        <v>16950000</v>
      </c>
      <c r="Q835" s="69" t="s">
        <v>4376</v>
      </c>
      <c r="R835" s="69"/>
      <c r="S835" s="121" t="s">
        <v>515</v>
      </c>
      <c r="T835" s="56">
        <v>23</v>
      </c>
      <c r="U835" s="56">
        <v>3</v>
      </c>
    </row>
    <row r="836" spans="1:21" ht="14.25" customHeight="1" thickBot="1" x14ac:dyDescent="0.4">
      <c r="A836" s="58">
        <v>820</v>
      </c>
      <c r="B836" s="69" t="s">
        <v>79</v>
      </c>
      <c r="C836" s="69" t="s">
        <v>80</v>
      </c>
      <c r="D836" s="70" t="s">
        <v>116</v>
      </c>
      <c r="E836" s="69" t="s">
        <v>162</v>
      </c>
      <c r="F836" s="69" t="s">
        <v>163</v>
      </c>
      <c r="G836" s="69" t="s">
        <v>140</v>
      </c>
      <c r="H836" s="70">
        <v>2018</v>
      </c>
      <c r="I836" s="69" t="s">
        <v>63</v>
      </c>
      <c r="J836" s="69" t="s">
        <v>4377</v>
      </c>
      <c r="K836" s="71" t="s">
        <v>4378</v>
      </c>
      <c r="L836" s="71" t="s">
        <v>4379</v>
      </c>
      <c r="M836" s="71" t="s">
        <v>4380</v>
      </c>
      <c r="N836" s="69" t="s">
        <v>57</v>
      </c>
      <c r="O836" s="64">
        <v>1</v>
      </c>
      <c r="P836" s="72">
        <v>15534000</v>
      </c>
      <c r="Q836" s="69" t="s">
        <v>4381</v>
      </c>
      <c r="R836" s="69"/>
      <c r="S836" s="121" t="s">
        <v>515</v>
      </c>
      <c r="T836" s="56">
        <v>23</v>
      </c>
      <c r="U836" s="56">
        <v>3</v>
      </c>
    </row>
    <row r="837" spans="1:21" ht="14.25" customHeight="1" x14ac:dyDescent="0.35">
      <c r="A837" s="47">
        <v>821</v>
      </c>
      <c r="B837" s="69" t="s">
        <v>79</v>
      </c>
      <c r="C837" s="69" t="s">
        <v>80</v>
      </c>
      <c r="D837" s="70" t="s">
        <v>841</v>
      </c>
      <c r="E837" s="69" t="s">
        <v>162</v>
      </c>
      <c r="F837" s="69" t="s">
        <v>163</v>
      </c>
      <c r="G837" s="69" t="s">
        <v>140</v>
      </c>
      <c r="H837" s="70">
        <v>2018</v>
      </c>
      <c r="I837" s="69" t="s">
        <v>63</v>
      </c>
      <c r="J837" s="69" t="s">
        <v>4382</v>
      </c>
      <c r="K837" s="71" t="s">
        <v>4383</v>
      </c>
      <c r="L837" s="71" t="s">
        <v>4384</v>
      </c>
      <c r="M837" s="71" t="s">
        <v>4385</v>
      </c>
      <c r="N837" s="69" t="s">
        <v>57</v>
      </c>
      <c r="O837" s="64">
        <v>1</v>
      </c>
      <c r="P837" s="72">
        <v>15534000</v>
      </c>
      <c r="Q837" s="69" t="s">
        <v>4386</v>
      </c>
      <c r="R837" s="69"/>
      <c r="S837" s="121" t="s">
        <v>515</v>
      </c>
      <c r="T837" s="56">
        <v>23</v>
      </c>
      <c r="U837" s="56">
        <v>3</v>
      </c>
    </row>
    <row r="838" spans="1:21" ht="14.25" customHeight="1" thickBot="1" x14ac:dyDescent="0.4">
      <c r="A838" s="58">
        <v>822</v>
      </c>
      <c r="B838" s="69" t="s">
        <v>79</v>
      </c>
      <c r="C838" s="69" t="s">
        <v>80</v>
      </c>
      <c r="D838" s="70" t="s">
        <v>904</v>
      </c>
      <c r="E838" s="69" t="s">
        <v>4387</v>
      </c>
      <c r="F838" s="69" t="s">
        <v>88</v>
      </c>
      <c r="G838" s="69" t="s">
        <v>140</v>
      </c>
      <c r="H838" s="70">
        <v>2018</v>
      </c>
      <c r="I838" s="69" t="s">
        <v>63</v>
      </c>
      <c r="J838" s="69" t="s">
        <v>4388</v>
      </c>
      <c r="K838" s="71" t="s">
        <v>4389</v>
      </c>
      <c r="L838" s="71" t="s">
        <v>4390</v>
      </c>
      <c r="M838" s="71" t="s">
        <v>4391</v>
      </c>
      <c r="N838" s="69" t="s">
        <v>57</v>
      </c>
      <c r="O838" s="64">
        <v>1</v>
      </c>
      <c r="P838" s="72">
        <v>17845200</v>
      </c>
      <c r="Q838" s="69" t="s">
        <v>4386</v>
      </c>
      <c r="R838" s="69"/>
      <c r="S838" s="121" t="s">
        <v>515</v>
      </c>
      <c r="T838" s="56">
        <v>23</v>
      </c>
      <c r="U838" s="56">
        <v>3</v>
      </c>
    </row>
    <row r="839" spans="1:21" ht="14.25" customHeight="1" x14ac:dyDescent="0.35">
      <c r="A839" s="47">
        <v>823</v>
      </c>
      <c r="B839" s="69" t="s">
        <v>79</v>
      </c>
      <c r="C839" s="69" t="s">
        <v>80</v>
      </c>
      <c r="D839" s="70" t="s">
        <v>122</v>
      </c>
      <c r="E839" s="69" t="s">
        <v>4387</v>
      </c>
      <c r="F839" s="69" t="s">
        <v>88</v>
      </c>
      <c r="G839" s="69" t="s">
        <v>140</v>
      </c>
      <c r="H839" s="70">
        <v>2018</v>
      </c>
      <c r="I839" s="69" t="s">
        <v>63</v>
      </c>
      <c r="J839" s="69" t="s">
        <v>4392</v>
      </c>
      <c r="K839" s="71" t="s">
        <v>4393</v>
      </c>
      <c r="L839" s="71" t="s">
        <v>4394</v>
      </c>
      <c r="M839" s="71" t="s">
        <v>4395</v>
      </c>
      <c r="N839" s="69" t="s">
        <v>57</v>
      </c>
      <c r="O839" s="64">
        <v>1</v>
      </c>
      <c r="P839" s="72">
        <v>17845200</v>
      </c>
      <c r="Q839" s="69" t="s">
        <v>4386</v>
      </c>
      <c r="R839" s="69"/>
      <c r="S839" s="121" t="s">
        <v>515</v>
      </c>
      <c r="T839" s="56">
        <v>23</v>
      </c>
      <c r="U839" s="56">
        <v>3</v>
      </c>
    </row>
    <row r="840" spans="1:21" ht="14.25" customHeight="1" thickBot="1" x14ac:dyDescent="0.4">
      <c r="A840" s="58">
        <v>824</v>
      </c>
      <c r="B840" s="69" t="s">
        <v>79</v>
      </c>
      <c r="C840" s="69" t="s">
        <v>80</v>
      </c>
      <c r="D840" s="70" t="s">
        <v>126</v>
      </c>
      <c r="E840" s="69" t="s">
        <v>4387</v>
      </c>
      <c r="F840" s="69" t="s">
        <v>88</v>
      </c>
      <c r="G840" s="69" t="s">
        <v>140</v>
      </c>
      <c r="H840" s="70">
        <v>2018</v>
      </c>
      <c r="I840" s="69" t="s">
        <v>63</v>
      </c>
      <c r="J840" s="69" t="s">
        <v>4396</v>
      </c>
      <c r="K840" s="71" t="s">
        <v>4397</v>
      </c>
      <c r="L840" s="71" t="s">
        <v>4398</v>
      </c>
      <c r="M840" s="71" t="s">
        <v>4399</v>
      </c>
      <c r="N840" s="69" t="s">
        <v>57</v>
      </c>
      <c r="O840" s="64">
        <v>1</v>
      </c>
      <c r="P840" s="72">
        <v>17845200</v>
      </c>
      <c r="Q840" s="69" t="s">
        <v>4386</v>
      </c>
      <c r="R840" s="69"/>
      <c r="S840" s="121" t="s">
        <v>515</v>
      </c>
      <c r="T840" s="56">
        <v>23</v>
      </c>
      <c r="U840" s="56">
        <v>3</v>
      </c>
    </row>
    <row r="841" spans="1:21" ht="14.25" customHeight="1" x14ac:dyDescent="0.35">
      <c r="A841" s="47">
        <v>825</v>
      </c>
      <c r="B841" s="69" t="s">
        <v>79</v>
      </c>
      <c r="C841" s="69" t="s">
        <v>80</v>
      </c>
      <c r="D841" s="70" t="s">
        <v>132</v>
      </c>
      <c r="E841" s="69" t="s">
        <v>4387</v>
      </c>
      <c r="F841" s="69" t="s">
        <v>88</v>
      </c>
      <c r="G841" s="69" t="s">
        <v>140</v>
      </c>
      <c r="H841" s="70">
        <v>2018</v>
      </c>
      <c r="I841" s="69" t="s">
        <v>63</v>
      </c>
      <c r="J841" s="69" t="s">
        <v>4400</v>
      </c>
      <c r="K841" s="71" t="s">
        <v>4401</v>
      </c>
      <c r="L841" s="71" t="s">
        <v>4402</v>
      </c>
      <c r="M841" s="71" t="s">
        <v>4403</v>
      </c>
      <c r="N841" s="69" t="s">
        <v>57</v>
      </c>
      <c r="O841" s="64">
        <v>1</v>
      </c>
      <c r="P841" s="72">
        <v>17845200</v>
      </c>
      <c r="Q841" s="69" t="s">
        <v>4386</v>
      </c>
      <c r="R841" s="69"/>
      <c r="S841" s="121" t="s">
        <v>515</v>
      </c>
      <c r="T841" s="56">
        <v>23</v>
      </c>
      <c r="U841" s="56">
        <v>3</v>
      </c>
    </row>
    <row r="842" spans="1:21" ht="14.25" customHeight="1" thickBot="1" x14ac:dyDescent="0.4">
      <c r="A842" s="58">
        <v>826</v>
      </c>
      <c r="B842" s="69" t="s">
        <v>79</v>
      </c>
      <c r="C842" s="69" t="s">
        <v>80</v>
      </c>
      <c r="D842" s="70" t="s">
        <v>137</v>
      </c>
      <c r="E842" s="69" t="s">
        <v>4387</v>
      </c>
      <c r="F842" s="69" t="s">
        <v>88</v>
      </c>
      <c r="G842" s="69" t="s">
        <v>140</v>
      </c>
      <c r="H842" s="70">
        <v>2018</v>
      </c>
      <c r="I842" s="69" t="s">
        <v>63</v>
      </c>
      <c r="J842" s="69" t="s">
        <v>4404</v>
      </c>
      <c r="K842" s="71" t="s">
        <v>4405</v>
      </c>
      <c r="L842" s="71" t="s">
        <v>4406</v>
      </c>
      <c r="M842" s="71" t="s">
        <v>4407</v>
      </c>
      <c r="N842" s="69" t="s">
        <v>57</v>
      </c>
      <c r="O842" s="64">
        <v>1</v>
      </c>
      <c r="P842" s="72">
        <v>17845200</v>
      </c>
      <c r="Q842" s="69" t="s">
        <v>4386</v>
      </c>
      <c r="R842" s="69"/>
      <c r="S842" s="121" t="s">
        <v>515</v>
      </c>
      <c r="T842" s="56">
        <v>23</v>
      </c>
      <c r="U842" s="56">
        <v>3</v>
      </c>
    </row>
    <row r="843" spans="1:21" ht="14.25" customHeight="1" x14ac:dyDescent="0.35">
      <c r="A843" s="47">
        <v>827</v>
      </c>
      <c r="B843" s="69" t="s">
        <v>79</v>
      </c>
      <c r="C843" s="69" t="s">
        <v>80</v>
      </c>
      <c r="D843" s="70" t="s">
        <v>146</v>
      </c>
      <c r="E843" s="69" t="s">
        <v>4387</v>
      </c>
      <c r="F843" s="69" t="s">
        <v>88</v>
      </c>
      <c r="G843" s="69" t="s">
        <v>140</v>
      </c>
      <c r="H843" s="70">
        <v>2018</v>
      </c>
      <c r="I843" s="69" t="s">
        <v>63</v>
      </c>
      <c r="J843" s="69" t="s">
        <v>4408</v>
      </c>
      <c r="K843" s="71" t="s">
        <v>4409</v>
      </c>
      <c r="L843" s="71" t="s">
        <v>4410</v>
      </c>
      <c r="M843" s="71" t="s">
        <v>4411</v>
      </c>
      <c r="N843" s="69" t="s">
        <v>57</v>
      </c>
      <c r="O843" s="64">
        <v>1</v>
      </c>
      <c r="P843" s="72">
        <v>17845200</v>
      </c>
      <c r="Q843" s="69" t="s">
        <v>4386</v>
      </c>
      <c r="R843" s="69"/>
      <c r="S843" s="121" t="s">
        <v>515</v>
      </c>
      <c r="T843" s="56">
        <v>23</v>
      </c>
      <c r="U843" s="56">
        <v>3</v>
      </c>
    </row>
    <row r="844" spans="1:21" ht="14.25" customHeight="1" thickBot="1" x14ac:dyDescent="0.4">
      <c r="A844" s="58">
        <v>828</v>
      </c>
      <c r="B844" s="69" t="s">
        <v>79</v>
      </c>
      <c r="C844" s="69" t="s">
        <v>80</v>
      </c>
      <c r="D844" s="70" t="s">
        <v>154</v>
      </c>
      <c r="E844" s="69" t="s">
        <v>4387</v>
      </c>
      <c r="F844" s="69" t="s">
        <v>88</v>
      </c>
      <c r="G844" s="69" t="s">
        <v>140</v>
      </c>
      <c r="H844" s="70">
        <v>2018</v>
      </c>
      <c r="I844" s="69" t="s">
        <v>63</v>
      </c>
      <c r="J844" s="69" t="s">
        <v>4412</v>
      </c>
      <c r="K844" s="71" t="s">
        <v>4413</v>
      </c>
      <c r="L844" s="71" t="s">
        <v>4414</v>
      </c>
      <c r="M844" s="71" t="s">
        <v>4385</v>
      </c>
      <c r="N844" s="69" t="s">
        <v>57</v>
      </c>
      <c r="O844" s="64">
        <v>1</v>
      </c>
      <c r="P844" s="72">
        <v>17845200</v>
      </c>
      <c r="Q844" s="69" t="s">
        <v>4386</v>
      </c>
      <c r="R844" s="69"/>
      <c r="S844" s="121" t="s">
        <v>515</v>
      </c>
      <c r="T844" s="56">
        <v>23</v>
      </c>
      <c r="U844" s="56">
        <v>3</v>
      </c>
    </row>
    <row r="845" spans="1:21" ht="14.25" customHeight="1" x14ac:dyDescent="0.35">
      <c r="A845" s="47">
        <v>829</v>
      </c>
      <c r="B845" s="69" t="s">
        <v>79</v>
      </c>
      <c r="C845" s="69" t="s">
        <v>80</v>
      </c>
      <c r="D845" s="70" t="s">
        <v>161</v>
      </c>
      <c r="E845" s="69" t="s">
        <v>3779</v>
      </c>
      <c r="F845" s="69" t="s">
        <v>88</v>
      </c>
      <c r="G845" s="69" t="s">
        <v>140</v>
      </c>
      <c r="H845" s="70">
        <v>2018</v>
      </c>
      <c r="I845" s="69" t="s">
        <v>63</v>
      </c>
      <c r="J845" s="69" t="s">
        <v>4415</v>
      </c>
      <c r="K845" s="71" t="s">
        <v>4416</v>
      </c>
      <c r="L845" s="71" t="s">
        <v>4417</v>
      </c>
      <c r="M845" s="71" t="s">
        <v>4418</v>
      </c>
      <c r="N845" s="69" t="s">
        <v>57</v>
      </c>
      <c r="O845" s="64">
        <v>1</v>
      </c>
      <c r="P845" s="72">
        <v>19471200</v>
      </c>
      <c r="Q845" s="69" t="s">
        <v>4386</v>
      </c>
      <c r="R845" s="69"/>
      <c r="S845" s="121" t="s">
        <v>515</v>
      </c>
      <c r="T845" s="56">
        <v>23</v>
      </c>
      <c r="U845" s="56">
        <v>3</v>
      </c>
    </row>
    <row r="846" spans="1:21" ht="14.25" customHeight="1" thickBot="1" x14ac:dyDescent="0.4">
      <c r="A846" s="58">
        <v>830</v>
      </c>
      <c r="B846" s="69" t="s">
        <v>79</v>
      </c>
      <c r="C846" s="69" t="s">
        <v>80</v>
      </c>
      <c r="D846" s="70" t="s">
        <v>169</v>
      </c>
      <c r="E846" s="69" t="s">
        <v>3779</v>
      </c>
      <c r="F846" s="69" t="s">
        <v>88</v>
      </c>
      <c r="G846" s="69" t="s">
        <v>140</v>
      </c>
      <c r="H846" s="70">
        <v>2018</v>
      </c>
      <c r="I846" s="69" t="s">
        <v>63</v>
      </c>
      <c r="J846" s="69" t="s">
        <v>4419</v>
      </c>
      <c r="K846" s="71" t="s">
        <v>4420</v>
      </c>
      <c r="L846" s="71" t="s">
        <v>4421</v>
      </c>
      <c r="M846" s="71" t="s">
        <v>4422</v>
      </c>
      <c r="N846" s="69" t="s">
        <v>57</v>
      </c>
      <c r="O846" s="64">
        <v>1</v>
      </c>
      <c r="P846" s="72">
        <v>19471200</v>
      </c>
      <c r="Q846" s="69" t="s">
        <v>4386</v>
      </c>
      <c r="R846" s="69"/>
      <c r="S846" s="121" t="s">
        <v>515</v>
      </c>
      <c r="T846" s="56">
        <v>23</v>
      </c>
      <c r="U846" s="56">
        <v>3</v>
      </c>
    </row>
    <row r="847" spans="1:21" ht="14.25" customHeight="1" x14ac:dyDescent="0.35">
      <c r="A847" s="47">
        <v>831</v>
      </c>
      <c r="B847" s="69" t="s">
        <v>79</v>
      </c>
      <c r="C847" s="69" t="s">
        <v>80</v>
      </c>
      <c r="D847" s="70" t="s">
        <v>176</v>
      </c>
      <c r="E847" s="69" t="s">
        <v>1110</v>
      </c>
      <c r="F847" s="69" t="s">
        <v>163</v>
      </c>
      <c r="G847" s="69" t="s">
        <v>140</v>
      </c>
      <c r="H847" s="70">
        <v>2017</v>
      </c>
      <c r="I847" s="69" t="s">
        <v>63</v>
      </c>
      <c r="J847" s="69" t="s">
        <v>4423</v>
      </c>
      <c r="K847" s="71" t="s">
        <v>4424</v>
      </c>
      <c r="L847" s="71" t="s">
        <v>4425</v>
      </c>
      <c r="M847" s="71" t="s">
        <v>4426</v>
      </c>
      <c r="N847" s="69" t="s">
        <v>57</v>
      </c>
      <c r="O847" s="64">
        <v>1</v>
      </c>
      <c r="P847" s="72">
        <v>15846600</v>
      </c>
      <c r="Q847" s="69" t="s">
        <v>4427</v>
      </c>
      <c r="R847" s="69"/>
      <c r="S847" s="121" t="s">
        <v>515</v>
      </c>
      <c r="T847" s="56">
        <v>23</v>
      </c>
      <c r="U847" s="56">
        <v>3</v>
      </c>
    </row>
    <row r="848" spans="1:21" ht="14.25" customHeight="1" thickBot="1" x14ac:dyDescent="0.4">
      <c r="A848" s="58">
        <v>832</v>
      </c>
      <c r="B848" s="69" t="s">
        <v>79</v>
      </c>
      <c r="C848" s="69" t="s">
        <v>80</v>
      </c>
      <c r="D848" s="70" t="s">
        <v>1236</v>
      </c>
      <c r="E848" s="69" t="s">
        <v>162</v>
      </c>
      <c r="F848" s="69" t="s">
        <v>163</v>
      </c>
      <c r="G848" s="69" t="s">
        <v>140</v>
      </c>
      <c r="H848" s="70">
        <v>2018</v>
      </c>
      <c r="I848" s="69" t="s">
        <v>63</v>
      </c>
      <c r="J848" s="69" t="s">
        <v>4428</v>
      </c>
      <c r="K848" s="71" t="s">
        <v>4429</v>
      </c>
      <c r="L848" s="71" t="s">
        <v>4430</v>
      </c>
      <c r="M848" s="71" t="s">
        <v>4431</v>
      </c>
      <c r="N848" s="69" t="s">
        <v>57</v>
      </c>
      <c r="O848" s="64">
        <v>1</v>
      </c>
      <c r="P848" s="72">
        <v>15534000</v>
      </c>
      <c r="Q848" s="69" t="s">
        <v>4386</v>
      </c>
      <c r="R848" s="69"/>
      <c r="S848" s="121" t="s">
        <v>515</v>
      </c>
      <c r="T848" s="56">
        <v>23</v>
      </c>
      <c r="U848" s="56">
        <v>3</v>
      </c>
    </row>
    <row r="849" spans="1:23" ht="14.25" customHeight="1" x14ac:dyDescent="0.35">
      <c r="A849" s="47">
        <v>833</v>
      </c>
      <c r="B849" s="69" t="s">
        <v>79</v>
      </c>
      <c r="C849" s="69" t="s">
        <v>80</v>
      </c>
      <c r="D849" s="70" t="s">
        <v>181</v>
      </c>
      <c r="E849" s="69" t="s">
        <v>162</v>
      </c>
      <c r="F849" s="69" t="s">
        <v>163</v>
      </c>
      <c r="G849" s="69" t="s">
        <v>140</v>
      </c>
      <c r="H849" s="70">
        <v>2018</v>
      </c>
      <c r="I849" s="69" t="s">
        <v>63</v>
      </c>
      <c r="J849" s="69" t="s">
        <v>4432</v>
      </c>
      <c r="K849" s="71" t="s">
        <v>4433</v>
      </c>
      <c r="L849" s="71" t="s">
        <v>4434</v>
      </c>
      <c r="M849" s="71" t="s">
        <v>4435</v>
      </c>
      <c r="N849" s="69" t="s">
        <v>57</v>
      </c>
      <c r="O849" s="64">
        <v>1</v>
      </c>
      <c r="P849" s="72">
        <v>15534000</v>
      </c>
      <c r="Q849" s="69" t="s">
        <v>4386</v>
      </c>
      <c r="R849" s="69"/>
      <c r="S849" s="121" t="s">
        <v>515</v>
      </c>
      <c r="T849" s="56">
        <v>23</v>
      </c>
      <c r="U849" s="56">
        <v>3</v>
      </c>
    </row>
    <row r="850" spans="1:23" ht="14.25" customHeight="1" thickBot="1" x14ac:dyDescent="0.4">
      <c r="A850" s="58">
        <v>834</v>
      </c>
      <c r="B850" s="69" t="s">
        <v>79</v>
      </c>
      <c r="C850" s="69" t="s">
        <v>80</v>
      </c>
      <c r="D850" s="70" t="s">
        <v>187</v>
      </c>
      <c r="E850" s="69" t="s">
        <v>162</v>
      </c>
      <c r="F850" s="69" t="s">
        <v>163</v>
      </c>
      <c r="G850" s="69" t="s">
        <v>140</v>
      </c>
      <c r="H850" s="70">
        <v>2018</v>
      </c>
      <c r="I850" s="69" t="s">
        <v>63</v>
      </c>
      <c r="J850" s="69" t="s">
        <v>4436</v>
      </c>
      <c r="K850" s="71" t="s">
        <v>4437</v>
      </c>
      <c r="L850" s="71" t="s">
        <v>4438</v>
      </c>
      <c r="M850" s="71" t="s">
        <v>4439</v>
      </c>
      <c r="N850" s="69" t="s">
        <v>57</v>
      </c>
      <c r="O850" s="64">
        <v>1</v>
      </c>
      <c r="P850" s="72">
        <v>15534000</v>
      </c>
      <c r="Q850" s="69" t="s">
        <v>4386</v>
      </c>
      <c r="R850" s="69"/>
      <c r="S850" s="121" t="s">
        <v>515</v>
      </c>
      <c r="T850" s="56">
        <v>23</v>
      </c>
      <c r="U850" s="56">
        <v>3</v>
      </c>
    </row>
    <row r="851" spans="1:23" ht="14.25" customHeight="1" x14ac:dyDescent="0.35">
      <c r="A851" s="47">
        <v>835</v>
      </c>
      <c r="B851" s="69" t="s">
        <v>79</v>
      </c>
      <c r="C851" s="69" t="s">
        <v>80</v>
      </c>
      <c r="D851" s="70" t="s">
        <v>190</v>
      </c>
      <c r="E851" s="69" t="s">
        <v>1110</v>
      </c>
      <c r="F851" s="69" t="s">
        <v>163</v>
      </c>
      <c r="G851" s="69" t="s">
        <v>140</v>
      </c>
      <c r="H851" s="70">
        <v>2017</v>
      </c>
      <c r="I851" s="69" t="s">
        <v>63</v>
      </c>
      <c r="J851" s="69" t="s">
        <v>4440</v>
      </c>
      <c r="K851" s="71" t="s">
        <v>4441</v>
      </c>
      <c r="L851" s="71" t="s">
        <v>4442</v>
      </c>
      <c r="M851" s="71" t="s">
        <v>4443</v>
      </c>
      <c r="N851" s="69" t="s">
        <v>57</v>
      </c>
      <c r="O851" s="64">
        <v>1</v>
      </c>
      <c r="P851" s="72">
        <v>15846600</v>
      </c>
      <c r="Q851" s="69" t="s">
        <v>4444</v>
      </c>
      <c r="R851" s="69"/>
      <c r="S851" s="121" t="s">
        <v>515</v>
      </c>
      <c r="T851" s="56">
        <v>23</v>
      </c>
      <c r="U851" s="56">
        <v>3</v>
      </c>
    </row>
    <row r="852" spans="1:23" ht="14.25" customHeight="1" thickBot="1" x14ac:dyDescent="0.4">
      <c r="A852" s="58">
        <v>836</v>
      </c>
      <c r="B852" s="69" t="s">
        <v>79</v>
      </c>
      <c r="C852" s="69" t="s">
        <v>80</v>
      </c>
      <c r="D852" s="70" t="s">
        <v>192</v>
      </c>
      <c r="E852" s="69" t="s">
        <v>1110</v>
      </c>
      <c r="F852" s="69" t="s">
        <v>163</v>
      </c>
      <c r="G852" s="69" t="s">
        <v>140</v>
      </c>
      <c r="H852" s="70">
        <v>2017</v>
      </c>
      <c r="I852" s="69" t="s">
        <v>63</v>
      </c>
      <c r="J852" s="69" t="s">
        <v>4445</v>
      </c>
      <c r="K852" s="71" t="s">
        <v>4446</v>
      </c>
      <c r="L852" s="71" t="s">
        <v>4447</v>
      </c>
      <c r="M852" s="71" t="s">
        <v>4448</v>
      </c>
      <c r="N852" s="69" t="s">
        <v>57</v>
      </c>
      <c r="O852" s="64">
        <v>1</v>
      </c>
      <c r="P852" s="72">
        <v>15846600</v>
      </c>
      <c r="Q852" s="69" t="s">
        <v>4449</v>
      </c>
      <c r="R852" s="69"/>
      <c r="S852" s="121" t="s">
        <v>515</v>
      </c>
      <c r="T852" s="56">
        <v>23</v>
      </c>
      <c r="U852" s="56">
        <v>3</v>
      </c>
    </row>
    <row r="853" spans="1:23" ht="14.25" customHeight="1" x14ac:dyDescent="0.35">
      <c r="A853" s="47">
        <v>837</v>
      </c>
      <c r="B853" s="69" t="s">
        <v>79</v>
      </c>
      <c r="C853" s="69" t="s">
        <v>80</v>
      </c>
      <c r="D853" s="70" t="s">
        <v>194</v>
      </c>
      <c r="E853" s="69" t="s">
        <v>147</v>
      </c>
      <c r="F853" s="69" t="s">
        <v>148</v>
      </c>
      <c r="G853" s="69" t="s">
        <v>140</v>
      </c>
      <c r="H853" s="70">
        <v>2015</v>
      </c>
      <c r="I853" s="69" t="s">
        <v>63</v>
      </c>
      <c r="J853" s="69" t="s">
        <v>4450</v>
      </c>
      <c r="K853" s="71" t="s">
        <v>4451</v>
      </c>
      <c r="L853" s="71" t="s">
        <v>4452</v>
      </c>
      <c r="M853" s="71" t="s">
        <v>4453</v>
      </c>
      <c r="N853" s="69" t="s">
        <v>57</v>
      </c>
      <c r="O853" s="64">
        <v>1</v>
      </c>
      <c r="P853" s="72">
        <v>19430000</v>
      </c>
      <c r="Q853" s="69" t="s">
        <v>4454</v>
      </c>
      <c r="R853" s="69"/>
      <c r="S853" s="121" t="s">
        <v>515</v>
      </c>
      <c r="T853" s="56">
        <v>23</v>
      </c>
      <c r="U853" s="56">
        <v>3</v>
      </c>
    </row>
    <row r="854" spans="1:23" ht="14.25" customHeight="1" thickBot="1" x14ac:dyDescent="0.4">
      <c r="A854" s="58">
        <v>838</v>
      </c>
      <c r="B854" s="69" t="s">
        <v>79</v>
      </c>
      <c r="C854" s="69" t="s">
        <v>80</v>
      </c>
      <c r="D854" s="70" t="s">
        <v>195</v>
      </c>
      <c r="E854" s="69" t="s">
        <v>4455</v>
      </c>
      <c r="F854" s="69">
        <v>250</v>
      </c>
      <c r="G854" s="69" t="s">
        <v>140</v>
      </c>
      <c r="H854" s="70">
        <v>2025</v>
      </c>
      <c r="I854" s="69" t="s">
        <v>63</v>
      </c>
      <c r="J854" s="69" t="s">
        <v>4456</v>
      </c>
      <c r="K854" s="71" t="s">
        <v>4457</v>
      </c>
      <c r="L854" s="71" t="s">
        <v>4458</v>
      </c>
      <c r="M854" s="71" t="s">
        <v>4459</v>
      </c>
      <c r="N854" s="69" t="s">
        <v>44</v>
      </c>
      <c r="O854" s="64">
        <v>1</v>
      </c>
      <c r="P854" s="72">
        <v>37545555</v>
      </c>
      <c r="Q854" s="69" t="s">
        <v>4460</v>
      </c>
      <c r="R854" s="69"/>
      <c r="S854" s="121" t="s">
        <v>515</v>
      </c>
      <c r="T854" s="56">
        <v>23</v>
      </c>
      <c r="U854" s="56">
        <v>3</v>
      </c>
    </row>
    <row r="855" spans="1:23" ht="14.25" customHeight="1" x14ac:dyDescent="0.35">
      <c r="A855" s="47">
        <v>839</v>
      </c>
      <c r="B855" s="69" t="s">
        <v>79</v>
      </c>
      <c r="C855" s="69" t="s">
        <v>80</v>
      </c>
      <c r="D855" s="70" t="s">
        <v>199</v>
      </c>
      <c r="E855" s="69" t="s">
        <v>4455</v>
      </c>
      <c r="F855" s="69">
        <v>250</v>
      </c>
      <c r="G855" s="69" t="s">
        <v>140</v>
      </c>
      <c r="H855" s="70">
        <v>2025</v>
      </c>
      <c r="I855" s="69" t="s">
        <v>63</v>
      </c>
      <c r="J855" s="69" t="s">
        <v>4461</v>
      </c>
      <c r="K855" s="71" t="s">
        <v>4462</v>
      </c>
      <c r="L855" s="71" t="s">
        <v>4463</v>
      </c>
      <c r="M855" s="71" t="s">
        <v>4464</v>
      </c>
      <c r="N855" s="69" t="s">
        <v>44</v>
      </c>
      <c r="O855" s="64">
        <v>1</v>
      </c>
      <c r="P855" s="72">
        <v>37546443.999999993</v>
      </c>
      <c r="Q855" s="69" t="s">
        <v>4465</v>
      </c>
      <c r="R855" s="69"/>
      <c r="S855" s="121" t="s">
        <v>515</v>
      </c>
      <c r="T855" s="56">
        <v>23</v>
      </c>
      <c r="U855" s="56">
        <v>3</v>
      </c>
    </row>
    <row r="856" spans="1:23" ht="14.25" customHeight="1" thickBot="1" x14ac:dyDescent="0.4">
      <c r="A856" s="58">
        <v>840</v>
      </c>
      <c r="B856" s="178" t="s">
        <v>3656</v>
      </c>
      <c r="C856" s="178" t="s">
        <v>3657</v>
      </c>
      <c r="D856" s="179" t="s">
        <v>51</v>
      </c>
      <c r="E856" s="178" t="s">
        <v>4466</v>
      </c>
      <c r="F856" s="178" t="s">
        <v>4467</v>
      </c>
      <c r="G856" s="178" t="s">
        <v>140</v>
      </c>
      <c r="H856" s="179">
        <v>2024</v>
      </c>
      <c r="I856" s="178" t="s">
        <v>63</v>
      </c>
      <c r="J856" s="178" t="s">
        <v>4468</v>
      </c>
      <c r="K856" s="180" t="s">
        <v>4469</v>
      </c>
      <c r="L856" s="180" t="s">
        <v>4470</v>
      </c>
      <c r="M856" s="180" t="s">
        <v>4471</v>
      </c>
      <c r="N856" s="178" t="s">
        <v>44</v>
      </c>
      <c r="O856" s="64">
        <v>1</v>
      </c>
      <c r="P856" s="181">
        <v>1180000000</v>
      </c>
      <c r="Q856" s="178" t="s">
        <v>4472</v>
      </c>
      <c r="R856" s="178"/>
      <c r="S856" s="182" t="s">
        <v>4473</v>
      </c>
      <c r="T856" s="183">
        <v>24</v>
      </c>
      <c r="U856" s="183">
        <v>5</v>
      </c>
      <c r="V856" s="184"/>
      <c r="W856" s="184"/>
    </row>
    <row r="857" spans="1:23" ht="14.25" customHeight="1" x14ac:dyDescent="0.35">
      <c r="A857" s="47">
        <v>841</v>
      </c>
      <c r="B857" s="69" t="s">
        <v>1745</v>
      </c>
      <c r="C857" s="69" t="s">
        <v>1746</v>
      </c>
      <c r="D857" s="70" t="s">
        <v>59</v>
      </c>
      <c r="E857" s="69" t="s">
        <v>2494</v>
      </c>
      <c r="F857" s="69" t="s">
        <v>4474</v>
      </c>
      <c r="G857" s="69" t="s">
        <v>140</v>
      </c>
      <c r="H857" s="70">
        <v>2014</v>
      </c>
      <c r="I857" s="69"/>
      <c r="J857" s="69" t="s">
        <v>4475</v>
      </c>
      <c r="K857" s="71" t="s">
        <v>4476</v>
      </c>
      <c r="L857" s="71" t="s">
        <v>4477</v>
      </c>
      <c r="M857" s="71" t="s">
        <v>4478</v>
      </c>
      <c r="N857" s="69" t="s">
        <v>57</v>
      </c>
      <c r="O857" s="64">
        <v>1</v>
      </c>
      <c r="P857" s="72">
        <v>357340000</v>
      </c>
      <c r="Q857" s="69" t="s">
        <v>4479</v>
      </c>
      <c r="R857" s="69"/>
      <c r="S857" s="121" t="s">
        <v>4473</v>
      </c>
      <c r="T857" s="56">
        <v>24</v>
      </c>
      <c r="U857" s="56">
        <v>4</v>
      </c>
    </row>
    <row r="858" spans="1:23" ht="14.25" customHeight="1" thickBot="1" x14ac:dyDescent="0.4">
      <c r="A858" s="58">
        <v>842</v>
      </c>
      <c r="B858" s="69" t="s">
        <v>1745</v>
      </c>
      <c r="C858" s="69" t="s">
        <v>1746</v>
      </c>
      <c r="D858" s="70" t="s">
        <v>101</v>
      </c>
      <c r="E858" s="69" t="s">
        <v>4480</v>
      </c>
      <c r="F858" s="69" t="s">
        <v>4481</v>
      </c>
      <c r="G858" s="69" t="s">
        <v>140</v>
      </c>
      <c r="H858" s="70">
        <v>2024</v>
      </c>
      <c r="I858" s="69" t="s">
        <v>63</v>
      </c>
      <c r="J858" s="69" t="s">
        <v>4482</v>
      </c>
      <c r="K858" s="71" t="s">
        <v>4483</v>
      </c>
      <c r="L858" s="71" t="s">
        <v>4484</v>
      </c>
      <c r="M858" s="71" t="s">
        <v>4485</v>
      </c>
      <c r="N858" s="69" t="s">
        <v>44</v>
      </c>
      <c r="O858" s="64">
        <v>1</v>
      </c>
      <c r="P858" s="72">
        <v>756100000</v>
      </c>
      <c r="Q858" s="69" t="s">
        <v>4486</v>
      </c>
      <c r="R858" s="69"/>
      <c r="S858" s="121" t="s">
        <v>4473</v>
      </c>
      <c r="T858" s="56">
        <v>24</v>
      </c>
      <c r="U858" s="56">
        <v>4</v>
      </c>
    </row>
    <row r="859" spans="1:23" ht="14.25" customHeight="1" x14ac:dyDescent="0.35">
      <c r="A859" s="47">
        <v>843</v>
      </c>
      <c r="B859" s="69" t="s">
        <v>1745</v>
      </c>
      <c r="C859" s="69" t="s">
        <v>1746</v>
      </c>
      <c r="D859" s="70" t="s">
        <v>107</v>
      </c>
      <c r="E859" s="69" t="s">
        <v>4487</v>
      </c>
      <c r="F859" s="69"/>
      <c r="G859" s="69" t="s">
        <v>63</v>
      </c>
      <c r="H859" s="70">
        <v>2024</v>
      </c>
      <c r="I859" s="69" t="s">
        <v>63</v>
      </c>
      <c r="J859" s="69" t="s">
        <v>63</v>
      </c>
      <c r="K859" s="71" t="s">
        <v>63</v>
      </c>
      <c r="L859" s="71" t="s">
        <v>63</v>
      </c>
      <c r="M859" s="71" t="s">
        <v>63</v>
      </c>
      <c r="N859" s="69" t="s">
        <v>44</v>
      </c>
      <c r="O859" s="64">
        <v>1</v>
      </c>
      <c r="P859" s="72">
        <v>406950000</v>
      </c>
      <c r="Q859" s="69" t="s">
        <v>4488</v>
      </c>
      <c r="R859" s="69"/>
      <c r="S859" s="121" t="s">
        <v>4473</v>
      </c>
      <c r="T859" s="56">
        <v>24</v>
      </c>
      <c r="U859" s="56">
        <v>4</v>
      </c>
    </row>
    <row r="860" spans="1:23" ht="14.25" customHeight="1" thickBot="1" x14ac:dyDescent="0.4">
      <c r="A860" s="58">
        <v>844</v>
      </c>
      <c r="B860" s="69" t="s">
        <v>1745</v>
      </c>
      <c r="C860" s="69" t="s">
        <v>1746</v>
      </c>
      <c r="D860" s="70" t="s">
        <v>116</v>
      </c>
      <c r="E860" s="69" t="s">
        <v>4489</v>
      </c>
      <c r="F860" s="69" t="s">
        <v>4490</v>
      </c>
      <c r="G860" s="69" t="s">
        <v>140</v>
      </c>
      <c r="H860" s="70">
        <v>2024</v>
      </c>
      <c r="I860" s="69" t="s">
        <v>63</v>
      </c>
      <c r="J860" s="69" t="s">
        <v>4491</v>
      </c>
      <c r="K860" s="71" t="s">
        <v>4492</v>
      </c>
      <c r="L860" s="71" t="s">
        <v>4493</v>
      </c>
      <c r="M860" s="71" t="s">
        <v>4494</v>
      </c>
      <c r="N860" s="69" t="s">
        <v>44</v>
      </c>
      <c r="O860" s="64">
        <v>1</v>
      </c>
      <c r="P860" s="72">
        <v>676000000</v>
      </c>
      <c r="Q860" s="69" t="s">
        <v>4495</v>
      </c>
      <c r="R860" s="69"/>
      <c r="S860" s="121" t="s">
        <v>4473</v>
      </c>
      <c r="T860" s="56">
        <v>24</v>
      </c>
      <c r="U860" s="56">
        <v>4</v>
      </c>
    </row>
    <row r="861" spans="1:23" ht="14.25" customHeight="1" x14ac:dyDescent="0.35">
      <c r="A861" s="47">
        <v>845</v>
      </c>
      <c r="B861" s="69" t="s">
        <v>1745</v>
      </c>
      <c r="C861" s="69" t="s">
        <v>1746</v>
      </c>
      <c r="D861" s="70" t="s">
        <v>841</v>
      </c>
      <c r="E861" s="69" t="s">
        <v>4496</v>
      </c>
      <c r="F861" s="69" t="s">
        <v>4490</v>
      </c>
      <c r="G861" s="69" t="s">
        <v>63</v>
      </c>
      <c r="H861" s="70">
        <v>2024</v>
      </c>
      <c r="I861" s="69" t="s">
        <v>63</v>
      </c>
      <c r="J861" s="69" t="s">
        <v>4497</v>
      </c>
      <c r="K861" s="71" t="s">
        <v>4498</v>
      </c>
      <c r="L861" s="71" t="s">
        <v>4499</v>
      </c>
      <c r="M861" s="71" t="s">
        <v>4500</v>
      </c>
      <c r="N861" s="69" t="s">
        <v>44</v>
      </c>
      <c r="O861" s="64">
        <v>1</v>
      </c>
      <c r="P861" s="72">
        <v>648300000</v>
      </c>
      <c r="Q861" s="69" t="s">
        <v>4501</v>
      </c>
      <c r="R861" s="69"/>
      <c r="S861" s="121" t="s">
        <v>4473</v>
      </c>
      <c r="T861" s="56">
        <v>24</v>
      </c>
      <c r="U861" s="56">
        <v>4</v>
      </c>
    </row>
    <row r="862" spans="1:23" ht="14.25" customHeight="1" thickBot="1" x14ac:dyDescent="0.4">
      <c r="A862" s="58">
        <v>846</v>
      </c>
      <c r="B862" s="69" t="s">
        <v>1806</v>
      </c>
      <c r="C862" s="69" t="s">
        <v>1807</v>
      </c>
      <c r="D862" s="70" t="s">
        <v>59</v>
      </c>
      <c r="E862" s="69" t="s">
        <v>4502</v>
      </c>
      <c r="F862" s="69" t="s">
        <v>4503</v>
      </c>
      <c r="G862" s="69" t="s">
        <v>62</v>
      </c>
      <c r="H862" s="70">
        <v>2021</v>
      </c>
      <c r="I862" s="69" t="s">
        <v>63</v>
      </c>
      <c r="J862" s="69" t="s">
        <v>4504</v>
      </c>
      <c r="K862" s="71" t="s">
        <v>4505</v>
      </c>
      <c r="L862" s="71" t="s">
        <v>4506</v>
      </c>
      <c r="M862" s="71" t="s">
        <v>4507</v>
      </c>
      <c r="N862" s="69" t="s">
        <v>57</v>
      </c>
      <c r="O862" s="64">
        <v>1</v>
      </c>
      <c r="P862" s="72">
        <v>553400000</v>
      </c>
      <c r="Q862" s="69" t="s">
        <v>4508</v>
      </c>
      <c r="R862" s="69"/>
      <c r="S862" s="121" t="s">
        <v>4473</v>
      </c>
      <c r="T862" s="56">
        <v>24</v>
      </c>
      <c r="U862" s="56">
        <v>4</v>
      </c>
    </row>
    <row r="863" spans="1:23" ht="14.25" customHeight="1" x14ac:dyDescent="0.35">
      <c r="A863" s="47">
        <v>847</v>
      </c>
      <c r="B863" s="69" t="s">
        <v>1806</v>
      </c>
      <c r="C863" s="69" t="s">
        <v>1807</v>
      </c>
      <c r="D863" s="70" t="s">
        <v>97</v>
      </c>
      <c r="E863" s="69" t="s">
        <v>4509</v>
      </c>
      <c r="F863" s="69" t="s">
        <v>4510</v>
      </c>
      <c r="G863" s="69" t="s">
        <v>54</v>
      </c>
      <c r="H863" s="70">
        <v>2011</v>
      </c>
      <c r="I863" s="69" t="s">
        <v>63</v>
      </c>
      <c r="J863" s="69" t="s">
        <v>4511</v>
      </c>
      <c r="K863" s="71" t="s">
        <v>4512</v>
      </c>
      <c r="L863" s="71" t="s">
        <v>4513</v>
      </c>
      <c r="M863" s="71" t="s">
        <v>4514</v>
      </c>
      <c r="N863" s="69" t="s">
        <v>57</v>
      </c>
      <c r="O863" s="64">
        <v>1</v>
      </c>
      <c r="P863" s="72">
        <v>162175000</v>
      </c>
      <c r="Q863" s="69" t="s">
        <v>4515</v>
      </c>
      <c r="R863" s="69"/>
      <c r="S863" s="121" t="s">
        <v>4473</v>
      </c>
      <c r="T863" s="56">
        <v>24</v>
      </c>
      <c r="U863" s="56">
        <v>4</v>
      </c>
    </row>
    <row r="864" spans="1:23" ht="14.25" customHeight="1" thickBot="1" x14ac:dyDescent="0.4">
      <c r="A864" s="58">
        <v>848</v>
      </c>
      <c r="B864" s="69" t="s">
        <v>1806</v>
      </c>
      <c r="C864" s="69" t="s">
        <v>1807</v>
      </c>
      <c r="D864" s="70" t="s">
        <v>101</v>
      </c>
      <c r="E864" s="69" t="s">
        <v>4516</v>
      </c>
      <c r="F864" s="69" t="s">
        <v>63</v>
      </c>
      <c r="G864" s="69" t="s">
        <v>54</v>
      </c>
      <c r="H864" s="70">
        <v>2022</v>
      </c>
      <c r="I864" s="69"/>
      <c r="J864" s="69" t="s">
        <v>4517</v>
      </c>
      <c r="K864" s="71" t="s">
        <v>4518</v>
      </c>
      <c r="L864" s="71" t="s">
        <v>4519</v>
      </c>
      <c r="M864" s="71" t="s">
        <v>4520</v>
      </c>
      <c r="N864" s="69" t="s">
        <v>44</v>
      </c>
      <c r="O864" s="64">
        <v>1</v>
      </c>
      <c r="P864" s="72">
        <v>430500000</v>
      </c>
      <c r="Q864" s="69" t="s">
        <v>4521</v>
      </c>
      <c r="R864" s="69"/>
      <c r="S864" s="121" t="s">
        <v>4473</v>
      </c>
      <c r="T864" s="56">
        <v>24</v>
      </c>
      <c r="U864" s="56">
        <v>4</v>
      </c>
    </row>
    <row r="865" spans="1:21" ht="14.25" customHeight="1" x14ac:dyDescent="0.35">
      <c r="A865" s="47">
        <v>849</v>
      </c>
      <c r="B865" s="69" t="s">
        <v>1806</v>
      </c>
      <c r="C865" s="69" t="s">
        <v>1807</v>
      </c>
      <c r="D865" s="70" t="s">
        <v>107</v>
      </c>
      <c r="E865" s="69" t="s">
        <v>4522</v>
      </c>
      <c r="F865" s="69"/>
      <c r="G865" s="69" t="s">
        <v>54</v>
      </c>
      <c r="H865" s="70">
        <v>2022</v>
      </c>
      <c r="I865" s="69"/>
      <c r="J865" s="69" t="s">
        <v>4523</v>
      </c>
      <c r="K865" s="71" t="s">
        <v>4524</v>
      </c>
      <c r="L865" s="71" t="s">
        <v>4525</v>
      </c>
      <c r="M865" s="71" t="s">
        <v>4526</v>
      </c>
      <c r="N865" s="69" t="s">
        <v>44</v>
      </c>
      <c r="O865" s="64">
        <v>1</v>
      </c>
      <c r="P865" s="72">
        <v>226400000</v>
      </c>
      <c r="Q865" s="69"/>
      <c r="R865" s="69"/>
      <c r="S865" s="121" t="s">
        <v>4473</v>
      </c>
      <c r="T865" s="56">
        <v>24</v>
      </c>
      <c r="U865" s="56">
        <v>4</v>
      </c>
    </row>
    <row r="866" spans="1:21" ht="14.25" customHeight="1" thickBot="1" x14ac:dyDescent="0.4">
      <c r="A866" s="58">
        <v>850</v>
      </c>
      <c r="B866" s="69" t="s">
        <v>1806</v>
      </c>
      <c r="C866" s="69" t="s">
        <v>1807</v>
      </c>
      <c r="D866" s="70" t="s">
        <v>112</v>
      </c>
      <c r="E866" s="69" t="s">
        <v>4527</v>
      </c>
      <c r="F866" s="69"/>
      <c r="G866" s="69" t="s">
        <v>54</v>
      </c>
      <c r="H866" s="70">
        <v>2022</v>
      </c>
      <c r="I866" s="69"/>
      <c r="J866" s="69" t="s">
        <v>4528</v>
      </c>
      <c r="K866" s="71" t="s">
        <v>4529</v>
      </c>
      <c r="L866" s="71" t="s">
        <v>4530</v>
      </c>
      <c r="M866" s="71" t="s">
        <v>4531</v>
      </c>
      <c r="N866" s="69" t="s">
        <v>44</v>
      </c>
      <c r="O866" s="64">
        <v>1</v>
      </c>
      <c r="P866" s="72">
        <v>375800000</v>
      </c>
      <c r="Q866" s="69"/>
      <c r="R866" s="69"/>
      <c r="S866" s="121" t="s">
        <v>4473</v>
      </c>
      <c r="T866" s="56">
        <v>24</v>
      </c>
      <c r="U866" s="56">
        <v>4</v>
      </c>
    </row>
    <row r="867" spans="1:21" ht="14.25" customHeight="1" x14ac:dyDescent="0.35">
      <c r="A867" s="47">
        <v>851</v>
      </c>
      <c r="B867" s="69" t="s">
        <v>1806</v>
      </c>
      <c r="C867" s="69" t="s">
        <v>1807</v>
      </c>
      <c r="D867" s="70" t="s">
        <v>841</v>
      </c>
      <c r="E867" s="69" t="s">
        <v>4532</v>
      </c>
      <c r="F867" s="69">
        <v>2000</v>
      </c>
      <c r="G867" s="69" t="s">
        <v>63</v>
      </c>
      <c r="H867" s="70">
        <v>2025</v>
      </c>
      <c r="I867" s="69" t="s">
        <v>63</v>
      </c>
      <c r="J867" s="142" t="s">
        <v>4533</v>
      </c>
      <c r="K867" s="185" t="s">
        <v>4534</v>
      </c>
      <c r="L867" s="185" t="s">
        <v>4535</v>
      </c>
      <c r="M867" s="185" t="s">
        <v>4536</v>
      </c>
      <c r="N867" s="69" t="s">
        <v>44</v>
      </c>
      <c r="O867" s="64">
        <v>1</v>
      </c>
      <c r="P867" s="72">
        <v>561200000</v>
      </c>
      <c r="Q867" s="69" t="s">
        <v>4537</v>
      </c>
      <c r="R867" s="69"/>
      <c r="S867" s="121" t="s">
        <v>4473</v>
      </c>
      <c r="T867" s="56">
        <v>24</v>
      </c>
      <c r="U867" s="56">
        <v>4</v>
      </c>
    </row>
    <row r="868" spans="1:21" ht="14.25" customHeight="1" thickBot="1" x14ac:dyDescent="0.4">
      <c r="A868" s="58">
        <v>852</v>
      </c>
      <c r="B868" s="69" t="s">
        <v>1806</v>
      </c>
      <c r="C868" s="69" t="s">
        <v>1807</v>
      </c>
      <c r="D868" s="70" t="s">
        <v>904</v>
      </c>
      <c r="E868" s="69" t="s">
        <v>4538</v>
      </c>
      <c r="F868" s="69">
        <v>2442</v>
      </c>
      <c r="G868" s="69" t="s">
        <v>63</v>
      </c>
      <c r="H868" s="70">
        <v>2025</v>
      </c>
      <c r="I868" s="69" t="s">
        <v>63</v>
      </c>
      <c r="J868" s="69" t="s">
        <v>4539</v>
      </c>
      <c r="K868" s="71" t="s">
        <v>4540</v>
      </c>
      <c r="L868" s="71" t="s">
        <v>4541</v>
      </c>
      <c r="M868" s="71" t="s">
        <v>4542</v>
      </c>
      <c r="N868" s="69" t="s">
        <v>44</v>
      </c>
      <c r="O868" s="64">
        <v>1</v>
      </c>
      <c r="P868" s="72">
        <v>798000000</v>
      </c>
      <c r="Q868" s="69" t="s">
        <v>4543</v>
      </c>
      <c r="R868" s="69"/>
      <c r="S868" s="121" t="s">
        <v>4473</v>
      </c>
      <c r="T868" s="56">
        <v>24</v>
      </c>
      <c r="U868" s="56">
        <v>4</v>
      </c>
    </row>
    <row r="869" spans="1:21" ht="14.25" customHeight="1" x14ac:dyDescent="0.35">
      <c r="A869" s="47">
        <v>853</v>
      </c>
      <c r="B869" s="69" t="s">
        <v>1806</v>
      </c>
      <c r="C869" s="69" t="s">
        <v>1807</v>
      </c>
      <c r="D869" s="70" t="s">
        <v>122</v>
      </c>
      <c r="E869" s="69" t="s">
        <v>4544</v>
      </c>
      <c r="F869" s="69">
        <v>1496</v>
      </c>
      <c r="G869" s="69" t="s">
        <v>63</v>
      </c>
      <c r="H869" s="70">
        <v>2025</v>
      </c>
      <c r="I869" s="69" t="s">
        <v>63</v>
      </c>
      <c r="J869" s="69" t="s">
        <v>4545</v>
      </c>
      <c r="K869" s="71" t="s">
        <v>4546</v>
      </c>
      <c r="L869" s="71" t="s">
        <v>4547</v>
      </c>
      <c r="M869" s="71" t="s">
        <v>4548</v>
      </c>
      <c r="N869" s="69" t="s">
        <v>44</v>
      </c>
      <c r="O869" s="64">
        <v>1</v>
      </c>
      <c r="P869" s="72">
        <v>317900000</v>
      </c>
      <c r="Q869" s="69" t="s">
        <v>4549</v>
      </c>
      <c r="R869" s="69"/>
      <c r="S869" s="121" t="s">
        <v>4473</v>
      </c>
      <c r="T869" s="56">
        <v>24</v>
      </c>
      <c r="U869" s="56">
        <v>4</v>
      </c>
    </row>
    <row r="870" spans="1:21" ht="14.25" customHeight="1" thickBot="1" x14ac:dyDescent="0.4">
      <c r="A870" s="58">
        <v>854</v>
      </c>
      <c r="B870" s="69" t="s">
        <v>70</v>
      </c>
      <c r="C870" s="69" t="s">
        <v>71</v>
      </c>
      <c r="D870" s="70" t="s">
        <v>97</v>
      </c>
      <c r="E870" s="69" t="s">
        <v>4550</v>
      </c>
      <c r="F870" s="69" t="s">
        <v>1693</v>
      </c>
      <c r="G870" s="69" t="s">
        <v>54</v>
      </c>
      <c r="H870" s="70">
        <v>2010</v>
      </c>
      <c r="I870" s="69"/>
      <c r="J870" s="69" t="s">
        <v>4551</v>
      </c>
      <c r="K870" s="71" t="s">
        <v>4552</v>
      </c>
      <c r="L870" s="71" t="s">
        <v>4553</v>
      </c>
      <c r="M870" s="71" t="s">
        <v>4554</v>
      </c>
      <c r="N870" s="69" t="s">
        <v>57</v>
      </c>
      <c r="O870" s="64">
        <v>1</v>
      </c>
      <c r="P870" s="72">
        <v>332500000</v>
      </c>
      <c r="Q870" s="69" t="s">
        <v>4555</v>
      </c>
      <c r="R870" s="69"/>
      <c r="S870" s="121" t="s">
        <v>4473</v>
      </c>
      <c r="T870" s="56">
        <v>24</v>
      </c>
      <c r="U870" s="56">
        <v>4</v>
      </c>
    </row>
    <row r="871" spans="1:21" ht="14.25" customHeight="1" x14ac:dyDescent="0.35">
      <c r="A871" s="47">
        <v>855</v>
      </c>
      <c r="B871" s="69" t="s">
        <v>70</v>
      </c>
      <c r="C871" s="69" t="s">
        <v>71</v>
      </c>
      <c r="D871" s="70" t="s">
        <v>107</v>
      </c>
      <c r="E871" s="69" t="s">
        <v>4556</v>
      </c>
      <c r="F871" s="69" t="s">
        <v>4557</v>
      </c>
      <c r="G871" s="69" t="s">
        <v>54</v>
      </c>
      <c r="H871" s="70">
        <v>2012</v>
      </c>
      <c r="I871" s="69" t="s">
        <v>63</v>
      </c>
      <c r="J871" s="69" t="s">
        <v>4558</v>
      </c>
      <c r="K871" s="71" t="s">
        <v>4559</v>
      </c>
      <c r="L871" s="71" t="s">
        <v>4560</v>
      </c>
      <c r="M871" s="71" t="s">
        <v>4561</v>
      </c>
      <c r="N871" s="69" t="s">
        <v>57</v>
      </c>
      <c r="O871" s="64">
        <v>1</v>
      </c>
      <c r="P871" s="72">
        <v>283514150</v>
      </c>
      <c r="Q871" s="69" t="s">
        <v>4562</v>
      </c>
      <c r="R871" s="69"/>
      <c r="S871" s="121" t="s">
        <v>4473</v>
      </c>
      <c r="T871" s="56">
        <v>24</v>
      </c>
      <c r="U871" s="56">
        <v>4</v>
      </c>
    </row>
    <row r="872" spans="1:21" ht="14.25" customHeight="1" thickBot="1" x14ac:dyDescent="0.4">
      <c r="A872" s="58">
        <v>856</v>
      </c>
      <c r="B872" s="69" t="s">
        <v>70</v>
      </c>
      <c r="C872" s="69" t="s">
        <v>71</v>
      </c>
      <c r="D872" s="70" t="s">
        <v>116</v>
      </c>
      <c r="E872" s="69" t="s">
        <v>4563</v>
      </c>
      <c r="F872" s="69" t="s">
        <v>2626</v>
      </c>
      <c r="G872" s="69" t="s">
        <v>54</v>
      </c>
      <c r="H872" s="70">
        <v>2012</v>
      </c>
      <c r="I872" s="69" t="s">
        <v>63</v>
      </c>
      <c r="J872" s="69" t="s">
        <v>4564</v>
      </c>
      <c r="K872" s="71" t="s">
        <v>4565</v>
      </c>
      <c r="L872" s="71" t="s">
        <v>4566</v>
      </c>
      <c r="M872" s="71" t="s">
        <v>4567</v>
      </c>
      <c r="N872" s="69" t="s">
        <v>57</v>
      </c>
      <c r="O872" s="64">
        <v>1</v>
      </c>
      <c r="P872" s="72">
        <v>307000000</v>
      </c>
      <c r="Q872" s="69" t="s">
        <v>4562</v>
      </c>
      <c r="R872" s="69"/>
      <c r="S872" s="121" t="s">
        <v>4473</v>
      </c>
      <c r="T872" s="56">
        <v>24</v>
      </c>
      <c r="U872" s="56">
        <v>4</v>
      </c>
    </row>
    <row r="873" spans="1:21" ht="14.25" customHeight="1" x14ac:dyDescent="0.35">
      <c r="A873" s="47">
        <v>857</v>
      </c>
      <c r="B873" s="69" t="s">
        <v>70</v>
      </c>
      <c r="C873" s="69" t="s">
        <v>71</v>
      </c>
      <c r="D873" s="70" t="s">
        <v>841</v>
      </c>
      <c r="E873" s="69" t="s">
        <v>2929</v>
      </c>
      <c r="F873" s="69" t="s">
        <v>2930</v>
      </c>
      <c r="G873" s="69" t="s">
        <v>54</v>
      </c>
      <c r="H873" s="70">
        <v>2012</v>
      </c>
      <c r="I873" s="69" t="s">
        <v>63</v>
      </c>
      <c r="J873" s="69" t="s">
        <v>4568</v>
      </c>
      <c r="K873" s="71" t="s">
        <v>4569</v>
      </c>
      <c r="L873" s="71" t="s">
        <v>4570</v>
      </c>
      <c r="M873" s="71" t="s">
        <v>4571</v>
      </c>
      <c r="N873" s="69" t="s">
        <v>57</v>
      </c>
      <c r="O873" s="64">
        <v>1</v>
      </c>
      <c r="P873" s="72">
        <v>326600000</v>
      </c>
      <c r="Q873" s="69" t="s">
        <v>4562</v>
      </c>
      <c r="R873" s="69"/>
      <c r="S873" s="121" t="s">
        <v>4473</v>
      </c>
      <c r="T873" s="56">
        <v>24</v>
      </c>
      <c r="U873" s="56">
        <v>4</v>
      </c>
    </row>
    <row r="874" spans="1:21" ht="14.25" customHeight="1" thickBot="1" x14ac:dyDescent="0.4">
      <c r="A874" s="58">
        <v>858</v>
      </c>
      <c r="B874" s="69" t="s">
        <v>70</v>
      </c>
      <c r="C874" s="69" t="s">
        <v>71</v>
      </c>
      <c r="D874" s="70" t="s">
        <v>137</v>
      </c>
      <c r="E874" s="69" t="s">
        <v>4572</v>
      </c>
      <c r="F874" s="69" t="s">
        <v>4573</v>
      </c>
      <c r="G874" s="69" t="s">
        <v>54</v>
      </c>
      <c r="H874" s="70">
        <v>2014</v>
      </c>
      <c r="I874" s="69" t="s">
        <v>63</v>
      </c>
      <c r="J874" s="69" t="s">
        <v>4574</v>
      </c>
      <c r="K874" s="71" t="s">
        <v>4575</v>
      </c>
      <c r="L874" s="71" t="s">
        <v>4576</v>
      </c>
      <c r="M874" s="71" t="s">
        <v>4577</v>
      </c>
      <c r="N874" s="69" t="s">
        <v>57</v>
      </c>
      <c r="O874" s="64">
        <v>1</v>
      </c>
      <c r="P874" s="72">
        <v>356889000</v>
      </c>
      <c r="Q874" s="69" t="s">
        <v>4578</v>
      </c>
      <c r="R874" s="69"/>
      <c r="S874" s="121" t="s">
        <v>4473</v>
      </c>
      <c r="T874" s="56">
        <v>24</v>
      </c>
      <c r="U874" s="56">
        <v>4</v>
      </c>
    </row>
    <row r="875" spans="1:21" ht="14.25" customHeight="1" x14ac:dyDescent="0.35">
      <c r="A875" s="47">
        <v>859</v>
      </c>
      <c r="B875" s="69" t="s">
        <v>70</v>
      </c>
      <c r="C875" s="69" t="s">
        <v>71</v>
      </c>
      <c r="D875" s="70" t="s">
        <v>146</v>
      </c>
      <c r="E875" s="69" t="s">
        <v>4579</v>
      </c>
      <c r="F875" s="69" t="s">
        <v>2495</v>
      </c>
      <c r="G875" s="69" t="s">
        <v>54</v>
      </c>
      <c r="H875" s="70">
        <v>2014</v>
      </c>
      <c r="I875" s="69" t="s">
        <v>63</v>
      </c>
      <c r="J875" s="69" t="s">
        <v>4580</v>
      </c>
      <c r="K875" s="71" t="s">
        <v>4581</v>
      </c>
      <c r="L875" s="71" t="s">
        <v>4582</v>
      </c>
      <c r="M875" s="71" t="s">
        <v>4583</v>
      </c>
      <c r="N875" s="69" t="s">
        <v>57</v>
      </c>
      <c r="O875" s="64">
        <v>1</v>
      </c>
      <c r="P875" s="72">
        <v>375700000</v>
      </c>
      <c r="Q875" s="69" t="s">
        <v>4584</v>
      </c>
      <c r="R875" s="69"/>
      <c r="S875" s="121" t="s">
        <v>4473</v>
      </c>
      <c r="T875" s="56">
        <v>24</v>
      </c>
      <c r="U875" s="56">
        <v>4</v>
      </c>
    </row>
    <row r="876" spans="1:21" ht="14.25" customHeight="1" thickBot="1" x14ac:dyDescent="0.4">
      <c r="A876" s="58">
        <v>860</v>
      </c>
      <c r="B876" s="69" t="s">
        <v>70</v>
      </c>
      <c r="C876" s="69" t="s">
        <v>71</v>
      </c>
      <c r="D876" s="70" t="s">
        <v>154</v>
      </c>
      <c r="E876" s="69" t="s">
        <v>4585</v>
      </c>
      <c r="F876" s="69" t="s">
        <v>1683</v>
      </c>
      <c r="G876" s="69" t="s">
        <v>140</v>
      </c>
      <c r="H876" s="70">
        <v>2015</v>
      </c>
      <c r="I876" s="69" t="s">
        <v>4586</v>
      </c>
      <c r="J876" s="69" t="s">
        <v>4587</v>
      </c>
      <c r="K876" s="71" t="s">
        <v>4588</v>
      </c>
      <c r="L876" s="71" t="s">
        <v>4589</v>
      </c>
      <c r="M876" s="71" t="s">
        <v>4590</v>
      </c>
      <c r="N876" s="69" t="s">
        <v>57</v>
      </c>
      <c r="O876" s="64">
        <v>1</v>
      </c>
      <c r="P876" s="72">
        <v>370000000</v>
      </c>
      <c r="Q876" s="69" t="s">
        <v>4591</v>
      </c>
      <c r="R876" s="69"/>
      <c r="S876" s="121" t="s">
        <v>4473</v>
      </c>
      <c r="T876" s="56">
        <v>24</v>
      </c>
      <c r="U876" s="56">
        <v>4</v>
      </c>
    </row>
    <row r="877" spans="1:21" ht="14.25" customHeight="1" x14ac:dyDescent="0.35">
      <c r="A877" s="47">
        <v>861</v>
      </c>
      <c r="B877" s="69" t="s">
        <v>70</v>
      </c>
      <c r="C877" s="69" t="s">
        <v>71</v>
      </c>
      <c r="D877" s="70" t="s">
        <v>169</v>
      </c>
      <c r="E877" s="69" t="s">
        <v>4585</v>
      </c>
      <c r="F877" s="69" t="s">
        <v>1683</v>
      </c>
      <c r="G877" s="69" t="s">
        <v>140</v>
      </c>
      <c r="H877" s="70">
        <v>2015</v>
      </c>
      <c r="I877" s="69" t="s">
        <v>4586</v>
      </c>
      <c r="J877" s="69" t="s">
        <v>4592</v>
      </c>
      <c r="K877" s="71" t="s">
        <v>4593</v>
      </c>
      <c r="L877" s="71" t="s">
        <v>4594</v>
      </c>
      <c r="M877" s="71" t="s">
        <v>4595</v>
      </c>
      <c r="N877" s="69" t="s">
        <v>57</v>
      </c>
      <c r="O877" s="64">
        <v>1</v>
      </c>
      <c r="P877" s="72">
        <v>370000000</v>
      </c>
      <c r="Q877" s="69" t="s">
        <v>4555</v>
      </c>
      <c r="R877" s="69"/>
      <c r="S877" s="121" t="s">
        <v>4473</v>
      </c>
      <c r="T877" s="56">
        <v>24</v>
      </c>
      <c r="U877" s="56">
        <v>4</v>
      </c>
    </row>
    <row r="878" spans="1:21" ht="14.25" customHeight="1" thickBot="1" x14ac:dyDescent="0.4">
      <c r="A878" s="58">
        <v>862</v>
      </c>
      <c r="B878" s="69" t="s">
        <v>70</v>
      </c>
      <c r="C878" s="69" t="s">
        <v>71</v>
      </c>
      <c r="D878" s="70" t="s">
        <v>1236</v>
      </c>
      <c r="E878" s="69" t="s">
        <v>2619</v>
      </c>
      <c r="F878" s="69" t="s">
        <v>1683</v>
      </c>
      <c r="G878" s="69" t="s">
        <v>140</v>
      </c>
      <c r="H878" s="70">
        <v>2015</v>
      </c>
      <c r="I878" s="69"/>
      <c r="J878" s="69" t="s">
        <v>4596</v>
      </c>
      <c r="K878" s="71" t="s">
        <v>4597</v>
      </c>
      <c r="L878" s="71" t="s">
        <v>4598</v>
      </c>
      <c r="M878" s="71" t="s">
        <v>4599</v>
      </c>
      <c r="N878" s="69" t="s">
        <v>57</v>
      </c>
      <c r="O878" s="64">
        <v>1</v>
      </c>
      <c r="P878" s="72">
        <v>374510000</v>
      </c>
      <c r="Q878" s="69" t="s">
        <v>4555</v>
      </c>
      <c r="R878" s="69"/>
      <c r="S878" s="121" t="s">
        <v>4473</v>
      </c>
      <c r="T878" s="56">
        <v>24</v>
      </c>
      <c r="U878" s="56">
        <v>4</v>
      </c>
    </row>
    <row r="879" spans="1:21" ht="14.25" customHeight="1" x14ac:dyDescent="0.35">
      <c r="A879" s="47">
        <v>863</v>
      </c>
      <c r="B879" s="69" t="s">
        <v>70</v>
      </c>
      <c r="C879" s="69" t="s">
        <v>71</v>
      </c>
      <c r="D879" s="70" t="s">
        <v>181</v>
      </c>
      <c r="E879" s="69" t="s">
        <v>2068</v>
      </c>
      <c r="F879" s="69" t="s">
        <v>1683</v>
      </c>
      <c r="G879" s="69" t="s">
        <v>140</v>
      </c>
      <c r="H879" s="70">
        <v>2015</v>
      </c>
      <c r="I879" s="69"/>
      <c r="J879" s="69" t="s">
        <v>4600</v>
      </c>
      <c r="K879" s="71" t="s">
        <v>4601</v>
      </c>
      <c r="L879" s="71" t="s">
        <v>4602</v>
      </c>
      <c r="M879" s="71" t="s">
        <v>4603</v>
      </c>
      <c r="N879" s="69" t="s">
        <v>57</v>
      </c>
      <c r="O879" s="64">
        <v>1</v>
      </c>
      <c r="P879" s="72">
        <v>381520000</v>
      </c>
      <c r="Q879" s="69" t="s">
        <v>4604</v>
      </c>
      <c r="R879" s="69"/>
      <c r="S879" s="121" t="s">
        <v>4473</v>
      </c>
      <c r="T879" s="56">
        <v>24</v>
      </c>
      <c r="U879" s="56">
        <v>4</v>
      </c>
    </row>
    <row r="880" spans="1:21" ht="14.25" customHeight="1" thickBot="1" x14ac:dyDescent="0.4">
      <c r="A880" s="58">
        <v>864</v>
      </c>
      <c r="B880" s="69" t="s">
        <v>70</v>
      </c>
      <c r="C880" s="69" t="s">
        <v>71</v>
      </c>
      <c r="D880" s="70" t="s">
        <v>209</v>
      </c>
      <c r="E880" s="69" t="s">
        <v>2501</v>
      </c>
      <c r="F880" s="69" t="s">
        <v>1683</v>
      </c>
      <c r="G880" s="69" t="s">
        <v>140</v>
      </c>
      <c r="H880" s="70">
        <v>2017</v>
      </c>
      <c r="I880" s="69" t="s">
        <v>63</v>
      </c>
      <c r="J880" s="69" t="s">
        <v>4605</v>
      </c>
      <c r="K880" s="71" t="s">
        <v>4606</v>
      </c>
      <c r="L880" s="71" t="s">
        <v>4607</v>
      </c>
      <c r="M880" s="71" t="s">
        <v>4608</v>
      </c>
      <c r="N880" s="69" t="s">
        <v>57</v>
      </c>
      <c r="O880" s="64">
        <v>1</v>
      </c>
      <c r="P880" s="72">
        <v>399250000</v>
      </c>
      <c r="Q880" s="69" t="s">
        <v>4609</v>
      </c>
      <c r="R880" s="69"/>
      <c r="S880" s="121" t="s">
        <v>4473</v>
      </c>
      <c r="T880" s="56">
        <v>24</v>
      </c>
      <c r="U880" s="56">
        <v>4</v>
      </c>
    </row>
    <row r="881" spans="1:21" ht="14.25" customHeight="1" x14ac:dyDescent="0.35">
      <c r="A881" s="47">
        <v>865</v>
      </c>
      <c r="B881" s="69" t="s">
        <v>70</v>
      </c>
      <c r="C881" s="69" t="s">
        <v>71</v>
      </c>
      <c r="D881" s="70" t="s">
        <v>215</v>
      </c>
      <c r="E881" s="69" t="s">
        <v>2501</v>
      </c>
      <c r="F881" s="69" t="s">
        <v>1683</v>
      </c>
      <c r="G881" s="69" t="s">
        <v>140</v>
      </c>
      <c r="H881" s="70">
        <v>2017</v>
      </c>
      <c r="I881" s="69" t="s">
        <v>63</v>
      </c>
      <c r="J881" s="69" t="s">
        <v>4610</v>
      </c>
      <c r="K881" s="71" t="s">
        <v>4611</v>
      </c>
      <c r="L881" s="71" t="s">
        <v>4612</v>
      </c>
      <c r="M881" s="71" t="s">
        <v>4613</v>
      </c>
      <c r="N881" s="69" t="s">
        <v>57</v>
      </c>
      <c r="O881" s="64">
        <v>1</v>
      </c>
      <c r="P881" s="72">
        <v>399250000</v>
      </c>
      <c r="Q881" s="69" t="s">
        <v>4614</v>
      </c>
      <c r="R881" s="69"/>
      <c r="S881" s="121" t="s">
        <v>4473</v>
      </c>
      <c r="T881" s="56">
        <v>24</v>
      </c>
      <c r="U881" s="56">
        <v>4</v>
      </c>
    </row>
    <row r="882" spans="1:21" ht="14.25" customHeight="1" thickBot="1" x14ac:dyDescent="0.4">
      <c r="A882" s="58">
        <v>866</v>
      </c>
      <c r="B882" s="69" t="s">
        <v>70</v>
      </c>
      <c r="C882" s="69" t="s">
        <v>71</v>
      </c>
      <c r="D882" s="70" t="s">
        <v>223</v>
      </c>
      <c r="E882" s="69" t="s">
        <v>2501</v>
      </c>
      <c r="F882" s="69" t="s">
        <v>1683</v>
      </c>
      <c r="G882" s="69" t="s">
        <v>140</v>
      </c>
      <c r="H882" s="70">
        <v>2017</v>
      </c>
      <c r="I882" s="69" t="s">
        <v>63</v>
      </c>
      <c r="J882" s="69" t="s">
        <v>4615</v>
      </c>
      <c r="K882" s="71" t="s">
        <v>4616</v>
      </c>
      <c r="L882" s="71" t="s">
        <v>4617</v>
      </c>
      <c r="M882" s="71" t="s">
        <v>4618</v>
      </c>
      <c r="N882" s="69" t="s">
        <v>57</v>
      </c>
      <c r="O882" s="64">
        <v>1</v>
      </c>
      <c r="P882" s="72">
        <v>399250000</v>
      </c>
      <c r="Q882" s="69" t="s">
        <v>4619</v>
      </c>
      <c r="R882" s="69"/>
      <c r="S882" s="121" t="s">
        <v>4473</v>
      </c>
      <c r="T882" s="56">
        <v>24</v>
      </c>
      <c r="U882" s="56">
        <v>4</v>
      </c>
    </row>
    <row r="883" spans="1:21" ht="14.25" customHeight="1" x14ac:dyDescent="0.35">
      <c r="A883" s="47">
        <v>867</v>
      </c>
      <c r="B883" s="69" t="s">
        <v>70</v>
      </c>
      <c r="C883" s="69" t="s">
        <v>71</v>
      </c>
      <c r="D883" s="70" t="s">
        <v>238</v>
      </c>
      <c r="E883" s="69" t="s">
        <v>2501</v>
      </c>
      <c r="F883" s="69" t="s">
        <v>1683</v>
      </c>
      <c r="G883" s="69" t="s">
        <v>140</v>
      </c>
      <c r="H883" s="70">
        <v>2017</v>
      </c>
      <c r="I883" s="69" t="s">
        <v>63</v>
      </c>
      <c r="J883" s="69" t="s">
        <v>4620</v>
      </c>
      <c r="K883" s="71" t="s">
        <v>4621</v>
      </c>
      <c r="L883" s="71" t="s">
        <v>4622</v>
      </c>
      <c r="M883" s="71" t="s">
        <v>4623</v>
      </c>
      <c r="N883" s="69" t="s">
        <v>57</v>
      </c>
      <c r="O883" s="64">
        <v>1</v>
      </c>
      <c r="P883" s="72">
        <v>399250000</v>
      </c>
      <c r="Q883" s="69" t="s">
        <v>4624</v>
      </c>
      <c r="R883" s="69"/>
      <c r="S883" s="121" t="s">
        <v>4473</v>
      </c>
      <c r="T883" s="56">
        <v>24</v>
      </c>
      <c r="U883" s="56">
        <v>4</v>
      </c>
    </row>
    <row r="884" spans="1:21" ht="14.25" customHeight="1" thickBot="1" x14ac:dyDescent="0.4">
      <c r="A884" s="58">
        <v>868</v>
      </c>
      <c r="B884" s="69" t="s">
        <v>70</v>
      </c>
      <c r="C884" s="69" t="s">
        <v>71</v>
      </c>
      <c r="D884" s="70" t="s">
        <v>253</v>
      </c>
      <c r="E884" s="69" t="s">
        <v>2501</v>
      </c>
      <c r="F884" s="69" t="s">
        <v>1683</v>
      </c>
      <c r="G884" s="69" t="s">
        <v>140</v>
      </c>
      <c r="H884" s="70">
        <v>2017</v>
      </c>
      <c r="I884" s="69" t="s">
        <v>63</v>
      </c>
      <c r="J884" s="69" t="s">
        <v>4625</v>
      </c>
      <c r="K884" s="71" t="s">
        <v>4626</v>
      </c>
      <c r="L884" s="71" t="s">
        <v>4627</v>
      </c>
      <c r="M884" s="71" t="s">
        <v>4628</v>
      </c>
      <c r="N884" s="69" t="s">
        <v>57</v>
      </c>
      <c r="O884" s="64">
        <v>1</v>
      </c>
      <c r="P884" s="72">
        <v>399250000</v>
      </c>
      <c r="Q884" s="69" t="s">
        <v>4629</v>
      </c>
      <c r="R884" s="69"/>
      <c r="S884" s="121" t="s">
        <v>4473</v>
      </c>
      <c r="T884" s="56">
        <v>24</v>
      </c>
      <c r="U884" s="56">
        <v>4</v>
      </c>
    </row>
    <row r="885" spans="1:21" ht="14.25" customHeight="1" x14ac:dyDescent="0.35">
      <c r="A885" s="47">
        <v>869</v>
      </c>
      <c r="B885" s="69" t="s">
        <v>70</v>
      </c>
      <c r="C885" s="69" t="s">
        <v>71</v>
      </c>
      <c r="D885" s="70" t="s">
        <v>286</v>
      </c>
      <c r="E885" s="69" t="s">
        <v>4630</v>
      </c>
      <c r="F885" s="69"/>
      <c r="G885" s="69" t="s">
        <v>63</v>
      </c>
      <c r="H885" s="70">
        <v>2023</v>
      </c>
      <c r="I885" s="69" t="s">
        <v>63</v>
      </c>
      <c r="J885" s="69" t="s">
        <v>4631</v>
      </c>
      <c r="K885" s="71" t="s">
        <v>63</v>
      </c>
      <c r="L885" s="71" t="s">
        <v>4632</v>
      </c>
      <c r="M885" s="71" t="s">
        <v>4633</v>
      </c>
      <c r="N885" s="69" t="s">
        <v>44</v>
      </c>
      <c r="O885" s="64">
        <v>1</v>
      </c>
      <c r="P885" s="72">
        <v>285800000</v>
      </c>
      <c r="Q885" s="69" t="s">
        <v>4634</v>
      </c>
      <c r="R885" s="69"/>
      <c r="S885" s="121" t="s">
        <v>4473</v>
      </c>
      <c r="T885" s="56">
        <v>24</v>
      </c>
      <c r="U885" s="56">
        <v>4</v>
      </c>
    </row>
    <row r="886" spans="1:21" ht="14.25" customHeight="1" thickBot="1" x14ac:dyDescent="0.4">
      <c r="A886" s="58">
        <v>870</v>
      </c>
      <c r="B886" s="69" t="s">
        <v>70</v>
      </c>
      <c r="C886" s="69" t="s">
        <v>71</v>
      </c>
      <c r="D886" s="70" t="s">
        <v>291</v>
      </c>
      <c r="E886" s="69" t="s">
        <v>4635</v>
      </c>
      <c r="F886" s="69"/>
      <c r="G886" s="69" t="s">
        <v>63</v>
      </c>
      <c r="H886" s="70">
        <v>2023</v>
      </c>
      <c r="I886" s="69" t="s">
        <v>63</v>
      </c>
      <c r="J886" s="69" t="s">
        <v>4636</v>
      </c>
      <c r="K886" s="71" t="s">
        <v>63</v>
      </c>
      <c r="L886" s="71" t="s">
        <v>4637</v>
      </c>
      <c r="M886" s="71" t="s">
        <v>4638</v>
      </c>
      <c r="N886" s="69" t="s">
        <v>44</v>
      </c>
      <c r="O886" s="64">
        <v>1</v>
      </c>
      <c r="P886" s="72">
        <v>519700000</v>
      </c>
      <c r="Q886" s="69" t="s">
        <v>4639</v>
      </c>
      <c r="R886" s="69"/>
      <c r="S886" s="121" t="s">
        <v>4473</v>
      </c>
      <c r="T886" s="56">
        <v>24</v>
      </c>
      <c r="U886" s="56">
        <v>4</v>
      </c>
    </row>
    <row r="887" spans="1:21" ht="14.25" customHeight="1" x14ac:dyDescent="0.35">
      <c r="A887" s="47">
        <v>871</v>
      </c>
      <c r="B887" s="69" t="s">
        <v>70</v>
      </c>
      <c r="C887" s="69" t="s">
        <v>71</v>
      </c>
      <c r="D887" s="70" t="s">
        <v>310</v>
      </c>
      <c r="E887" s="69" t="s">
        <v>4640</v>
      </c>
      <c r="F887" s="69"/>
      <c r="G887" s="69" t="s">
        <v>63</v>
      </c>
      <c r="H887" s="70">
        <v>2023</v>
      </c>
      <c r="I887" s="69" t="s">
        <v>63</v>
      </c>
      <c r="J887" s="69" t="s">
        <v>4641</v>
      </c>
      <c r="K887" s="71" t="s">
        <v>4642</v>
      </c>
      <c r="L887" s="71" t="s">
        <v>4643</v>
      </c>
      <c r="M887" s="71" t="s">
        <v>63</v>
      </c>
      <c r="N887" s="69" t="s">
        <v>44</v>
      </c>
      <c r="O887" s="64">
        <v>1</v>
      </c>
      <c r="P887" s="72">
        <v>470900000</v>
      </c>
      <c r="Q887" s="69" t="s">
        <v>4644</v>
      </c>
      <c r="R887" s="69"/>
      <c r="S887" s="121" t="s">
        <v>4473</v>
      </c>
      <c r="T887" s="56">
        <v>24</v>
      </c>
      <c r="U887" s="56">
        <v>4</v>
      </c>
    </row>
    <row r="888" spans="1:21" ht="14.25" customHeight="1" thickBot="1" x14ac:dyDescent="0.4">
      <c r="A888" s="58">
        <v>872</v>
      </c>
      <c r="B888" s="69" t="s">
        <v>70</v>
      </c>
      <c r="C888" s="69" t="s">
        <v>71</v>
      </c>
      <c r="D888" s="70" t="s">
        <v>319</v>
      </c>
      <c r="E888" s="69" t="s">
        <v>2501</v>
      </c>
      <c r="F888" s="69" t="s">
        <v>1683</v>
      </c>
      <c r="G888" s="69" t="s">
        <v>140</v>
      </c>
      <c r="H888" s="70">
        <v>2017</v>
      </c>
      <c r="I888" s="69" t="s">
        <v>63</v>
      </c>
      <c r="J888" s="69" t="s">
        <v>4645</v>
      </c>
      <c r="K888" s="71" t="s">
        <v>4646</v>
      </c>
      <c r="L888" s="71" t="s">
        <v>4647</v>
      </c>
      <c r="M888" s="71" t="s">
        <v>4648</v>
      </c>
      <c r="N888" s="69" t="s">
        <v>57</v>
      </c>
      <c r="O888" s="64">
        <v>1</v>
      </c>
      <c r="P888" s="72">
        <v>399250000</v>
      </c>
      <c r="Q888" s="69" t="s">
        <v>646</v>
      </c>
      <c r="R888" s="69"/>
      <c r="S888" s="121" t="s">
        <v>4473</v>
      </c>
      <c r="T888" s="56">
        <v>24</v>
      </c>
      <c r="U888" s="56">
        <v>4</v>
      </c>
    </row>
    <row r="889" spans="1:21" ht="14.25" customHeight="1" x14ac:dyDescent="0.35">
      <c r="A889" s="47">
        <v>873</v>
      </c>
      <c r="B889" s="69" t="s">
        <v>70</v>
      </c>
      <c r="C889" s="69" t="s">
        <v>71</v>
      </c>
      <c r="D889" s="70" t="s">
        <v>359</v>
      </c>
      <c r="E889" s="69" t="s">
        <v>4649</v>
      </c>
      <c r="F889" s="69">
        <v>2393</v>
      </c>
      <c r="G889" s="69" t="s">
        <v>63</v>
      </c>
      <c r="H889" s="70">
        <v>2025</v>
      </c>
      <c r="I889" s="69" t="s">
        <v>63</v>
      </c>
      <c r="J889" s="69" t="s">
        <v>4650</v>
      </c>
      <c r="K889" s="71" t="s">
        <v>4651</v>
      </c>
      <c r="L889" s="71" t="s">
        <v>4652</v>
      </c>
      <c r="M889" s="71" t="s">
        <v>4653</v>
      </c>
      <c r="N889" s="69" t="s">
        <v>44</v>
      </c>
      <c r="O889" s="64">
        <v>1</v>
      </c>
      <c r="P889" s="72">
        <v>493491876</v>
      </c>
      <c r="Q889" s="69" t="s">
        <v>4654</v>
      </c>
      <c r="R889" s="69"/>
      <c r="S889" s="121" t="s">
        <v>4473</v>
      </c>
      <c r="T889" s="56">
        <v>24</v>
      </c>
      <c r="U889" s="56">
        <v>4</v>
      </c>
    </row>
    <row r="890" spans="1:21" ht="14.25" customHeight="1" thickBot="1" x14ac:dyDescent="0.4">
      <c r="A890" s="58">
        <v>874</v>
      </c>
      <c r="B890" s="69" t="s">
        <v>70</v>
      </c>
      <c r="C890" s="69" t="s">
        <v>71</v>
      </c>
      <c r="D890" s="70" t="s">
        <v>366</v>
      </c>
      <c r="E890" s="69" t="s">
        <v>4655</v>
      </c>
      <c r="F890" s="69">
        <v>2393</v>
      </c>
      <c r="G890" s="69" t="s">
        <v>63</v>
      </c>
      <c r="H890" s="70">
        <v>2025</v>
      </c>
      <c r="I890" s="69" t="s">
        <v>63</v>
      </c>
      <c r="J890" s="69" t="s">
        <v>4656</v>
      </c>
      <c r="K890" s="71" t="s">
        <v>4657</v>
      </c>
      <c r="L890" s="71" t="s">
        <v>4658</v>
      </c>
      <c r="M890" s="71" t="s">
        <v>4659</v>
      </c>
      <c r="N890" s="69" t="s">
        <v>44</v>
      </c>
      <c r="O890" s="64">
        <v>1</v>
      </c>
      <c r="P890" s="72">
        <v>539308124</v>
      </c>
      <c r="Q890" s="69" t="s">
        <v>4654</v>
      </c>
      <c r="R890" s="69"/>
      <c r="S890" s="121" t="s">
        <v>4473</v>
      </c>
      <c r="T890" s="56">
        <v>24</v>
      </c>
      <c r="U890" s="56">
        <v>4</v>
      </c>
    </row>
    <row r="891" spans="1:21" ht="14.25" customHeight="1" x14ac:dyDescent="0.35">
      <c r="A891" s="47">
        <v>875</v>
      </c>
      <c r="B891" s="69" t="s">
        <v>79</v>
      </c>
      <c r="C891" s="69" t="s">
        <v>80</v>
      </c>
      <c r="D891" s="70" t="s">
        <v>51</v>
      </c>
      <c r="E891" s="69" t="s">
        <v>3779</v>
      </c>
      <c r="F891" s="69" t="s">
        <v>88</v>
      </c>
      <c r="G891" s="69" t="s">
        <v>140</v>
      </c>
      <c r="H891" s="70">
        <v>2018</v>
      </c>
      <c r="I891" s="69" t="s">
        <v>63</v>
      </c>
      <c r="J891" s="69" t="s">
        <v>4660</v>
      </c>
      <c r="K891" s="71" t="s">
        <v>4661</v>
      </c>
      <c r="L891" s="71" t="s">
        <v>4662</v>
      </c>
      <c r="M891" s="71" t="s">
        <v>4663</v>
      </c>
      <c r="N891" s="69" t="s">
        <v>57</v>
      </c>
      <c r="O891" s="64">
        <v>1</v>
      </c>
      <c r="P891" s="72">
        <v>19471200</v>
      </c>
      <c r="Q891" s="69" t="s">
        <v>4664</v>
      </c>
      <c r="R891" s="69"/>
      <c r="S891" s="121" t="s">
        <v>4473</v>
      </c>
      <c r="T891" s="56">
        <v>24</v>
      </c>
      <c r="U891" s="56">
        <v>3</v>
      </c>
    </row>
    <row r="892" spans="1:21" ht="14.25" customHeight="1" thickBot="1" x14ac:dyDescent="0.4">
      <c r="A892" s="58">
        <v>876</v>
      </c>
      <c r="B892" s="69" t="s">
        <v>79</v>
      </c>
      <c r="C892" s="69" t="s">
        <v>80</v>
      </c>
      <c r="D892" s="70" t="s">
        <v>59</v>
      </c>
      <c r="E892" s="69" t="s">
        <v>4665</v>
      </c>
      <c r="F892" s="69" t="s">
        <v>148</v>
      </c>
      <c r="G892" s="69" t="s">
        <v>140</v>
      </c>
      <c r="H892" s="70">
        <v>2018</v>
      </c>
      <c r="I892" s="69" t="s">
        <v>63</v>
      </c>
      <c r="J892" s="69" t="s">
        <v>4666</v>
      </c>
      <c r="K892" s="71" t="s">
        <v>4667</v>
      </c>
      <c r="L892" s="71" t="s">
        <v>4668</v>
      </c>
      <c r="M892" s="71" t="s">
        <v>4669</v>
      </c>
      <c r="N892" s="69" t="s">
        <v>57</v>
      </c>
      <c r="O892" s="64">
        <v>1</v>
      </c>
      <c r="P892" s="72">
        <v>22623000</v>
      </c>
      <c r="Q892" s="69" t="s">
        <v>4670</v>
      </c>
      <c r="R892" s="69"/>
      <c r="S892" s="121" t="s">
        <v>4473</v>
      </c>
      <c r="T892" s="56">
        <v>24</v>
      </c>
      <c r="U892" s="56">
        <v>3</v>
      </c>
    </row>
    <row r="893" spans="1:21" ht="14.25" customHeight="1" x14ac:dyDescent="0.35">
      <c r="A893" s="47">
        <v>877</v>
      </c>
      <c r="B893" s="69" t="s">
        <v>79</v>
      </c>
      <c r="C893" s="69" t="s">
        <v>80</v>
      </c>
      <c r="D893" s="70" t="s">
        <v>97</v>
      </c>
      <c r="E893" s="69" t="s">
        <v>4665</v>
      </c>
      <c r="F893" s="69" t="s">
        <v>148</v>
      </c>
      <c r="G893" s="69" t="s">
        <v>140</v>
      </c>
      <c r="H893" s="70">
        <v>2018</v>
      </c>
      <c r="I893" s="69" t="s">
        <v>63</v>
      </c>
      <c r="J893" s="69" t="s">
        <v>4671</v>
      </c>
      <c r="K893" s="71" t="s">
        <v>4672</v>
      </c>
      <c r="L893" s="71" t="s">
        <v>4673</v>
      </c>
      <c r="M893" s="71" t="s">
        <v>4674</v>
      </c>
      <c r="N893" s="69" t="s">
        <v>57</v>
      </c>
      <c r="O893" s="64">
        <v>1</v>
      </c>
      <c r="P893" s="72">
        <v>22623000</v>
      </c>
      <c r="Q893" s="69" t="s">
        <v>4675</v>
      </c>
      <c r="R893" s="69"/>
      <c r="S893" s="121" t="s">
        <v>4473</v>
      </c>
      <c r="T893" s="56">
        <v>24</v>
      </c>
      <c r="U893" s="56">
        <v>3</v>
      </c>
    </row>
    <row r="894" spans="1:21" ht="14.25" customHeight="1" thickBot="1" x14ac:dyDescent="0.4">
      <c r="A894" s="58">
        <v>878</v>
      </c>
      <c r="B894" s="69" t="s">
        <v>79</v>
      </c>
      <c r="C894" s="69" t="s">
        <v>80</v>
      </c>
      <c r="D894" s="70" t="s">
        <v>101</v>
      </c>
      <c r="E894" s="69" t="s">
        <v>4665</v>
      </c>
      <c r="F894" s="69" t="s">
        <v>148</v>
      </c>
      <c r="G894" s="69" t="s">
        <v>140</v>
      </c>
      <c r="H894" s="70">
        <v>2018</v>
      </c>
      <c r="I894" s="69" t="s">
        <v>63</v>
      </c>
      <c r="J894" s="69" t="s">
        <v>4676</v>
      </c>
      <c r="K894" s="71" t="s">
        <v>4677</v>
      </c>
      <c r="L894" s="71" t="s">
        <v>4678</v>
      </c>
      <c r="M894" s="71" t="s">
        <v>4679</v>
      </c>
      <c r="N894" s="69" t="s">
        <v>57</v>
      </c>
      <c r="O894" s="64">
        <v>1</v>
      </c>
      <c r="P894" s="72">
        <v>22623000</v>
      </c>
      <c r="Q894" s="69" t="s">
        <v>4680</v>
      </c>
      <c r="R894" s="69"/>
      <c r="S894" s="121" t="s">
        <v>4473</v>
      </c>
      <c r="T894" s="56">
        <v>24</v>
      </c>
      <c r="U894" s="56">
        <v>3</v>
      </c>
    </row>
    <row r="895" spans="1:21" ht="14.25" customHeight="1" x14ac:dyDescent="0.35">
      <c r="A895" s="47">
        <v>879</v>
      </c>
      <c r="B895" s="69" t="s">
        <v>79</v>
      </c>
      <c r="C895" s="69" t="s">
        <v>80</v>
      </c>
      <c r="D895" s="70" t="s">
        <v>107</v>
      </c>
      <c r="E895" s="69" t="s">
        <v>4665</v>
      </c>
      <c r="F895" s="69" t="s">
        <v>148</v>
      </c>
      <c r="G895" s="69" t="s">
        <v>140</v>
      </c>
      <c r="H895" s="70">
        <v>2018</v>
      </c>
      <c r="I895" s="69" t="s">
        <v>63</v>
      </c>
      <c r="J895" s="69" t="s">
        <v>4681</v>
      </c>
      <c r="K895" s="71" t="s">
        <v>4682</v>
      </c>
      <c r="L895" s="71" t="s">
        <v>4683</v>
      </c>
      <c r="M895" s="71" t="s">
        <v>4684</v>
      </c>
      <c r="N895" s="69" t="s">
        <v>57</v>
      </c>
      <c r="O895" s="64">
        <v>1</v>
      </c>
      <c r="P895" s="72">
        <v>22623000</v>
      </c>
      <c r="Q895" s="69" t="s">
        <v>4685</v>
      </c>
      <c r="R895" s="69"/>
      <c r="S895" s="121" t="s">
        <v>4473</v>
      </c>
      <c r="T895" s="56">
        <v>24</v>
      </c>
      <c r="U895" s="56">
        <v>3</v>
      </c>
    </row>
    <row r="896" spans="1:21" ht="14.25" customHeight="1" thickBot="1" x14ac:dyDescent="0.4">
      <c r="A896" s="58">
        <v>880</v>
      </c>
      <c r="B896" s="69" t="s">
        <v>79</v>
      </c>
      <c r="C896" s="69" t="s">
        <v>80</v>
      </c>
      <c r="D896" s="70" t="s">
        <v>112</v>
      </c>
      <c r="E896" s="69" t="s">
        <v>1383</v>
      </c>
      <c r="F896" s="69" t="s">
        <v>163</v>
      </c>
      <c r="G896" s="69" t="s">
        <v>140</v>
      </c>
      <c r="H896" s="70">
        <v>2015</v>
      </c>
      <c r="I896" s="69"/>
      <c r="J896" s="69" t="s">
        <v>4686</v>
      </c>
      <c r="K896" s="71" t="s">
        <v>4687</v>
      </c>
      <c r="L896" s="71" t="s">
        <v>4688</v>
      </c>
      <c r="M896" s="71" t="s">
        <v>4689</v>
      </c>
      <c r="N896" s="69" t="s">
        <v>57</v>
      </c>
      <c r="O896" s="64">
        <v>1</v>
      </c>
      <c r="P896" s="72">
        <v>14962333</v>
      </c>
      <c r="Q896" s="69" t="s">
        <v>4690</v>
      </c>
      <c r="R896" s="69"/>
      <c r="S896" s="121" t="s">
        <v>4473</v>
      </c>
      <c r="T896" s="56">
        <v>24</v>
      </c>
      <c r="U896" s="56">
        <v>3</v>
      </c>
    </row>
    <row r="897" spans="1:21" ht="14.25" customHeight="1" x14ac:dyDescent="0.35">
      <c r="A897" s="47">
        <v>881</v>
      </c>
      <c r="B897" s="69" t="s">
        <v>79</v>
      </c>
      <c r="C897" s="69" t="s">
        <v>80</v>
      </c>
      <c r="D897" s="70" t="s">
        <v>116</v>
      </c>
      <c r="E897" s="69" t="s">
        <v>4038</v>
      </c>
      <c r="F897" s="69" t="s">
        <v>4039</v>
      </c>
      <c r="G897" s="69" t="s">
        <v>140</v>
      </c>
      <c r="H897" s="70">
        <v>2015</v>
      </c>
      <c r="I897" s="69"/>
      <c r="J897" s="69" t="s">
        <v>4691</v>
      </c>
      <c r="K897" s="71" t="s">
        <v>4692</v>
      </c>
      <c r="L897" s="71" t="s">
        <v>4693</v>
      </c>
      <c r="M897" s="71" t="s">
        <v>4694</v>
      </c>
      <c r="N897" s="69" t="s">
        <v>57</v>
      </c>
      <c r="O897" s="64">
        <v>1</v>
      </c>
      <c r="P897" s="72">
        <v>18976000</v>
      </c>
      <c r="Q897" s="69" t="s">
        <v>4695</v>
      </c>
      <c r="R897" s="69"/>
      <c r="S897" s="121" t="s">
        <v>4473</v>
      </c>
      <c r="T897" s="56">
        <v>24</v>
      </c>
      <c r="U897" s="56">
        <v>3</v>
      </c>
    </row>
    <row r="898" spans="1:21" ht="14.25" customHeight="1" thickBot="1" x14ac:dyDescent="0.4">
      <c r="A898" s="58">
        <v>882</v>
      </c>
      <c r="B898" s="69" t="s">
        <v>79</v>
      </c>
      <c r="C898" s="69" t="s">
        <v>80</v>
      </c>
      <c r="D898" s="70" t="s">
        <v>841</v>
      </c>
      <c r="E898" s="69" t="s">
        <v>4038</v>
      </c>
      <c r="F898" s="69" t="s">
        <v>4039</v>
      </c>
      <c r="G898" s="69" t="s">
        <v>140</v>
      </c>
      <c r="H898" s="70">
        <v>2015</v>
      </c>
      <c r="I898" s="69"/>
      <c r="J898" s="69" t="s">
        <v>4696</v>
      </c>
      <c r="K898" s="71" t="s">
        <v>4697</v>
      </c>
      <c r="L898" s="71" t="s">
        <v>4698</v>
      </c>
      <c r="M898" s="71" t="s">
        <v>4699</v>
      </c>
      <c r="N898" s="69" t="s">
        <v>57</v>
      </c>
      <c r="O898" s="64">
        <v>1</v>
      </c>
      <c r="P898" s="72">
        <v>18976000</v>
      </c>
      <c r="Q898" s="69" t="s">
        <v>4700</v>
      </c>
      <c r="R898" s="69"/>
      <c r="S898" s="121" t="s">
        <v>4473</v>
      </c>
      <c r="T898" s="56">
        <v>24</v>
      </c>
      <c r="U898" s="56">
        <v>3</v>
      </c>
    </row>
    <row r="899" spans="1:21" ht="14.25" customHeight="1" x14ac:dyDescent="0.35">
      <c r="A899" s="47">
        <v>883</v>
      </c>
      <c r="B899" s="69" t="s">
        <v>79</v>
      </c>
      <c r="C899" s="69" t="s">
        <v>80</v>
      </c>
      <c r="D899" s="70" t="s">
        <v>904</v>
      </c>
      <c r="E899" s="69" t="s">
        <v>147</v>
      </c>
      <c r="F899" s="69" t="s">
        <v>148</v>
      </c>
      <c r="G899" s="69" t="s">
        <v>140</v>
      </c>
      <c r="H899" s="70">
        <v>2015</v>
      </c>
      <c r="I899" s="69"/>
      <c r="J899" s="69" t="s">
        <v>4701</v>
      </c>
      <c r="K899" s="71" t="s">
        <v>4702</v>
      </c>
      <c r="L899" s="71" t="s">
        <v>4703</v>
      </c>
      <c r="M899" s="71" t="s">
        <v>4704</v>
      </c>
      <c r="N899" s="69" t="s">
        <v>57</v>
      </c>
      <c r="O899" s="64">
        <v>1</v>
      </c>
      <c r="P899" s="72">
        <v>19430000</v>
      </c>
      <c r="Q899" s="69" t="s">
        <v>4705</v>
      </c>
      <c r="R899" s="69"/>
      <c r="S899" s="121" t="s">
        <v>4473</v>
      </c>
      <c r="T899" s="56">
        <v>24</v>
      </c>
      <c r="U899" s="56">
        <v>3</v>
      </c>
    </row>
    <row r="900" spans="1:21" ht="14.25" customHeight="1" thickBot="1" x14ac:dyDescent="0.4">
      <c r="A900" s="58">
        <v>884</v>
      </c>
      <c r="B900" s="69" t="s">
        <v>79</v>
      </c>
      <c r="C900" s="69" t="s">
        <v>80</v>
      </c>
      <c r="D900" s="70" t="s">
        <v>132</v>
      </c>
      <c r="E900" s="69" t="s">
        <v>1110</v>
      </c>
      <c r="F900" s="69" t="s">
        <v>163</v>
      </c>
      <c r="G900" s="69" t="s">
        <v>140</v>
      </c>
      <c r="H900" s="70">
        <v>2017</v>
      </c>
      <c r="I900" s="69" t="s">
        <v>63</v>
      </c>
      <c r="J900" s="69" t="s">
        <v>4706</v>
      </c>
      <c r="K900" s="71" t="s">
        <v>4707</v>
      </c>
      <c r="L900" s="71" t="s">
        <v>4708</v>
      </c>
      <c r="M900" s="71" t="s">
        <v>4709</v>
      </c>
      <c r="N900" s="69" t="s">
        <v>57</v>
      </c>
      <c r="O900" s="64">
        <v>1</v>
      </c>
      <c r="P900" s="72">
        <v>15846600</v>
      </c>
      <c r="Q900" s="69" t="s">
        <v>4710</v>
      </c>
      <c r="R900" s="69"/>
      <c r="S900" s="121" t="s">
        <v>4473</v>
      </c>
      <c r="T900" s="56">
        <v>24</v>
      </c>
      <c r="U900" s="56">
        <v>3</v>
      </c>
    </row>
    <row r="901" spans="1:21" ht="14.25" customHeight="1" x14ac:dyDescent="0.35">
      <c r="A901" s="47">
        <v>885</v>
      </c>
      <c r="B901" s="69" t="s">
        <v>79</v>
      </c>
      <c r="C901" s="69" t="s">
        <v>80</v>
      </c>
      <c r="D901" s="70" t="s">
        <v>137</v>
      </c>
      <c r="E901" s="69" t="s">
        <v>1110</v>
      </c>
      <c r="F901" s="69" t="s">
        <v>163</v>
      </c>
      <c r="G901" s="69" t="s">
        <v>140</v>
      </c>
      <c r="H901" s="70">
        <v>2017</v>
      </c>
      <c r="I901" s="69" t="s">
        <v>63</v>
      </c>
      <c r="J901" s="69" t="s">
        <v>4711</v>
      </c>
      <c r="K901" s="71" t="s">
        <v>4712</v>
      </c>
      <c r="L901" s="71" t="s">
        <v>4713</v>
      </c>
      <c r="M901" s="71" t="s">
        <v>4714</v>
      </c>
      <c r="N901" s="69" t="s">
        <v>57</v>
      </c>
      <c r="O901" s="64">
        <v>1</v>
      </c>
      <c r="P901" s="72">
        <v>15846600</v>
      </c>
      <c r="Q901" s="69" t="s">
        <v>4715</v>
      </c>
      <c r="R901" s="69"/>
      <c r="S901" s="121" t="s">
        <v>4473</v>
      </c>
      <c r="T901" s="56">
        <v>24</v>
      </c>
      <c r="U901" s="56">
        <v>3</v>
      </c>
    </row>
    <row r="902" spans="1:21" ht="14.25" customHeight="1" thickBot="1" x14ac:dyDescent="0.4">
      <c r="A902" s="58">
        <v>886</v>
      </c>
      <c r="B902" s="69" t="s">
        <v>79</v>
      </c>
      <c r="C902" s="69" t="s">
        <v>80</v>
      </c>
      <c r="D902" s="70" t="s">
        <v>146</v>
      </c>
      <c r="E902" s="69" t="s">
        <v>1110</v>
      </c>
      <c r="F902" s="69" t="s">
        <v>163</v>
      </c>
      <c r="G902" s="69" t="s">
        <v>140</v>
      </c>
      <c r="H902" s="70">
        <v>2017</v>
      </c>
      <c r="I902" s="69" t="s">
        <v>63</v>
      </c>
      <c r="J902" s="69" t="s">
        <v>4716</v>
      </c>
      <c r="K902" s="71" t="s">
        <v>4717</v>
      </c>
      <c r="L902" s="71" t="s">
        <v>4718</v>
      </c>
      <c r="M902" s="71" t="s">
        <v>4719</v>
      </c>
      <c r="N902" s="69" t="s">
        <v>57</v>
      </c>
      <c r="O902" s="64">
        <v>1</v>
      </c>
      <c r="P902" s="72">
        <v>15846600</v>
      </c>
      <c r="Q902" s="69" t="s">
        <v>4720</v>
      </c>
      <c r="R902" s="69"/>
      <c r="S902" s="121" t="s">
        <v>4473</v>
      </c>
      <c r="T902" s="56">
        <v>24</v>
      </c>
      <c r="U902" s="56">
        <v>3</v>
      </c>
    </row>
    <row r="903" spans="1:21" ht="14.25" customHeight="1" x14ac:dyDescent="0.35">
      <c r="A903" s="47">
        <v>887</v>
      </c>
      <c r="B903" s="69" t="s">
        <v>79</v>
      </c>
      <c r="C903" s="69" t="s">
        <v>80</v>
      </c>
      <c r="D903" s="70" t="s">
        <v>154</v>
      </c>
      <c r="E903" s="69" t="s">
        <v>1110</v>
      </c>
      <c r="F903" s="69" t="s">
        <v>163</v>
      </c>
      <c r="G903" s="69" t="s">
        <v>140</v>
      </c>
      <c r="H903" s="70">
        <v>2017</v>
      </c>
      <c r="I903" s="69" t="s">
        <v>63</v>
      </c>
      <c r="J903" s="69" t="s">
        <v>4721</v>
      </c>
      <c r="K903" s="71" t="s">
        <v>4722</v>
      </c>
      <c r="L903" s="71" t="s">
        <v>4723</v>
      </c>
      <c r="M903" s="71" t="s">
        <v>4724</v>
      </c>
      <c r="N903" s="69" t="s">
        <v>57</v>
      </c>
      <c r="O903" s="64">
        <v>1</v>
      </c>
      <c r="P903" s="72">
        <v>15846600</v>
      </c>
      <c r="Q903" s="69" t="s">
        <v>4725</v>
      </c>
      <c r="R903" s="69"/>
      <c r="S903" s="121" t="s">
        <v>4473</v>
      </c>
      <c r="T903" s="56">
        <v>24</v>
      </c>
      <c r="U903" s="56">
        <v>3</v>
      </c>
    </row>
    <row r="904" spans="1:21" ht="14.25" customHeight="1" thickBot="1" x14ac:dyDescent="0.4">
      <c r="A904" s="58">
        <v>888</v>
      </c>
      <c r="B904" s="69" t="s">
        <v>79</v>
      </c>
      <c r="C904" s="69" t="s">
        <v>80</v>
      </c>
      <c r="D904" s="70" t="s">
        <v>161</v>
      </c>
      <c r="E904" s="69" t="s">
        <v>1110</v>
      </c>
      <c r="F904" s="69" t="s">
        <v>163</v>
      </c>
      <c r="G904" s="69" t="s">
        <v>140</v>
      </c>
      <c r="H904" s="70">
        <v>2017</v>
      </c>
      <c r="I904" s="69" t="s">
        <v>63</v>
      </c>
      <c r="J904" s="69" t="s">
        <v>4726</v>
      </c>
      <c r="K904" s="71" t="s">
        <v>4727</v>
      </c>
      <c r="L904" s="71" t="s">
        <v>4728</v>
      </c>
      <c r="M904" s="71" t="s">
        <v>4729</v>
      </c>
      <c r="N904" s="69" t="s">
        <v>57</v>
      </c>
      <c r="O904" s="64">
        <v>1</v>
      </c>
      <c r="P904" s="72">
        <v>15846600</v>
      </c>
      <c r="Q904" s="69" t="s">
        <v>4730</v>
      </c>
      <c r="R904" s="69"/>
      <c r="S904" s="121" t="s">
        <v>4473</v>
      </c>
      <c r="T904" s="56">
        <v>24</v>
      </c>
      <c r="U904" s="56">
        <v>3</v>
      </c>
    </row>
    <row r="905" spans="1:21" ht="14.25" customHeight="1" x14ac:dyDescent="0.35">
      <c r="A905" s="47">
        <v>889</v>
      </c>
      <c r="B905" s="69" t="s">
        <v>79</v>
      </c>
      <c r="C905" s="69" t="s">
        <v>80</v>
      </c>
      <c r="D905" s="70" t="s">
        <v>169</v>
      </c>
      <c r="E905" s="69" t="s">
        <v>1110</v>
      </c>
      <c r="F905" s="69" t="s">
        <v>163</v>
      </c>
      <c r="G905" s="69" t="s">
        <v>140</v>
      </c>
      <c r="H905" s="70">
        <v>2017</v>
      </c>
      <c r="I905" s="69" t="s">
        <v>63</v>
      </c>
      <c r="J905" s="69" t="s">
        <v>4731</v>
      </c>
      <c r="K905" s="71" t="s">
        <v>4732</v>
      </c>
      <c r="L905" s="71" t="s">
        <v>4733</v>
      </c>
      <c r="M905" s="71" t="s">
        <v>4734</v>
      </c>
      <c r="N905" s="69" t="s">
        <v>57</v>
      </c>
      <c r="O905" s="64">
        <v>1</v>
      </c>
      <c r="P905" s="72">
        <v>15846600</v>
      </c>
      <c r="Q905" s="69" t="s">
        <v>4735</v>
      </c>
      <c r="R905" s="69"/>
      <c r="S905" s="121" t="s">
        <v>4473</v>
      </c>
      <c r="T905" s="56">
        <v>24</v>
      </c>
      <c r="U905" s="56">
        <v>3</v>
      </c>
    </row>
    <row r="906" spans="1:21" ht="14.25" customHeight="1" thickBot="1" x14ac:dyDescent="0.4">
      <c r="A906" s="58">
        <v>890</v>
      </c>
      <c r="B906" s="69" t="s">
        <v>79</v>
      </c>
      <c r="C906" s="69" t="s">
        <v>80</v>
      </c>
      <c r="D906" s="70" t="s">
        <v>176</v>
      </c>
      <c r="E906" s="69" t="s">
        <v>1383</v>
      </c>
      <c r="F906" s="69" t="s">
        <v>163</v>
      </c>
      <c r="G906" s="69" t="s">
        <v>140</v>
      </c>
      <c r="H906" s="70">
        <v>2015</v>
      </c>
      <c r="I906" s="69"/>
      <c r="J906" s="69" t="s">
        <v>4736</v>
      </c>
      <c r="K906" s="71" t="s">
        <v>4737</v>
      </c>
      <c r="L906" s="71" t="s">
        <v>4738</v>
      </c>
      <c r="M906" s="71" t="s">
        <v>4739</v>
      </c>
      <c r="N906" s="69" t="s">
        <v>57</v>
      </c>
      <c r="O906" s="64">
        <v>1</v>
      </c>
      <c r="P906" s="72">
        <v>14962333</v>
      </c>
      <c r="Q906" s="69" t="s">
        <v>4740</v>
      </c>
      <c r="R906" s="69"/>
      <c r="S906" s="121" t="s">
        <v>4473</v>
      </c>
      <c r="T906" s="56">
        <v>24</v>
      </c>
      <c r="U906" s="56">
        <v>3</v>
      </c>
    </row>
    <row r="907" spans="1:21" ht="14.25" customHeight="1" x14ac:dyDescent="0.35">
      <c r="A907" s="47">
        <v>891</v>
      </c>
      <c r="B907" s="69" t="s">
        <v>79</v>
      </c>
      <c r="C907" s="69" t="s">
        <v>80</v>
      </c>
      <c r="D907" s="70" t="s">
        <v>1236</v>
      </c>
      <c r="E907" s="69" t="s">
        <v>1383</v>
      </c>
      <c r="F907" s="69" t="s">
        <v>163</v>
      </c>
      <c r="G907" s="69" t="s">
        <v>140</v>
      </c>
      <c r="H907" s="70">
        <v>2015</v>
      </c>
      <c r="I907" s="69"/>
      <c r="J907" s="69" t="s">
        <v>4741</v>
      </c>
      <c r="K907" s="71" t="s">
        <v>4742</v>
      </c>
      <c r="L907" s="71" t="s">
        <v>4743</v>
      </c>
      <c r="M907" s="71" t="s">
        <v>4744</v>
      </c>
      <c r="N907" s="69" t="s">
        <v>57</v>
      </c>
      <c r="O907" s="64">
        <v>1</v>
      </c>
      <c r="P907" s="72">
        <v>14962333</v>
      </c>
      <c r="Q907" s="69" t="s">
        <v>4745</v>
      </c>
      <c r="R907" s="69"/>
      <c r="S907" s="121" t="s">
        <v>4473</v>
      </c>
      <c r="T907" s="56">
        <v>24</v>
      </c>
      <c r="U907" s="56">
        <v>3</v>
      </c>
    </row>
    <row r="908" spans="1:21" ht="14.25" customHeight="1" thickBot="1" x14ac:dyDescent="0.4">
      <c r="A908" s="58">
        <v>892</v>
      </c>
      <c r="B908" s="69" t="s">
        <v>79</v>
      </c>
      <c r="C908" s="69" t="s">
        <v>80</v>
      </c>
      <c r="D908" s="70" t="s">
        <v>181</v>
      </c>
      <c r="E908" s="69" t="s">
        <v>1383</v>
      </c>
      <c r="F908" s="69" t="s">
        <v>163</v>
      </c>
      <c r="G908" s="69" t="s">
        <v>140</v>
      </c>
      <c r="H908" s="70">
        <v>2015</v>
      </c>
      <c r="I908" s="69"/>
      <c r="J908" s="69" t="s">
        <v>4746</v>
      </c>
      <c r="K908" s="71" t="s">
        <v>4747</v>
      </c>
      <c r="L908" s="71" t="s">
        <v>4748</v>
      </c>
      <c r="M908" s="71" t="s">
        <v>4749</v>
      </c>
      <c r="N908" s="69" t="s">
        <v>57</v>
      </c>
      <c r="O908" s="64">
        <v>1</v>
      </c>
      <c r="P908" s="72">
        <v>14962333</v>
      </c>
      <c r="Q908" s="69" t="s">
        <v>4750</v>
      </c>
      <c r="R908" s="69"/>
      <c r="S908" s="121" t="s">
        <v>4473</v>
      </c>
      <c r="T908" s="56">
        <v>24</v>
      </c>
      <c r="U908" s="56">
        <v>3</v>
      </c>
    </row>
    <row r="909" spans="1:21" ht="14.25" customHeight="1" x14ac:dyDescent="0.35">
      <c r="A909" s="47">
        <v>893</v>
      </c>
      <c r="B909" s="69" t="s">
        <v>79</v>
      </c>
      <c r="C909" s="69" t="s">
        <v>80</v>
      </c>
      <c r="D909" s="70" t="s">
        <v>187</v>
      </c>
      <c r="E909" s="69" t="s">
        <v>1383</v>
      </c>
      <c r="F909" s="69" t="s">
        <v>163</v>
      </c>
      <c r="G909" s="69" t="s">
        <v>140</v>
      </c>
      <c r="H909" s="70">
        <v>2015</v>
      </c>
      <c r="I909" s="69"/>
      <c r="J909" s="69" t="s">
        <v>4751</v>
      </c>
      <c r="K909" s="71" t="s">
        <v>4752</v>
      </c>
      <c r="L909" s="71" t="s">
        <v>4753</v>
      </c>
      <c r="M909" s="71" t="s">
        <v>4754</v>
      </c>
      <c r="N909" s="69" t="s">
        <v>57</v>
      </c>
      <c r="O909" s="64">
        <v>1</v>
      </c>
      <c r="P909" s="72">
        <v>14962333</v>
      </c>
      <c r="Q909" s="69" t="s">
        <v>4755</v>
      </c>
      <c r="R909" s="69"/>
      <c r="S909" s="121" t="s">
        <v>4473</v>
      </c>
      <c r="T909" s="56">
        <v>24</v>
      </c>
      <c r="U909" s="56">
        <v>3</v>
      </c>
    </row>
    <row r="910" spans="1:21" ht="14.25" customHeight="1" thickBot="1" x14ac:dyDescent="0.4">
      <c r="A910" s="58">
        <v>894</v>
      </c>
      <c r="B910" s="69" t="s">
        <v>79</v>
      </c>
      <c r="C910" s="69" t="s">
        <v>80</v>
      </c>
      <c r="D910" s="70" t="s">
        <v>190</v>
      </c>
      <c r="E910" s="69" t="s">
        <v>4756</v>
      </c>
      <c r="F910" s="69" t="s">
        <v>2386</v>
      </c>
      <c r="G910" s="69" t="s">
        <v>54</v>
      </c>
      <c r="H910" s="70">
        <v>2012</v>
      </c>
      <c r="I910" s="69"/>
      <c r="J910" s="69" t="s">
        <v>4757</v>
      </c>
      <c r="K910" s="71" t="s">
        <v>4758</v>
      </c>
      <c r="L910" s="71" t="s">
        <v>4759</v>
      </c>
      <c r="M910" s="71" t="s">
        <v>4760</v>
      </c>
      <c r="N910" s="69" t="s">
        <v>57</v>
      </c>
      <c r="O910" s="64">
        <v>1</v>
      </c>
      <c r="P910" s="72">
        <v>13587125</v>
      </c>
      <c r="Q910" s="69" t="s">
        <v>4761</v>
      </c>
      <c r="R910" s="69"/>
      <c r="S910" s="121" t="s">
        <v>4473</v>
      </c>
      <c r="T910" s="56">
        <v>24</v>
      </c>
      <c r="U910" s="56">
        <v>3</v>
      </c>
    </row>
    <row r="911" spans="1:21" ht="14.25" customHeight="1" x14ac:dyDescent="0.35">
      <c r="A911" s="47">
        <v>895</v>
      </c>
      <c r="B911" s="69" t="s">
        <v>79</v>
      </c>
      <c r="C911" s="69" t="s">
        <v>80</v>
      </c>
      <c r="D911" s="70" t="s">
        <v>194</v>
      </c>
      <c r="E911" s="69" t="s">
        <v>4756</v>
      </c>
      <c r="F911" s="69" t="s">
        <v>2386</v>
      </c>
      <c r="G911" s="69" t="s">
        <v>54</v>
      </c>
      <c r="H911" s="70">
        <v>2012</v>
      </c>
      <c r="I911" s="69"/>
      <c r="J911" s="69" t="s">
        <v>4762</v>
      </c>
      <c r="K911" s="71" t="s">
        <v>4763</v>
      </c>
      <c r="L911" s="71" t="s">
        <v>4764</v>
      </c>
      <c r="M911" s="71" t="s">
        <v>4765</v>
      </c>
      <c r="N911" s="69" t="s">
        <v>57</v>
      </c>
      <c r="O911" s="64">
        <v>1</v>
      </c>
      <c r="P911" s="72">
        <v>13587125</v>
      </c>
      <c r="Q911" s="69" t="s">
        <v>4766</v>
      </c>
      <c r="R911" s="69"/>
      <c r="S911" s="121" t="s">
        <v>4473</v>
      </c>
      <c r="T911" s="56">
        <v>24</v>
      </c>
      <c r="U911" s="56">
        <v>3</v>
      </c>
    </row>
    <row r="912" spans="1:21" ht="14.25" customHeight="1" thickBot="1" x14ac:dyDescent="0.4">
      <c r="A912" s="58">
        <v>896</v>
      </c>
      <c r="B912" s="69" t="s">
        <v>79</v>
      </c>
      <c r="C912" s="69" t="s">
        <v>80</v>
      </c>
      <c r="D912" s="70" t="s">
        <v>195</v>
      </c>
      <c r="E912" s="69" t="s">
        <v>4756</v>
      </c>
      <c r="F912" s="69" t="s">
        <v>2386</v>
      </c>
      <c r="G912" s="69" t="s">
        <v>54</v>
      </c>
      <c r="H912" s="70">
        <v>2012</v>
      </c>
      <c r="I912" s="69"/>
      <c r="J912" s="69" t="s">
        <v>4767</v>
      </c>
      <c r="K912" s="71" t="s">
        <v>4768</v>
      </c>
      <c r="L912" s="71" t="s">
        <v>4769</v>
      </c>
      <c r="M912" s="71" t="s">
        <v>4770</v>
      </c>
      <c r="N912" s="69" t="s">
        <v>57</v>
      </c>
      <c r="O912" s="64">
        <v>1</v>
      </c>
      <c r="P912" s="72">
        <v>13587125</v>
      </c>
      <c r="Q912" s="69" t="s">
        <v>4771</v>
      </c>
      <c r="R912" s="69"/>
      <c r="S912" s="121" t="s">
        <v>4473</v>
      </c>
      <c r="T912" s="56">
        <v>24</v>
      </c>
      <c r="U912" s="56">
        <v>3</v>
      </c>
    </row>
    <row r="913" spans="1:21" ht="14.25" customHeight="1" x14ac:dyDescent="0.35">
      <c r="A913" s="47">
        <v>897</v>
      </c>
      <c r="B913" s="69" t="s">
        <v>79</v>
      </c>
      <c r="C913" s="69" t="s">
        <v>80</v>
      </c>
      <c r="D913" s="70" t="s">
        <v>199</v>
      </c>
      <c r="E913" s="69" t="s">
        <v>3304</v>
      </c>
      <c r="F913" s="69" t="s">
        <v>443</v>
      </c>
      <c r="G913" s="69" t="s">
        <v>54</v>
      </c>
      <c r="H913" s="70">
        <v>2013</v>
      </c>
      <c r="I913" s="69" t="s">
        <v>63</v>
      </c>
      <c r="J913" s="69" t="s">
        <v>4772</v>
      </c>
      <c r="K913" s="71" t="s">
        <v>4773</v>
      </c>
      <c r="L913" s="71" t="s">
        <v>4774</v>
      </c>
      <c r="M913" s="71" t="s">
        <v>4775</v>
      </c>
      <c r="N913" s="69" t="s">
        <v>57</v>
      </c>
      <c r="O913" s="64">
        <v>1</v>
      </c>
      <c r="P913" s="72">
        <v>13055500</v>
      </c>
      <c r="Q913" s="69" t="s">
        <v>4776</v>
      </c>
      <c r="R913" s="69"/>
      <c r="S913" s="121" t="s">
        <v>4473</v>
      </c>
      <c r="T913" s="56">
        <v>24</v>
      </c>
      <c r="U913" s="56">
        <v>3</v>
      </c>
    </row>
    <row r="914" spans="1:21" ht="14.25" customHeight="1" thickBot="1" x14ac:dyDescent="0.4">
      <c r="A914" s="58">
        <v>898</v>
      </c>
      <c r="B914" s="69" t="s">
        <v>79</v>
      </c>
      <c r="C914" s="69" t="s">
        <v>80</v>
      </c>
      <c r="D914" s="70" t="s">
        <v>209</v>
      </c>
      <c r="E914" s="69" t="s">
        <v>2954</v>
      </c>
      <c r="F914" s="69" t="s">
        <v>231</v>
      </c>
      <c r="G914" s="69" t="s">
        <v>2955</v>
      </c>
      <c r="H914" s="70">
        <v>2014</v>
      </c>
      <c r="I914" s="69"/>
      <c r="J914" s="69" t="s">
        <v>4777</v>
      </c>
      <c r="K914" s="71" t="s">
        <v>4778</v>
      </c>
      <c r="L914" s="71" t="s">
        <v>4779</v>
      </c>
      <c r="M914" s="71" t="s">
        <v>4780</v>
      </c>
      <c r="N914" s="69" t="s">
        <v>57</v>
      </c>
      <c r="O914" s="64">
        <v>1</v>
      </c>
      <c r="P914" s="72">
        <v>27500000</v>
      </c>
      <c r="Q914" s="69" t="s">
        <v>4781</v>
      </c>
      <c r="R914" s="69"/>
      <c r="S914" s="121" t="s">
        <v>4473</v>
      </c>
      <c r="T914" s="56">
        <v>24</v>
      </c>
      <c r="U914" s="56">
        <v>3</v>
      </c>
    </row>
    <row r="915" spans="1:21" ht="14.25" customHeight="1" x14ac:dyDescent="0.35">
      <c r="A915" s="47">
        <v>899</v>
      </c>
      <c r="B915" s="69" t="s">
        <v>79</v>
      </c>
      <c r="C915" s="69" t="s">
        <v>80</v>
      </c>
      <c r="D915" s="70" t="s">
        <v>215</v>
      </c>
      <c r="E915" s="69" t="s">
        <v>3224</v>
      </c>
      <c r="F915" s="69"/>
      <c r="G915" s="69" t="s">
        <v>63</v>
      </c>
      <c r="H915" s="70">
        <v>2023</v>
      </c>
      <c r="I915" s="69" t="s">
        <v>63</v>
      </c>
      <c r="J915" s="69" t="s">
        <v>63</v>
      </c>
      <c r="K915" s="71" t="s">
        <v>63</v>
      </c>
      <c r="L915" s="71" t="s">
        <v>63</v>
      </c>
      <c r="M915" s="71" t="s">
        <v>63</v>
      </c>
      <c r="N915" s="69" t="s">
        <v>44</v>
      </c>
      <c r="O915" s="64">
        <v>1</v>
      </c>
      <c r="P915" s="72">
        <v>33000000</v>
      </c>
      <c r="Q915" s="69" t="s">
        <v>4782</v>
      </c>
      <c r="R915" s="69"/>
      <c r="S915" s="121" t="s">
        <v>4473</v>
      </c>
      <c r="T915" s="56">
        <v>24</v>
      </c>
      <c r="U915" s="56">
        <v>3</v>
      </c>
    </row>
    <row r="916" spans="1:21" ht="14.25" customHeight="1" thickBot="1" x14ac:dyDescent="0.4">
      <c r="A916" s="58">
        <v>900</v>
      </c>
      <c r="B916" s="69" t="s">
        <v>79</v>
      </c>
      <c r="C916" s="69" t="s">
        <v>80</v>
      </c>
      <c r="D916" s="70" t="s">
        <v>223</v>
      </c>
      <c r="E916" s="69" t="s">
        <v>4783</v>
      </c>
      <c r="F916" s="69">
        <v>149</v>
      </c>
      <c r="G916" s="69" t="s">
        <v>63</v>
      </c>
      <c r="H916" s="70">
        <v>2023</v>
      </c>
      <c r="I916" s="69" t="s">
        <v>63</v>
      </c>
      <c r="J916" s="69" t="s">
        <v>4784</v>
      </c>
      <c r="K916" s="71" t="s">
        <v>4785</v>
      </c>
      <c r="L916" s="71" t="s">
        <v>4786</v>
      </c>
      <c r="M916" s="71" t="s">
        <v>4787</v>
      </c>
      <c r="N916" s="69" t="s">
        <v>44</v>
      </c>
      <c r="O916" s="64">
        <v>1</v>
      </c>
      <c r="P916" s="72">
        <v>21300000</v>
      </c>
      <c r="Q916" s="69" t="s">
        <v>4788</v>
      </c>
      <c r="R916" s="69"/>
      <c r="S916" s="121" t="s">
        <v>4473</v>
      </c>
      <c r="T916" s="56">
        <v>24</v>
      </c>
      <c r="U916" s="56">
        <v>3</v>
      </c>
    </row>
    <row r="917" spans="1:21" ht="14.25" customHeight="1" x14ac:dyDescent="0.35">
      <c r="A917" s="47">
        <v>901</v>
      </c>
      <c r="B917" s="69" t="s">
        <v>79</v>
      </c>
      <c r="C917" s="69" t="s">
        <v>80</v>
      </c>
      <c r="D917" s="70" t="s">
        <v>229</v>
      </c>
      <c r="E917" s="69" t="s">
        <v>4783</v>
      </c>
      <c r="F917" s="69">
        <v>149</v>
      </c>
      <c r="G917" s="69" t="s">
        <v>63</v>
      </c>
      <c r="H917" s="70">
        <v>2023</v>
      </c>
      <c r="I917" s="69" t="s">
        <v>63</v>
      </c>
      <c r="J917" s="142" t="s">
        <v>4789</v>
      </c>
      <c r="K917" s="185" t="s">
        <v>4790</v>
      </c>
      <c r="L917" s="71" t="s">
        <v>4791</v>
      </c>
      <c r="M917" s="185" t="s">
        <v>4792</v>
      </c>
      <c r="N917" s="69" t="s">
        <v>44</v>
      </c>
      <c r="O917" s="64">
        <v>1</v>
      </c>
      <c r="P917" s="72">
        <v>21300000</v>
      </c>
      <c r="Q917" s="69" t="s">
        <v>4793</v>
      </c>
      <c r="R917" s="69"/>
      <c r="S917" s="121" t="s">
        <v>4473</v>
      </c>
      <c r="T917" s="56">
        <v>24</v>
      </c>
      <c r="U917" s="56">
        <v>3</v>
      </c>
    </row>
    <row r="918" spans="1:21" ht="14.25" customHeight="1" thickBot="1" x14ac:dyDescent="0.4">
      <c r="A918" s="58">
        <v>902</v>
      </c>
      <c r="B918" s="69" t="s">
        <v>79</v>
      </c>
      <c r="C918" s="69" t="s">
        <v>80</v>
      </c>
      <c r="D918" s="70" t="s">
        <v>238</v>
      </c>
      <c r="E918" s="69" t="s">
        <v>4783</v>
      </c>
      <c r="F918" s="69">
        <v>149</v>
      </c>
      <c r="G918" s="69" t="s">
        <v>140</v>
      </c>
      <c r="H918" s="70">
        <v>2018</v>
      </c>
      <c r="I918" s="69" t="s">
        <v>63</v>
      </c>
      <c r="J918" s="69" t="s">
        <v>4681</v>
      </c>
      <c r="K918" s="71" t="s">
        <v>4682</v>
      </c>
      <c r="L918" s="71" t="s">
        <v>4683</v>
      </c>
      <c r="M918" s="71" t="s">
        <v>4684</v>
      </c>
      <c r="N918" s="69" t="s">
        <v>44</v>
      </c>
      <c r="O918" s="64">
        <v>1</v>
      </c>
      <c r="P918" s="72">
        <v>21300000</v>
      </c>
      <c r="Q918" s="69" t="s">
        <v>4794</v>
      </c>
      <c r="R918" s="69"/>
      <c r="S918" s="121" t="s">
        <v>4473</v>
      </c>
      <c r="T918" s="56">
        <v>24</v>
      </c>
      <c r="U918" s="56">
        <v>3</v>
      </c>
    </row>
    <row r="919" spans="1:21" ht="14.25" customHeight="1" x14ac:dyDescent="0.35">
      <c r="A919" s="47">
        <v>903</v>
      </c>
      <c r="B919" s="69" t="s">
        <v>79</v>
      </c>
      <c r="C919" s="69" t="s">
        <v>80</v>
      </c>
      <c r="D919" s="70" t="s">
        <v>244</v>
      </c>
      <c r="E919" s="69" t="s">
        <v>3331</v>
      </c>
      <c r="F919" s="69" t="s">
        <v>231</v>
      </c>
      <c r="G919" s="69" t="s">
        <v>2955</v>
      </c>
      <c r="H919" s="70">
        <v>2014</v>
      </c>
      <c r="I919" s="69" t="s">
        <v>63</v>
      </c>
      <c r="J919" s="69" t="s">
        <v>4795</v>
      </c>
      <c r="K919" s="71" t="s">
        <v>4796</v>
      </c>
      <c r="L919" s="71" t="s">
        <v>4797</v>
      </c>
      <c r="M919" s="71" t="s">
        <v>4798</v>
      </c>
      <c r="N919" s="69" t="s">
        <v>57</v>
      </c>
      <c r="O919" s="64">
        <v>1</v>
      </c>
      <c r="P919" s="72">
        <v>27500000</v>
      </c>
      <c r="Q919" s="69" t="s">
        <v>63</v>
      </c>
      <c r="R919" s="69"/>
      <c r="S919" s="121" t="s">
        <v>4473</v>
      </c>
      <c r="T919" s="56">
        <v>24</v>
      </c>
      <c r="U919" s="56">
        <v>3</v>
      </c>
    </row>
    <row r="920" spans="1:21" ht="14.25" customHeight="1" thickBot="1" x14ac:dyDescent="0.4">
      <c r="A920" s="58">
        <v>904</v>
      </c>
      <c r="B920" s="69" t="s">
        <v>79</v>
      </c>
      <c r="C920" s="69" t="s">
        <v>80</v>
      </c>
      <c r="D920" s="70" t="s">
        <v>253</v>
      </c>
      <c r="E920" s="69" t="s">
        <v>4799</v>
      </c>
      <c r="F920" s="69" t="s">
        <v>1433</v>
      </c>
      <c r="G920" s="69" t="s">
        <v>63</v>
      </c>
      <c r="H920" s="70">
        <v>2024</v>
      </c>
      <c r="I920" s="69" t="s">
        <v>63</v>
      </c>
      <c r="J920" s="69" t="s">
        <v>4800</v>
      </c>
      <c r="K920" s="71" t="s">
        <v>4801</v>
      </c>
      <c r="L920" s="71" t="s">
        <v>4802</v>
      </c>
      <c r="M920" s="71" t="s">
        <v>4803</v>
      </c>
      <c r="N920" s="69" t="s">
        <v>44</v>
      </c>
      <c r="O920" s="64">
        <v>1</v>
      </c>
      <c r="P920" s="72">
        <v>31000000</v>
      </c>
      <c r="Q920" s="69" t="s">
        <v>4804</v>
      </c>
      <c r="R920" s="69"/>
      <c r="S920" s="121" t="s">
        <v>4473</v>
      </c>
      <c r="T920" s="56">
        <v>24</v>
      </c>
      <c r="U920" s="56">
        <v>3</v>
      </c>
    </row>
    <row r="921" spans="1:21" ht="14.25" customHeight="1" x14ac:dyDescent="0.35">
      <c r="A921" s="47">
        <v>905</v>
      </c>
      <c r="B921" s="69" t="s">
        <v>79</v>
      </c>
      <c r="C921" s="69" t="s">
        <v>80</v>
      </c>
      <c r="D921" s="70" t="s">
        <v>259</v>
      </c>
      <c r="E921" s="69" t="s">
        <v>4799</v>
      </c>
      <c r="F921" s="69" t="s">
        <v>1433</v>
      </c>
      <c r="G921" s="69" t="s">
        <v>63</v>
      </c>
      <c r="H921" s="70">
        <v>2024</v>
      </c>
      <c r="I921" s="69" t="s">
        <v>63</v>
      </c>
      <c r="J921" s="69" t="s">
        <v>4805</v>
      </c>
      <c r="K921" s="71" t="s">
        <v>4806</v>
      </c>
      <c r="L921" s="71" t="s">
        <v>4807</v>
      </c>
      <c r="M921" s="71" t="s">
        <v>4808</v>
      </c>
      <c r="N921" s="69" t="s">
        <v>44</v>
      </c>
      <c r="O921" s="64">
        <v>1</v>
      </c>
      <c r="P921" s="72">
        <v>31000000</v>
      </c>
      <c r="Q921" s="69" t="s">
        <v>4809</v>
      </c>
      <c r="R921" s="69"/>
      <c r="S921" s="121" t="s">
        <v>4473</v>
      </c>
      <c r="T921" s="56">
        <v>24</v>
      </c>
      <c r="U921" s="56">
        <v>3</v>
      </c>
    </row>
    <row r="922" spans="1:21" ht="14.25" customHeight="1" thickBot="1" x14ac:dyDescent="0.4">
      <c r="A922" s="58">
        <v>906</v>
      </c>
      <c r="B922" s="69" t="s">
        <v>79</v>
      </c>
      <c r="C922" s="69" t="s">
        <v>80</v>
      </c>
      <c r="D922" s="70" t="s">
        <v>264</v>
      </c>
      <c r="E922" s="69" t="s">
        <v>4799</v>
      </c>
      <c r="F922" s="69" t="s">
        <v>1433</v>
      </c>
      <c r="G922" s="69" t="s">
        <v>63</v>
      </c>
      <c r="H922" s="70">
        <v>2024</v>
      </c>
      <c r="I922" s="69" t="s">
        <v>63</v>
      </c>
      <c r="J922" s="69" t="s">
        <v>4810</v>
      </c>
      <c r="K922" s="71" t="s">
        <v>4811</v>
      </c>
      <c r="L922" s="71" t="s">
        <v>4812</v>
      </c>
      <c r="M922" s="71" t="s">
        <v>4813</v>
      </c>
      <c r="N922" s="69" t="s">
        <v>44</v>
      </c>
      <c r="O922" s="64">
        <v>1</v>
      </c>
      <c r="P922" s="72">
        <v>31000000</v>
      </c>
      <c r="Q922" s="69" t="s">
        <v>4814</v>
      </c>
      <c r="R922" s="69"/>
      <c r="S922" s="121" t="s">
        <v>4473</v>
      </c>
      <c r="T922" s="56">
        <v>24</v>
      </c>
      <c r="U922" s="56">
        <v>3</v>
      </c>
    </row>
    <row r="923" spans="1:21" ht="14.25" customHeight="1" x14ac:dyDescent="0.35">
      <c r="A923" s="47">
        <v>907</v>
      </c>
      <c r="B923" s="69" t="s">
        <v>79</v>
      </c>
      <c r="C923" s="69" t="s">
        <v>80</v>
      </c>
      <c r="D923" s="70" t="s">
        <v>269</v>
      </c>
      <c r="E923" s="69" t="s">
        <v>4799</v>
      </c>
      <c r="F923" s="69" t="s">
        <v>1433</v>
      </c>
      <c r="G923" s="69" t="s">
        <v>63</v>
      </c>
      <c r="H923" s="70">
        <v>2024</v>
      </c>
      <c r="I923" s="69" t="s">
        <v>63</v>
      </c>
      <c r="J923" s="69" t="s">
        <v>4815</v>
      </c>
      <c r="K923" s="71" t="s">
        <v>4816</v>
      </c>
      <c r="L923" s="71" t="s">
        <v>4817</v>
      </c>
      <c r="M923" s="71" t="s">
        <v>4818</v>
      </c>
      <c r="N923" s="69" t="s">
        <v>44</v>
      </c>
      <c r="O923" s="64">
        <v>1</v>
      </c>
      <c r="P923" s="72">
        <v>31000000</v>
      </c>
      <c r="Q923" s="69" t="s">
        <v>4819</v>
      </c>
      <c r="R923" s="69"/>
      <c r="S923" s="121" t="s">
        <v>4473</v>
      </c>
      <c r="T923" s="56">
        <v>24</v>
      </c>
      <c r="U923" s="56">
        <v>3</v>
      </c>
    </row>
    <row r="924" spans="1:21" ht="14.25" customHeight="1" thickBot="1" x14ac:dyDescent="0.4">
      <c r="A924" s="58">
        <v>908</v>
      </c>
      <c r="B924" s="69" t="s">
        <v>79</v>
      </c>
      <c r="C924" s="69" t="s">
        <v>80</v>
      </c>
      <c r="D924" s="70" t="s">
        <v>274</v>
      </c>
      <c r="E924" s="69" t="s">
        <v>4799</v>
      </c>
      <c r="F924" s="69" t="s">
        <v>1433</v>
      </c>
      <c r="G924" s="69" t="s">
        <v>63</v>
      </c>
      <c r="H924" s="70">
        <v>2024</v>
      </c>
      <c r="I924" s="69" t="s">
        <v>63</v>
      </c>
      <c r="J924" s="69" t="s">
        <v>4820</v>
      </c>
      <c r="K924" s="71" t="s">
        <v>4821</v>
      </c>
      <c r="L924" s="71" t="s">
        <v>4822</v>
      </c>
      <c r="M924" s="71" t="s">
        <v>4823</v>
      </c>
      <c r="N924" s="69" t="s">
        <v>44</v>
      </c>
      <c r="O924" s="64">
        <v>1</v>
      </c>
      <c r="P924" s="72">
        <v>31000000</v>
      </c>
      <c r="Q924" s="69" t="s">
        <v>4824</v>
      </c>
      <c r="R924" s="69"/>
      <c r="S924" s="121" t="s">
        <v>4473</v>
      </c>
      <c r="T924" s="56">
        <v>24</v>
      </c>
      <c r="U924" s="56">
        <v>3</v>
      </c>
    </row>
    <row r="925" spans="1:21" ht="14.25" customHeight="1" x14ac:dyDescent="0.35">
      <c r="A925" s="47">
        <v>909</v>
      </c>
      <c r="B925" s="69" t="s">
        <v>79</v>
      </c>
      <c r="C925" s="69" t="s">
        <v>80</v>
      </c>
      <c r="D925" s="70" t="s">
        <v>280</v>
      </c>
      <c r="E925" s="69" t="s">
        <v>4799</v>
      </c>
      <c r="F925" s="69" t="s">
        <v>1433</v>
      </c>
      <c r="G925" s="69" t="s">
        <v>63</v>
      </c>
      <c r="H925" s="70">
        <v>2024</v>
      </c>
      <c r="I925" s="69" t="s">
        <v>63</v>
      </c>
      <c r="J925" s="69" t="s">
        <v>4825</v>
      </c>
      <c r="K925" s="71" t="s">
        <v>4826</v>
      </c>
      <c r="L925" s="71" t="s">
        <v>4827</v>
      </c>
      <c r="M925" s="71" t="s">
        <v>4828</v>
      </c>
      <c r="N925" s="69" t="s">
        <v>44</v>
      </c>
      <c r="O925" s="64">
        <v>1</v>
      </c>
      <c r="P925" s="72">
        <v>31000000</v>
      </c>
      <c r="Q925" s="69" t="s">
        <v>4829</v>
      </c>
      <c r="R925" s="69"/>
      <c r="S925" s="121" t="s">
        <v>4473</v>
      </c>
      <c r="T925" s="56">
        <v>24</v>
      </c>
      <c r="U925" s="56">
        <v>3</v>
      </c>
    </row>
    <row r="926" spans="1:21" ht="14.25" customHeight="1" thickBot="1" x14ac:dyDescent="0.4">
      <c r="A926" s="58">
        <v>910</v>
      </c>
      <c r="B926" s="69" t="s">
        <v>79</v>
      </c>
      <c r="C926" s="69" t="s">
        <v>80</v>
      </c>
      <c r="D926" s="70" t="s">
        <v>286</v>
      </c>
      <c r="E926" s="69" t="s">
        <v>4799</v>
      </c>
      <c r="F926" s="69">
        <v>160</v>
      </c>
      <c r="G926" s="69" t="s">
        <v>63</v>
      </c>
      <c r="H926" s="70">
        <v>2024</v>
      </c>
      <c r="I926" s="69" t="s">
        <v>63</v>
      </c>
      <c r="J926" s="69" t="s">
        <v>4830</v>
      </c>
      <c r="K926" s="71" t="s">
        <v>4831</v>
      </c>
      <c r="L926" s="71" t="s">
        <v>4832</v>
      </c>
      <c r="M926" s="71" t="s">
        <v>4833</v>
      </c>
      <c r="N926" s="69" t="s">
        <v>44</v>
      </c>
      <c r="O926" s="64">
        <v>1</v>
      </c>
      <c r="P926" s="72">
        <v>31000000</v>
      </c>
      <c r="Q926" s="69" t="s">
        <v>4834</v>
      </c>
      <c r="R926" s="69"/>
      <c r="S926" s="121" t="s">
        <v>4473</v>
      </c>
      <c r="T926" s="56">
        <v>24</v>
      </c>
      <c r="U926" s="56">
        <v>3</v>
      </c>
    </row>
    <row r="927" spans="1:21" ht="14.25" customHeight="1" x14ac:dyDescent="0.35">
      <c r="A927" s="47">
        <v>911</v>
      </c>
      <c r="B927" s="69" t="s">
        <v>79</v>
      </c>
      <c r="C927" s="69" t="s">
        <v>80</v>
      </c>
      <c r="D927" s="186" t="s">
        <v>4835</v>
      </c>
      <c r="E927" s="69" t="s">
        <v>4836</v>
      </c>
      <c r="F927" s="69">
        <v>160</v>
      </c>
      <c r="G927" s="69" t="s">
        <v>63</v>
      </c>
      <c r="H927" s="70">
        <v>2025</v>
      </c>
      <c r="I927" s="69" t="s">
        <v>63</v>
      </c>
      <c r="J927" s="185" t="s">
        <v>4837</v>
      </c>
      <c r="K927" s="185" t="s">
        <v>4838</v>
      </c>
      <c r="L927" s="185" t="s">
        <v>4839</v>
      </c>
      <c r="M927" s="185" t="s">
        <v>4840</v>
      </c>
      <c r="N927" s="69" t="s">
        <v>44</v>
      </c>
      <c r="O927" s="64">
        <v>1</v>
      </c>
      <c r="P927" s="72">
        <v>31000000</v>
      </c>
      <c r="Q927" s="69" t="s">
        <v>4841</v>
      </c>
      <c r="R927" s="69"/>
      <c r="S927" s="121" t="s">
        <v>4473</v>
      </c>
      <c r="T927" s="56">
        <v>24</v>
      </c>
      <c r="U927" s="56">
        <v>3</v>
      </c>
    </row>
    <row r="928" spans="1:21" ht="14.25" customHeight="1" thickBot="1" x14ac:dyDescent="0.4">
      <c r="A928" s="58">
        <v>912</v>
      </c>
      <c r="B928" s="69" t="s">
        <v>79</v>
      </c>
      <c r="C928" s="69" t="s">
        <v>80</v>
      </c>
      <c r="D928" s="186" t="s">
        <v>298</v>
      </c>
      <c r="E928" s="69" t="s">
        <v>4836</v>
      </c>
      <c r="F928" s="69">
        <v>160</v>
      </c>
      <c r="G928" s="69" t="s">
        <v>63</v>
      </c>
      <c r="H928" s="70">
        <v>2025</v>
      </c>
      <c r="I928" s="69" t="s">
        <v>63</v>
      </c>
      <c r="J928" s="185" t="s">
        <v>4842</v>
      </c>
      <c r="K928" s="185" t="s">
        <v>4843</v>
      </c>
      <c r="L928" s="185" t="s">
        <v>4844</v>
      </c>
      <c r="M928" s="185" t="s">
        <v>4845</v>
      </c>
      <c r="N928" s="69" t="s">
        <v>44</v>
      </c>
      <c r="O928" s="64">
        <v>1</v>
      </c>
      <c r="P928" s="72">
        <v>31000000</v>
      </c>
      <c r="Q928" s="69" t="s">
        <v>4841</v>
      </c>
      <c r="R928" s="69"/>
      <c r="S928" s="121" t="s">
        <v>4473</v>
      </c>
      <c r="T928" s="56">
        <v>24</v>
      </c>
      <c r="U928" s="56">
        <v>3</v>
      </c>
    </row>
    <row r="929" spans="1:23" ht="14.25" customHeight="1" x14ac:dyDescent="0.35">
      <c r="A929" s="47">
        <v>913</v>
      </c>
      <c r="B929" s="69" t="s">
        <v>79</v>
      </c>
      <c r="C929" s="69" t="s">
        <v>80</v>
      </c>
      <c r="D929" s="186" t="s">
        <v>304</v>
      </c>
      <c r="E929" s="69" t="s">
        <v>4836</v>
      </c>
      <c r="F929" s="69">
        <v>160</v>
      </c>
      <c r="G929" s="69" t="s">
        <v>63</v>
      </c>
      <c r="H929" s="70">
        <v>2025</v>
      </c>
      <c r="I929" s="69" t="s">
        <v>63</v>
      </c>
      <c r="J929" s="185" t="s">
        <v>4846</v>
      </c>
      <c r="K929" s="185" t="s">
        <v>4847</v>
      </c>
      <c r="L929" s="185" t="s">
        <v>4848</v>
      </c>
      <c r="M929" s="185" t="s">
        <v>4849</v>
      </c>
      <c r="N929" s="69" t="s">
        <v>44</v>
      </c>
      <c r="O929" s="64">
        <v>1</v>
      </c>
      <c r="P929" s="72">
        <v>31000000</v>
      </c>
      <c r="Q929" s="69" t="s">
        <v>4841</v>
      </c>
      <c r="R929" s="69"/>
      <c r="S929" s="121" t="s">
        <v>4473</v>
      </c>
      <c r="T929" s="56">
        <v>24</v>
      </c>
      <c r="U929" s="56">
        <v>3</v>
      </c>
    </row>
    <row r="930" spans="1:23" ht="14.25" customHeight="1" thickBot="1" x14ac:dyDescent="0.4">
      <c r="A930" s="58">
        <v>914</v>
      </c>
      <c r="B930" s="69" t="s">
        <v>79</v>
      </c>
      <c r="C930" s="69" t="s">
        <v>80</v>
      </c>
      <c r="D930" s="186" t="s">
        <v>4850</v>
      </c>
      <c r="E930" s="69" t="s">
        <v>4851</v>
      </c>
      <c r="F930" s="69"/>
      <c r="G930" s="69" t="s">
        <v>63</v>
      </c>
      <c r="H930" s="70">
        <v>2025</v>
      </c>
      <c r="I930" s="69" t="s">
        <v>63</v>
      </c>
      <c r="J930" s="185" t="s">
        <v>4852</v>
      </c>
      <c r="K930" s="185" t="s">
        <v>4853</v>
      </c>
      <c r="L930" s="185" t="s">
        <v>4854</v>
      </c>
      <c r="M930" s="185" t="s">
        <v>4855</v>
      </c>
      <c r="N930" s="69" t="s">
        <v>44</v>
      </c>
      <c r="O930" s="64">
        <v>1</v>
      </c>
      <c r="P930" s="72">
        <v>38911000</v>
      </c>
      <c r="Q930" s="69" t="s">
        <v>4856</v>
      </c>
      <c r="R930" s="69"/>
      <c r="S930" s="121" t="s">
        <v>4473</v>
      </c>
      <c r="T930" s="56">
        <v>24</v>
      </c>
      <c r="U930" s="56">
        <v>3</v>
      </c>
    </row>
    <row r="931" spans="1:23" ht="14.25" customHeight="1" x14ac:dyDescent="0.35">
      <c r="A931" s="47">
        <v>915</v>
      </c>
      <c r="B931" s="69" t="s">
        <v>79</v>
      </c>
      <c r="C931" s="69" t="s">
        <v>80</v>
      </c>
      <c r="D931" s="70" t="s">
        <v>4857</v>
      </c>
      <c r="E931" s="69" t="s">
        <v>4851</v>
      </c>
      <c r="F931" s="69"/>
      <c r="G931" s="69" t="s">
        <v>63</v>
      </c>
      <c r="H931" s="70">
        <v>2025</v>
      </c>
      <c r="I931" s="69" t="s">
        <v>63</v>
      </c>
      <c r="J931" s="185" t="s">
        <v>4858</v>
      </c>
      <c r="K931" s="185" t="s">
        <v>4859</v>
      </c>
      <c r="L931" s="185" t="s">
        <v>4860</v>
      </c>
      <c r="M931" s="185" t="s">
        <v>4861</v>
      </c>
      <c r="N931" s="69" t="s">
        <v>44</v>
      </c>
      <c r="O931" s="64">
        <v>1</v>
      </c>
      <c r="P931" s="72">
        <v>38911000</v>
      </c>
      <c r="Q931" s="69" t="s">
        <v>4856</v>
      </c>
      <c r="R931" s="69"/>
      <c r="S931" s="121" t="s">
        <v>4473</v>
      </c>
      <c r="T931" s="56">
        <v>24</v>
      </c>
      <c r="U931" s="56">
        <v>3</v>
      </c>
    </row>
    <row r="932" spans="1:23" ht="14.25" customHeight="1" thickBot="1" x14ac:dyDescent="0.4">
      <c r="A932" s="58">
        <v>916</v>
      </c>
      <c r="B932" s="69" t="s">
        <v>79</v>
      </c>
      <c r="C932" s="69" t="s">
        <v>80</v>
      </c>
      <c r="D932" s="70" t="s">
        <v>325</v>
      </c>
      <c r="E932" s="69" t="s">
        <v>4851</v>
      </c>
      <c r="F932" s="69"/>
      <c r="G932" s="69" t="s">
        <v>63</v>
      </c>
      <c r="H932" s="70">
        <v>2025</v>
      </c>
      <c r="I932" s="69" t="s">
        <v>63</v>
      </c>
      <c r="J932" s="142" t="s">
        <v>4862</v>
      </c>
      <c r="K932" s="185" t="s">
        <v>4863</v>
      </c>
      <c r="L932" s="185" t="s">
        <v>4864</v>
      </c>
      <c r="M932" s="185" t="s">
        <v>4865</v>
      </c>
      <c r="N932" s="69" t="s">
        <v>44</v>
      </c>
      <c r="O932" s="64">
        <v>1</v>
      </c>
      <c r="P932" s="72">
        <v>38991001.000000007</v>
      </c>
      <c r="Q932" s="69" t="s">
        <v>4866</v>
      </c>
      <c r="R932" s="69"/>
      <c r="S932" s="121" t="s">
        <v>4473</v>
      </c>
      <c r="T932" s="56">
        <v>24</v>
      </c>
      <c r="U932" s="56">
        <v>3</v>
      </c>
    </row>
    <row r="933" spans="1:23" ht="14.25" customHeight="1" x14ac:dyDescent="0.35">
      <c r="A933" s="47">
        <v>917</v>
      </c>
      <c r="B933" s="69" t="s">
        <v>2244</v>
      </c>
      <c r="C933" s="69" t="s">
        <v>2245</v>
      </c>
      <c r="D933" s="70" t="s">
        <v>51</v>
      </c>
      <c r="E933" s="69" t="s">
        <v>2246</v>
      </c>
      <c r="F933" s="69" t="s">
        <v>63</v>
      </c>
      <c r="G933" s="69" t="s">
        <v>415</v>
      </c>
      <c r="H933" s="70">
        <v>2019</v>
      </c>
      <c r="I933" s="69" t="s">
        <v>63</v>
      </c>
      <c r="J933" s="69" t="s">
        <v>4867</v>
      </c>
      <c r="K933" s="71" t="s">
        <v>4868</v>
      </c>
      <c r="L933" s="71" t="s">
        <v>4869</v>
      </c>
      <c r="M933" s="71" t="s">
        <v>4870</v>
      </c>
      <c r="N933" s="69" t="s">
        <v>57</v>
      </c>
      <c r="O933" s="64">
        <v>1</v>
      </c>
      <c r="P933" s="72">
        <v>33000000</v>
      </c>
      <c r="Q933" s="69" t="s">
        <v>4871</v>
      </c>
      <c r="R933" s="69"/>
      <c r="S933" s="121" t="s">
        <v>4473</v>
      </c>
      <c r="T933" s="56">
        <v>24</v>
      </c>
      <c r="U933" s="56">
        <v>3</v>
      </c>
    </row>
    <row r="934" spans="1:23" ht="14.25" customHeight="1" thickBot="1" x14ac:dyDescent="0.4">
      <c r="A934" s="58">
        <v>918</v>
      </c>
      <c r="B934" s="69" t="s">
        <v>2244</v>
      </c>
      <c r="C934" s="69" t="s">
        <v>2245</v>
      </c>
      <c r="D934" s="70" t="s">
        <v>59</v>
      </c>
      <c r="E934" s="69" t="s">
        <v>4872</v>
      </c>
      <c r="F934" s="69" t="s">
        <v>88</v>
      </c>
      <c r="G934" s="69" t="s">
        <v>2955</v>
      </c>
      <c r="H934" s="70">
        <v>2020</v>
      </c>
      <c r="I934" s="69" t="s">
        <v>63</v>
      </c>
      <c r="J934" s="69" t="s">
        <v>4873</v>
      </c>
      <c r="K934" s="71" t="s">
        <v>4874</v>
      </c>
      <c r="L934" s="71" t="s">
        <v>4875</v>
      </c>
      <c r="M934" s="71" t="s">
        <v>4876</v>
      </c>
      <c r="N934" s="69" t="s">
        <v>57</v>
      </c>
      <c r="O934" s="64">
        <v>1</v>
      </c>
      <c r="P934" s="72">
        <v>21300000</v>
      </c>
      <c r="Q934" s="69" t="s">
        <v>4877</v>
      </c>
      <c r="R934" s="69"/>
      <c r="S934" s="121" t="s">
        <v>4473</v>
      </c>
      <c r="T934" s="56">
        <v>24</v>
      </c>
      <c r="U934" s="56">
        <v>3</v>
      </c>
    </row>
    <row r="935" spans="1:23" ht="14.25" customHeight="1" x14ac:dyDescent="0.35">
      <c r="A935" s="47">
        <v>919</v>
      </c>
      <c r="B935" s="69" t="s">
        <v>2244</v>
      </c>
      <c r="C935" s="69" t="s">
        <v>2245</v>
      </c>
      <c r="D935" s="70" t="s">
        <v>97</v>
      </c>
      <c r="E935" s="69" t="s">
        <v>4872</v>
      </c>
      <c r="F935" s="69" t="s">
        <v>88</v>
      </c>
      <c r="G935" s="69" t="s">
        <v>2955</v>
      </c>
      <c r="H935" s="70">
        <v>2020</v>
      </c>
      <c r="I935" s="69" t="s">
        <v>63</v>
      </c>
      <c r="J935" s="69" t="s">
        <v>4878</v>
      </c>
      <c r="K935" s="71" t="s">
        <v>4879</v>
      </c>
      <c r="L935" s="71" t="s">
        <v>4880</v>
      </c>
      <c r="M935" s="71" t="s">
        <v>4881</v>
      </c>
      <c r="N935" s="69" t="s">
        <v>57</v>
      </c>
      <c r="O935" s="64">
        <v>1</v>
      </c>
      <c r="P935" s="72">
        <v>21300000</v>
      </c>
      <c r="Q935" s="69" t="s">
        <v>4882</v>
      </c>
      <c r="R935" s="69"/>
      <c r="S935" s="121" t="s">
        <v>4473</v>
      </c>
      <c r="T935" s="56">
        <v>24</v>
      </c>
      <c r="U935" s="56">
        <v>3</v>
      </c>
    </row>
    <row r="936" spans="1:23" ht="14.25" customHeight="1" thickBot="1" x14ac:dyDescent="0.4">
      <c r="A936" s="58">
        <v>920</v>
      </c>
      <c r="B936" s="69" t="s">
        <v>2244</v>
      </c>
      <c r="C936" s="69" t="s">
        <v>2245</v>
      </c>
      <c r="D936" s="70" t="s">
        <v>101</v>
      </c>
      <c r="E936" s="69" t="s">
        <v>4872</v>
      </c>
      <c r="F936" s="69" t="s">
        <v>88</v>
      </c>
      <c r="G936" s="69" t="s">
        <v>2955</v>
      </c>
      <c r="H936" s="70">
        <v>2020</v>
      </c>
      <c r="I936" s="69" t="s">
        <v>63</v>
      </c>
      <c r="J936" s="69" t="s">
        <v>4883</v>
      </c>
      <c r="K936" s="71" t="s">
        <v>4884</v>
      </c>
      <c r="L936" s="71" t="s">
        <v>4885</v>
      </c>
      <c r="M936" s="71" t="s">
        <v>4886</v>
      </c>
      <c r="N936" s="69" t="s">
        <v>57</v>
      </c>
      <c r="O936" s="64">
        <v>1</v>
      </c>
      <c r="P936" s="72">
        <v>21300000</v>
      </c>
      <c r="Q936" s="69" t="s">
        <v>4887</v>
      </c>
      <c r="R936" s="69"/>
      <c r="S936" s="121" t="s">
        <v>4473</v>
      </c>
      <c r="T936" s="56">
        <v>24</v>
      </c>
      <c r="U936" s="56">
        <v>3</v>
      </c>
    </row>
    <row r="937" spans="1:23" ht="14.25" customHeight="1" x14ac:dyDescent="0.35">
      <c r="A937" s="47">
        <v>921</v>
      </c>
      <c r="B937" s="69" t="s">
        <v>2244</v>
      </c>
      <c r="C937" s="69" t="s">
        <v>2245</v>
      </c>
      <c r="D937" s="70" t="s">
        <v>107</v>
      </c>
      <c r="E937" s="69" t="s">
        <v>4872</v>
      </c>
      <c r="F937" s="69" t="s">
        <v>88</v>
      </c>
      <c r="G937" s="69" t="s">
        <v>2955</v>
      </c>
      <c r="H937" s="70">
        <v>2020</v>
      </c>
      <c r="I937" s="69" t="s">
        <v>63</v>
      </c>
      <c r="J937" s="69" t="s">
        <v>4888</v>
      </c>
      <c r="K937" s="71" t="s">
        <v>4889</v>
      </c>
      <c r="L937" s="71" t="s">
        <v>4890</v>
      </c>
      <c r="M937" s="71" t="s">
        <v>4891</v>
      </c>
      <c r="N937" s="69" t="s">
        <v>57</v>
      </c>
      <c r="O937" s="64">
        <v>1</v>
      </c>
      <c r="P937" s="72">
        <v>21300000</v>
      </c>
      <c r="Q937" s="69" t="s">
        <v>4892</v>
      </c>
      <c r="R937" s="69"/>
      <c r="S937" s="121" t="s">
        <v>4473</v>
      </c>
      <c r="T937" s="56">
        <v>24</v>
      </c>
      <c r="U937" s="56">
        <v>3</v>
      </c>
    </row>
    <row r="938" spans="1:23" ht="14.25" customHeight="1" thickBot="1" x14ac:dyDescent="0.4">
      <c r="A938" s="58">
        <v>922</v>
      </c>
      <c r="B938" s="178" t="s">
        <v>2244</v>
      </c>
      <c r="C938" s="178" t="s">
        <v>2245</v>
      </c>
      <c r="D938" s="179" t="s">
        <v>116</v>
      </c>
      <c r="E938" s="178" t="s">
        <v>4872</v>
      </c>
      <c r="F938" s="178" t="s">
        <v>88</v>
      </c>
      <c r="G938" s="178" t="s">
        <v>2955</v>
      </c>
      <c r="H938" s="179">
        <v>2020</v>
      </c>
      <c r="I938" s="178" t="s">
        <v>63</v>
      </c>
      <c r="J938" s="178" t="s">
        <v>4789</v>
      </c>
      <c r="K938" s="180" t="s">
        <v>4790</v>
      </c>
      <c r="L938" s="180" t="s">
        <v>4791</v>
      </c>
      <c r="M938" s="185" t="s">
        <v>4792</v>
      </c>
      <c r="N938" s="178" t="s">
        <v>57</v>
      </c>
      <c r="O938" s="64">
        <v>1</v>
      </c>
      <c r="P938" s="181">
        <v>21300000</v>
      </c>
      <c r="Q938" s="178" t="s">
        <v>4893</v>
      </c>
      <c r="R938" s="178"/>
      <c r="S938" s="182" t="s">
        <v>4473</v>
      </c>
      <c r="T938" s="183">
        <v>24</v>
      </c>
      <c r="U938" s="183">
        <v>3</v>
      </c>
      <c r="V938" s="184"/>
      <c r="W938" s="184"/>
    </row>
    <row r="939" spans="1:23" ht="14.25" customHeight="1" x14ac:dyDescent="0.35">
      <c r="A939" s="47">
        <v>923</v>
      </c>
      <c r="B939" s="69" t="s">
        <v>58</v>
      </c>
      <c r="C939" s="69" t="s">
        <v>50</v>
      </c>
      <c r="D939" s="70" t="s">
        <v>97</v>
      </c>
      <c r="E939" s="69" t="s">
        <v>4894</v>
      </c>
      <c r="F939" s="69" t="s">
        <v>4895</v>
      </c>
      <c r="G939" s="69" t="s">
        <v>140</v>
      </c>
      <c r="H939" s="70">
        <v>2015</v>
      </c>
      <c r="I939" s="69"/>
      <c r="J939" s="69" t="s">
        <v>4896</v>
      </c>
      <c r="K939" s="71" t="s">
        <v>4897</v>
      </c>
      <c r="L939" s="71" t="s">
        <v>4898</v>
      </c>
      <c r="M939" s="71" t="s">
        <v>4899</v>
      </c>
      <c r="N939" s="69" t="s">
        <v>57</v>
      </c>
      <c r="O939" s="64">
        <v>1</v>
      </c>
      <c r="P939" s="72">
        <v>475990000</v>
      </c>
      <c r="Q939" s="69" t="s">
        <v>4900</v>
      </c>
      <c r="R939" s="69"/>
      <c r="S939" s="68" t="s">
        <v>561</v>
      </c>
      <c r="T939" s="56">
        <v>25</v>
      </c>
      <c r="U939" s="56">
        <v>4</v>
      </c>
    </row>
    <row r="940" spans="1:23" ht="14.25" customHeight="1" thickBot="1" x14ac:dyDescent="0.4">
      <c r="A940" s="58">
        <v>924</v>
      </c>
      <c r="B940" s="69" t="s">
        <v>4219</v>
      </c>
      <c r="C940" s="69" t="s">
        <v>4220</v>
      </c>
      <c r="D940" s="70" t="s">
        <v>51</v>
      </c>
      <c r="E940" s="69" t="s">
        <v>4901</v>
      </c>
      <c r="F940" s="69" t="s">
        <v>2691</v>
      </c>
      <c r="G940" s="69" t="s">
        <v>54</v>
      </c>
      <c r="H940" s="70">
        <v>2010</v>
      </c>
      <c r="I940" s="69"/>
      <c r="J940" s="69" t="s">
        <v>4902</v>
      </c>
      <c r="K940" s="71" t="s">
        <v>4903</v>
      </c>
      <c r="L940" s="71" t="s">
        <v>4904</v>
      </c>
      <c r="M940" s="71" t="s">
        <v>4905</v>
      </c>
      <c r="N940" s="69" t="s">
        <v>57</v>
      </c>
      <c r="O940" s="64">
        <v>1</v>
      </c>
      <c r="P940" s="72">
        <v>173600000</v>
      </c>
      <c r="Q940" s="69"/>
      <c r="R940" s="69"/>
      <c r="S940" s="68" t="s">
        <v>561</v>
      </c>
      <c r="T940" s="56">
        <v>25</v>
      </c>
      <c r="U940" s="56">
        <v>4</v>
      </c>
    </row>
    <row r="941" spans="1:23" ht="14.25" customHeight="1" x14ac:dyDescent="0.35">
      <c r="A941" s="47">
        <v>925</v>
      </c>
      <c r="B941" s="69" t="s">
        <v>1745</v>
      </c>
      <c r="C941" s="69" t="s">
        <v>1746</v>
      </c>
      <c r="D941" s="70" t="s">
        <v>51</v>
      </c>
      <c r="E941" s="69" t="s">
        <v>4906</v>
      </c>
      <c r="F941" s="69" t="s">
        <v>1595</v>
      </c>
      <c r="G941" s="69" t="s">
        <v>140</v>
      </c>
      <c r="H941" s="70">
        <v>2015</v>
      </c>
      <c r="I941" s="69"/>
      <c r="J941" s="69" t="s">
        <v>4907</v>
      </c>
      <c r="K941" s="71" t="s">
        <v>4908</v>
      </c>
      <c r="L941" s="71" t="s">
        <v>4909</v>
      </c>
      <c r="M941" s="71" t="s">
        <v>4910</v>
      </c>
      <c r="N941" s="69" t="s">
        <v>57</v>
      </c>
      <c r="O941" s="64">
        <v>1</v>
      </c>
      <c r="P941" s="72">
        <v>307460000</v>
      </c>
      <c r="Q941" s="69" t="s">
        <v>4911</v>
      </c>
      <c r="R941" s="69"/>
      <c r="S941" s="68" t="s">
        <v>561</v>
      </c>
      <c r="T941" s="56">
        <v>25</v>
      </c>
      <c r="U941" s="56">
        <v>4</v>
      </c>
    </row>
    <row r="942" spans="1:23" ht="14.25" customHeight="1" thickBot="1" x14ac:dyDescent="0.4">
      <c r="A942" s="58">
        <v>926</v>
      </c>
      <c r="B942" s="69" t="s">
        <v>1745</v>
      </c>
      <c r="C942" s="69" t="s">
        <v>1746</v>
      </c>
      <c r="D942" s="70" t="s">
        <v>59</v>
      </c>
      <c r="E942" s="69" t="s">
        <v>1755</v>
      </c>
      <c r="F942" s="69" t="s">
        <v>2691</v>
      </c>
      <c r="G942" s="69" t="s">
        <v>140</v>
      </c>
      <c r="H942" s="70">
        <v>2016</v>
      </c>
      <c r="I942" s="69"/>
      <c r="J942" s="69" t="s">
        <v>4912</v>
      </c>
      <c r="K942" s="71" t="s">
        <v>4913</v>
      </c>
      <c r="L942" s="71" t="s">
        <v>4914</v>
      </c>
      <c r="M942" s="71" t="s">
        <v>4915</v>
      </c>
      <c r="N942" s="69" t="s">
        <v>57</v>
      </c>
      <c r="O942" s="64">
        <v>1</v>
      </c>
      <c r="P942" s="72">
        <v>185080000</v>
      </c>
      <c r="Q942" s="69" t="s">
        <v>4916</v>
      </c>
      <c r="R942" s="69"/>
      <c r="S942" s="68" t="s">
        <v>561</v>
      </c>
      <c r="T942" s="56">
        <v>25</v>
      </c>
      <c r="U942" s="56">
        <v>4</v>
      </c>
    </row>
    <row r="943" spans="1:23" ht="14.25" customHeight="1" x14ac:dyDescent="0.35">
      <c r="A943" s="47">
        <v>927</v>
      </c>
      <c r="B943" s="69" t="s">
        <v>1745</v>
      </c>
      <c r="C943" s="69" t="s">
        <v>1746</v>
      </c>
      <c r="D943" s="70" t="s">
        <v>97</v>
      </c>
      <c r="E943" s="69" t="s">
        <v>4917</v>
      </c>
      <c r="F943" s="69" t="s">
        <v>4918</v>
      </c>
      <c r="G943" s="69" t="s">
        <v>140</v>
      </c>
      <c r="H943" s="70">
        <v>2016</v>
      </c>
      <c r="I943" s="69"/>
      <c r="J943" s="69" t="s">
        <v>4919</v>
      </c>
      <c r="K943" s="71" t="s">
        <v>4920</v>
      </c>
      <c r="L943" s="71" t="s">
        <v>4921</v>
      </c>
      <c r="M943" s="71" t="s">
        <v>4922</v>
      </c>
      <c r="N943" s="69" t="s">
        <v>57</v>
      </c>
      <c r="O943" s="64">
        <v>1</v>
      </c>
      <c r="P943" s="72">
        <v>185080000</v>
      </c>
      <c r="Q943" s="69" t="s">
        <v>4923</v>
      </c>
      <c r="R943" s="69"/>
      <c r="S943" s="68" t="s">
        <v>561</v>
      </c>
      <c r="T943" s="56">
        <v>25</v>
      </c>
      <c r="U943" s="56">
        <v>4</v>
      </c>
    </row>
    <row r="944" spans="1:23" ht="14.25" customHeight="1" thickBot="1" x14ac:dyDescent="0.4">
      <c r="A944" s="58">
        <v>928</v>
      </c>
      <c r="B944" s="69" t="s">
        <v>1745</v>
      </c>
      <c r="C944" s="69" t="s">
        <v>1746</v>
      </c>
      <c r="D944" s="70" t="s">
        <v>112</v>
      </c>
      <c r="E944" s="69" t="s">
        <v>4917</v>
      </c>
      <c r="F944" s="69" t="s">
        <v>4918</v>
      </c>
      <c r="G944" s="69" t="s">
        <v>140</v>
      </c>
      <c r="H944" s="70">
        <v>2016</v>
      </c>
      <c r="I944" s="69"/>
      <c r="J944" s="69" t="s">
        <v>4924</v>
      </c>
      <c r="K944" s="71" t="s">
        <v>4925</v>
      </c>
      <c r="L944" s="71" t="s">
        <v>4926</v>
      </c>
      <c r="M944" s="71" t="s">
        <v>4927</v>
      </c>
      <c r="N944" s="69" t="s">
        <v>57</v>
      </c>
      <c r="O944" s="64">
        <v>1</v>
      </c>
      <c r="P944" s="72">
        <v>185080000</v>
      </c>
      <c r="Q944" s="69" t="s">
        <v>4928</v>
      </c>
      <c r="R944" s="69"/>
      <c r="S944" s="68" t="s">
        <v>561</v>
      </c>
      <c r="T944" s="56">
        <v>25</v>
      </c>
      <c r="U944" s="56">
        <v>4</v>
      </c>
    </row>
    <row r="945" spans="1:21" ht="14.25" customHeight="1" x14ac:dyDescent="0.35">
      <c r="A945" s="47">
        <v>929</v>
      </c>
      <c r="B945" s="69" t="s">
        <v>1745</v>
      </c>
      <c r="C945" s="69" t="s">
        <v>1746</v>
      </c>
      <c r="D945" s="70" t="s">
        <v>841</v>
      </c>
      <c r="E945" s="69" t="s">
        <v>1755</v>
      </c>
      <c r="F945" s="69" t="s">
        <v>4929</v>
      </c>
      <c r="G945" s="69" t="s">
        <v>140</v>
      </c>
      <c r="H945" s="70">
        <v>2016</v>
      </c>
      <c r="I945" s="69"/>
      <c r="J945" s="69" t="s">
        <v>4930</v>
      </c>
      <c r="K945" s="71" t="s">
        <v>4931</v>
      </c>
      <c r="L945" s="71" t="s">
        <v>4932</v>
      </c>
      <c r="M945" s="71" t="s">
        <v>4933</v>
      </c>
      <c r="N945" s="69" t="s">
        <v>57</v>
      </c>
      <c r="O945" s="64">
        <v>1</v>
      </c>
      <c r="P945" s="72">
        <v>185080000</v>
      </c>
      <c r="Q945" s="69" t="s">
        <v>1793</v>
      </c>
      <c r="R945" s="69"/>
      <c r="S945" s="68" t="s">
        <v>561</v>
      </c>
      <c r="T945" s="56">
        <v>25</v>
      </c>
      <c r="U945" s="56">
        <v>4</v>
      </c>
    </row>
    <row r="946" spans="1:21" ht="14.25" customHeight="1" thickBot="1" x14ac:dyDescent="0.4">
      <c r="A946" s="58">
        <v>930</v>
      </c>
      <c r="B946" s="69" t="s">
        <v>1745</v>
      </c>
      <c r="C946" s="69" t="s">
        <v>1746</v>
      </c>
      <c r="D946" s="70" t="s">
        <v>126</v>
      </c>
      <c r="E946" s="69" t="s">
        <v>4934</v>
      </c>
      <c r="F946" s="69" t="s">
        <v>4349</v>
      </c>
      <c r="G946" s="69" t="s">
        <v>140</v>
      </c>
      <c r="H946" s="70">
        <v>2017</v>
      </c>
      <c r="I946" s="69" t="s">
        <v>63</v>
      </c>
      <c r="J946" s="69" t="s">
        <v>4935</v>
      </c>
      <c r="K946" s="71" t="s">
        <v>4936</v>
      </c>
      <c r="L946" s="71" t="s">
        <v>4937</v>
      </c>
      <c r="M946" s="71" t="s">
        <v>4938</v>
      </c>
      <c r="N946" s="69" t="s">
        <v>57</v>
      </c>
      <c r="O946" s="64">
        <v>1</v>
      </c>
      <c r="P946" s="72">
        <v>464290000</v>
      </c>
      <c r="Q946" s="69" t="s">
        <v>4939</v>
      </c>
      <c r="R946" s="69"/>
      <c r="S946" s="68" t="s">
        <v>561</v>
      </c>
      <c r="T946" s="56">
        <v>25</v>
      </c>
      <c r="U946" s="56">
        <v>4</v>
      </c>
    </row>
    <row r="947" spans="1:21" ht="14.25" customHeight="1" x14ac:dyDescent="0.35">
      <c r="A947" s="47">
        <v>931</v>
      </c>
      <c r="B947" s="69" t="s">
        <v>1806</v>
      </c>
      <c r="C947" s="69" t="s">
        <v>1807</v>
      </c>
      <c r="D947" s="70" t="s">
        <v>51</v>
      </c>
      <c r="E947" s="69" t="s">
        <v>2558</v>
      </c>
      <c r="F947" s="69" t="s">
        <v>2559</v>
      </c>
      <c r="G947" s="69" t="s">
        <v>54</v>
      </c>
      <c r="H947" s="70">
        <v>2011</v>
      </c>
      <c r="I947" s="69" t="s">
        <v>63</v>
      </c>
      <c r="J947" s="69" t="s">
        <v>4940</v>
      </c>
      <c r="K947" s="71" t="s">
        <v>4941</v>
      </c>
      <c r="L947" s="71" t="s">
        <v>4942</v>
      </c>
      <c r="M947" s="71" t="s">
        <v>4943</v>
      </c>
      <c r="N947" s="69" t="s">
        <v>57</v>
      </c>
      <c r="O947" s="64">
        <v>1</v>
      </c>
      <c r="P947" s="72">
        <v>228815000</v>
      </c>
      <c r="Q947" s="69" t="s">
        <v>4944</v>
      </c>
      <c r="R947" s="69"/>
      <c r="S947" s="68" t="s">
        <v>561</v>
      </c>
      <c r="T947" s="56">
        <v>25</v>
      </c>
      <c r="U947" s="56">
        <v>4</v>
      </c>
    </row>
    <row r="948" spans="1:21" ht="14.25" customHeight="1" thickBot="1" x14ac:dyDescent="0.4">
      <c r="A948" s="58">
        <v>932</v>
      </c>
      <c r="B948" s="69" t="s">
        <v>1806</v>
      </c>
      <c r="C948" s="69" t="s">
        <v>1807</v>
      </c>
      <c r="D948" s="70" t="s">
        <v>59</v>
      </c>
      <c r="E948" s="69" t="s">
        <v>4945</v>
      </c>
      <c r="F948" s="69" t="s">
        <v>2559</v>
      </c>
      <c r="G948" s="69" t="s">
        <v>54</v>
      </c>
      <c r="H948" s="70">
        <v>2012</v>
      </c>
      <c r="I948" s="69" t="s">
        <v>63</v>
      </c>
      <c r="J948" s="69" t="s">
        <v>4946</v>
      </c>
      <c r="K948" s="71" t="s">
        <v>4947</v>
      </c>
      <c r="L948" s="71" t="s">
        <v>4948</v>
      </c>
      <c r="M948" s="71" t="s">
        <v>4949</v>
      </c>
      <c r="N948" s="69" t="s">
        <v>57</v>
      </c>
      <c r="O948" s="64">
        <v>1</v>
      </c>
      <c r="P948" s="72">
        <v>301600000</v>
      </c>
      <c r="Q948" s="69" t="s">
        <v>4950</v>
      </c>
      <c r="R948" s="69"/>
      <c r="S948" s="68" t="s">
        <v>561</v>
      </c>
      <c r="T948" s="56">
        <v>25</v>
      </c>
      <c r="U948" s="56">
        <v>4</v>
      </c>
    </row>
    <row r="949" spans="1:21" ht="14.25" customHeight="1" x14ac:dyDescent="0.35">
      <c r="A949" s="47">
        <v>933</v>
      </c>
      <c r="B949" s="69" t="s">
        <v>1806</v>
      </c>
      <c r="C949" s="69" t="s">
        <v>1807</v>
      </c>
      <c r="D949" s="70" t="s">
        <v>101</v>
      </c>
      <c r="E949" s="69" t="s">
        <v>4951</v>
      </c>
      <c r="F949" s="69" t="s">
        <v>2924</v>
      </c>
      <c r="G949" s="69" t="s">
        <v>54</v>
      </c>
      <c r="H949" s="70">
        <v>2006</v>
      </c>
      <c r="I949" s="69" t="s">
        <v>63</v>
      </c>
      <c r="J949" s="69" t="s">
        <v>4952</v>
      </c>
      <c r="K949" s="71" t="s">
        <v>4953</v>
      </c>
      <c r="L949" s="71" t="s">
        <v>4954</v>
      </c>
      <c r="M949" s="71" t="s">
        <v>4955</v>
      </c>
      <c r="N949" s="69" t="s">
        <v>57</v>
      </c>
      <c r="O949" s="64">
        <v>1</v>
      </c>
      <c r="P949" s="72">
        <v>129000000</v>
      </c>
      <c r="Q949" s="69" t="s">
        <v>4956</v>
      </c>
      <c r="R949" s="69"/>
      <c r="S949" s="68" t="s">
        <v>561</v>
      </c>
      <c r="T949" s="56">
        <v>25</v>
      </c>
      <c r="U949" s="56">
        <v>4</v>
      </c>
    </row>
    <row r="950" spans="1:21" ht="14.25" customHeight="1" thickBot="1" x14ac:dyDescent="0.4">
      <c r="A950" s="58">
        <v>934</v>
      </c>
      <c r="B950" s="69" t="s">
        <v>1806</v>
      </c>
      <c r="C950" s="69" t="s">
        <v>1807</v>
      </c>
      <c r="D950" s="70" t="s">
        <v>112</v>
      </c>
      <c r="E950" s="69" t="s">
        <v>4957</v>
      </c>
      <c r="F950" s="69" t="s">
        <v>2559</v>
      </c>
      <c r="G950" s="69" t="s">
        <v>54</v>
      </c>
      <c r="H950" s="70">
        <v>2013</v>
      </c>
      <c r="I950" s="69" t="s">
        <v>63</v>
      </c>
      <c r="J950" s="69" t="s">
        <v>4958</v>
      </c>
      <c r="K950" s="71" t="s">
        <v>4959</v>
      </c>
      <c r="L950" s="71" t="s">
        <v>4960</v>
      </c>
      <c r="M950" s="71" t="s">
        <v>4961</v>
      </c>
      <c r="N950" s="69" t="s">
        <v>57</v>
      </c>
      <c r="O950" s="64">
        <v>1</v>
      </c>
      <c r="P950" s="72">
        <v>313070000</v>
      </c>
      <c r="Q950" s="69" t="s">
        <v>4962</v>
      </c>
      <c r="R950" s="69"/>
      <c r="S950" s="68" t="s">
        <v>561</v>
      </c>
      <c r="T950" s="56">
        <v>25</v>
      </c>
      <c r="U950" s="56">
        <v>4</v>
      </c>
    </row>
    <row r="951" spans="1:21" ht="14.25" customHeight="1" x14ac:dyDescent="0.35">
      <c r="A951" s="47">
        <v>935</v>
      </c>
      <c r="B951" s="69" t="s">
        <v>1806</v>
      </c>
      <c r="C951" s="69" t="s">
        <v>1807</v>
      </c>
      <c r="D951" s="70" t="s">
        <v>116</v>
      </c>
      <c r="E951" s="69" t="s">
        <v>4963</v>
      </c>
      <c r="F951" s="69" t="s">
        <v>4964</v>
      </c>
      <c r="G951" s="69" t="s">
        <v>54</v>
      </c>
      <c r="H951" s="70">
        <v>2014</v>
      </c>
      <c r="I951" s="69" t="s">
        <v>63</v>
      </c>
      <c r="J951" s="69" t="s">
        <v>4965</v>
      </c>
      <c r="K951" s="71" t="s">
        <v>4966</v>
      </c>
      <c r="L951" s="71" t="s">
        <v>4967</v>
      </c>
      <c r="M951" s="71" t="s">
        <v>4968</v>
      </c>
      <c r="N951" s="69" t="s">
        <v>57</v>
      </c>
      <c r="O951" s="64">
        <v>1</v>
      </c>
      <c r="P951" s="72">
        <v>161450000</v>
      </c>
      <c r="Q951" s="69" t="s">
        <v>4969</v>
      </c>
      <c r="R951" s="69"/>
      <c r="S951" s="68" t="s">
        <v>561</v>
      </c>
      <c r="T951" s="56">
        <v>25</v>
      </c>
      <c r="U951" s="56">
        <v>4</v>
      </c>
    </row>
    <row r="952" spans="1:21" ht="14.25" customHeight="1" thickBot="1" x14ac:dyDescent="0.4">
      <c r="A952" s="58">
        <v>936</v>
      </c>
      <c r="B952" s="69" t="s">
        <v>1806</v>
      </c>
      <c r="C952" s="69" t="s">
        <v>1807</v>
      </c>
      <c r="D952" s="70" t="s">
        <v>841</v>
      </c>
      <c r="E952" s="69" t="s">
        <v>4963</v>
      </c>
      <c r="F952" s="69" t="s">
        <v>4964</v>
      </c>
      <c r="G952" s="69" t="s">
        <v>54</v>
      </c>
      <c r="H952" s="70">
        <v>2014</v>
      </c>
      <c r="I952" s="69" t="s">
        <v>63</v>
      </c>
      <c r="J952" s="69" t="s">
        <v>4970</v>
      </c>
      <c r="K952" s="71" t="s">
        <v>4971</v>
      </c>
      <c r="L952" s="71" t="s">
        <v>4972</v>
      </c>
      <c r="M952" s="71" t="s">
        <v>4973</v>
      </c>
      <c r="N952" s="69" t="s">
        <v>57</v>
      </c>
      <c r="O952" s="64">
        <v>1</v>
      </c>
      <c r="P952" s="72">
        <v>161450000</v>
      </c>
      <c r="Q952" s="69" t="s">
        <v>4974</v>
      </c>
      <c r="R952" s="69"/>
      <c r="S952" s="68" t="s">
        <v>561</v>
      </c>
      <c r="T952" s="56">
        <v>25</v>
      </c>
      <c r="U952" s="56">
        <v>4</v>
      </c>
    </row>
    <row r="953" spans="1:21" ht="14.25" customHeight="1" x14ac:dyDescent="0.35">
      <c r="A953" s="47">
        <v>937</v>
      </c>
      <c r="B953" s="69" t="s">
        <v>1806</v>
      </c>
      <c r="C953" s="69" t="s">
        <v>1807</v>
      </c>
      <c r="D953" s="70" t="s">
        <v>161</v>
      </c>
      <c r="E953" s="69" t="s">
        <v>2613</v>
      </c>
      <c r="F953" s="69" t="s">
        <v>2559</v>
      </c>
      <c r="G953" s="69" t="s">
        <v>54</v>
      </c>
      <c r="H953" s="70">
        <v>2013</v>
      </c>
      <c r="I953" s="69" t="s">
        <v>63</v>
      </c>
      <c r="J953" s="69" t="s">
        <v>4975</v>
      </c>
      <c r="K953" s="71" t="s">
        <v>4976</v>
      </c>
      <c r="L953" s="71" t="s">
        <v>4977</v>
      </c>
      <c r="M953" s="71" t="s">
        <v>4978</v>
      </c>
      <c r="N953" s="69" t="s">
        <v>57</v>
      </c>
      <c r="O953" s="64">
        <v>1</v>
      </c>
      <c r="P953" s="72">
        <v>239750000</v>
      </c>
      <c r="Q953" s="69" t="s">
        <v>4979</v>
      </c>
      <c r="R953" s="69"/>
      <c r="S953" s="68" t="s">
        <v>561</v>
      </c>
      <c r="T953" s="56">
        <v>25</v>
      </c>
      <c r="U953" s="56">
        <v>4</v>
      </c>
    </row>
    <row r="954" spans="1:21" ht="14.25" customHeight="1" thickBot="1" x14ac:dyDescent="0.4">
      <c r="A954" s="58">
        <v>938</v>
      </c>
      <c r="B954" s="69" t="s">
        <v>1806</v>
      </c>
      <c r="C954" s="69" t="s">
        <v>1807</v>
      </c>
      <c r="D954" s="70" t="s">
        <v>169</v>
      </c>
      <c r="E954" s="69" t="s">
        <v>2613</v>
      </c>
      <c r="F954" s="69" t="s">
        <v>2559</v>
      </c>
      <c r="G954" s="69" t="s">
        <v>54</v>
      </c>
      <c r="H954" s="70">
        <v>2013</v>
      </c>
      <c r="I954" s="69" t="s">
        <v>63</v>
      </c>
      <c r="J954" s="69" t="s">
        <v>4980</v>
      </c>
      <c r="K954" s="71" t="s">
        <v>4981</v>
      </c>
      <c r="L954" s="71" t="s">
        <v>4982</v>
      </c>
      <c r="M954" s="71" t="s">
        <v>4983</v>
      </c>
      <c r="N954" s="69" t="s">
        <v>57</v>
      </c>
      <c r="O954" s="64">
        <v>1</v>
      </c>
      <c r="P954" s="72">
        <v>239750000</v>
      </c>
      <c r="Q954" s="69" t="s">
        <v>4984</v>
      </c>
      <c r="R954" s="69"/>
      <c r="S954" s="68" t="s">
        <v>561</v>
      </c>
      <c r="T954" s="56">
        <v>25</v>
      </c>
      <c r="U954" s="56">
        <v>4</v>
      </c>
    </row>
    <row r="955" spans="1:21" ht="14.25" customHeight="1" x14ac:dyDescent="0.35">
      <c r="A955" s="47">
        <v>939</v>
      </c>
      <c r="B955" s="69" t="s">
        <v>1806</v>
      </c>
      <c r="C955" s="69" t="s">
        <v>1807</v>
      </c>
      <c r="D955" s="70" t="s">
        <v>176</v>
      </c>
      <c r="E955" s="69" t="s">
        <v>4113</v>
      </c>
      <c r="F955" s="69" t="s">
        <v>1595</v>
      </c>
      <c r="G955" s="69" t="s">
        <v>140</v>
      </c>
      <c r="H955" s="70">
        <v>2014</v>
      </c>
      <c r="I955" s="69"/>
      <c r="J955" s="69" t="s">
        <v>4985</v>
      </c>
      <c r="K955" s="71" t="s">
        <v>4986</v>
      </c>
      <c r="L955" s="71" t="s">
        <v>4987</v>
      </c>
      <c r="M955" s="71" t="s">
        <v>4988</v>
      </c>
      <c r="N955" s="69" t="s">
        <v>57</v>
      </c>
      <c r="O955" s="64">
        <v>1</v>
      </c>
      <c r="P955" s="72">
        <v>248730000</v>
      </c>
      <c r="Q955" s="69" t="s">
        <v>4989</v>
      </c>
      <c r="R955" s="69"/>
      <c r="S955" s="68" t="s">
        <v>561</v>
      </c>
      <c r="T955" s="56">
        <v>25</v>
      </c>
      <c r="U955" s="56">
        <v>4</v>
      </c>
    </row>
    <row r="956" spans="1:21" ht="14.25" customHeight="1" thickBot="1" x14ac:dyDescent="0.4">
      <c r="A956" s="58">
        <v>940</v>
      </c>
      <c r="B956" s="69" t="s">
        <v>1806</v>
      </c>
      <c r="C956" s="69" t="s">
        <v>1807</v>
      </c>
      <c r="D956" s="70" t="s">
        <v>1236</v>
      </c>
      <c r="E956" s="69" t="s">
        <v>4113</v>
      </c>
      <c r="F956" s="69" t="s">
        <v>1595</v>
      </c>
      <c r="G956" s="69" t="s">
        <v>140</v>
      </c>
      <c r="H956" s="70">
        <v>2014</v>
      </c>
      <c r="I956" s="69" t="s">
        <v>63</v>
      </c>
      <c r="J956" s="69" t="s">
        <v>4990</v>
      </c>
      <c r="K956" s="71" t="s">
        <v>4991</v>
      </c>
      <c r="L956" s="71" t="s">
        <v>4992</v>
      </c>
      <c r="M956" s="71" t="s">
        <v>4993</v>
      </c>
      <c r="N956" s="69" t="s">
        <v>57</v>
      </c>
      <c r="O956" s="64">
        <v>1</v>
      </c>
      <c r="P956" s="72">
        <v>248730000</v>
      </c>
      <c r="Q956" s="69" t="s">
        <v>4994</v>
      </c>
      <c r="R956" s="69"/>
      <c r="S956" s="68" t="s">
        <v>561</v>
      </c>
      <c r="T956" s="56">
        <v>25</v>
      </c>
      <c r="U956" s="56">
        <v>4</v>
      </c>
    </row>
    <row r="957" spans="1:21" ht="14.25" customHeight="1" x14ac:dyDescent="0.35">
      <c r="A957" s="47">
        <v>941</v>
      </c>
      <c r="B957" s="69" t="s">
        <v>70</v>
      </c>
      <c r="C957" s="69" t="s">
        <v>71</v>
      </c>
      <c r="D957" s="70" t="s">
        <v>59</v>
      </c>
      <c r="E957" s="69" t="s">
        <v>4113</v>
      </c>
      <c r="F957" s="69" t="s">
        <v>1595</v>
      </c>
      <c r="G957" s="69" t="s">
        <v>140</v>
      </c>
      <c r="H957" s="70">
        <v>2014</v>
      </c>
      <c r="I957" s="69"/>
      <c r="J957" s="69" t="s">
        <v>4995</v>
      </c>
      <c r="K957" s="71" t="s">
        <v>4996</v>
      </c>
      <c r="L957" s="71" t="s">
        <v>4997</v>
      </c>
      <c r="M957" s="71" t="s">
        <v>4998</v>
      </c>
      <c r="N957" s="69" t="s">
        <v>57</v>
      </c>
      <c r="O957" s="64">
        <v>1</v>
      </c>
      <c r="P957" s="72">
        <v>248730000</v>
      </c>
      <c r="Q957" s="69" t="s">
        <v>4999</v>
      </c>
      <c r="R957" s="69"/>
      <c r="S957" s="68" t="s">
        <v>561</v>
      </c>
      <c r="T957" s="56">
        <v>25</v>
      </c>
      <c r="U957" s="56">
        <v>4</v>
      </c>
    </row>
    <row r="958" spans="1:21" ht="14.25" customHeight="1" thickBot="1" x14ac:dyDescent="0.4">
      <c r="A958" s="58">
        <v>942</v>
      </c>
      <c r="B958" s="69" t="s">
        <v>70</v>
      </c>
      <c r="C958" s="69" t="s">
        <v>71</v>
      </c>
      <c r="D958" s="70" t="s">
        <v>97</v>
      </c>
      <c r="E958" s="69" t="s">
        <v>3711</v>
      </c>
      <c r="F958" s="69" t="s">
        <v>4573</v>
      </c>
      <c r="G958" s="69" t="s">
        <v>54</v>
      </c>
      <c r="H958" s="70">
        <v>2014</v>
      </c>
      <c r="I958" s="69"/>
      <c r="J958" s="69" t="s">
        <v>5000</v>
      </c>
      <c r="K958" s="71" t="s">
        <v>5001</v>
      </c>
      <c r="L958" s="71" t="s">
        <v>5002</v>
      </c>
      <c r="M958" s="71" t="s">
        <v>5003</v>
      </c>
      <c r="N958" s="69" t="s">
        <v>57</v>
      </c>
      <c r="O958" s="64">
        <v>1</v>
      </c>
      <c r="P958" s="72">
        <v>356889000</v>
      </c>
      <c r="Q958" s="69" t="s">
        <v>5004</v>
      </c>
      <c r="R958" s="69"/>
      <c r="S958" s="68" t="s">
        <v>561</v>
      </c>
      <c r="T958" s="56">
        <v>25</v>
      </c>
      <c r="U958" s="56">
        <v>4</v>
      </c>
    </row>
    <row r="959" spans="1:21" ht="14.25" customHeight="1" x14ac:dyDescent="0.35">
      <c r="A959" s="47">
        <v>943</v>
      </c>
      <c r="B959" s="69" t="s">
        <v>70</v>
      </c>
      <c r="C959" s="69" t="s">
        <v>71</v>
      </c>
      <c r="D959" s="70" t="s">
        <v>101</v>
      </c>
      <c r="E959" s="69" t="s">
        <v>5005</v>
      </c>
      <c r="F959" s="69" t="s">
        <v>5006</v>
      </c>
      <c r="G959" s="69" t="s">
        <v>54</v>
      </c>
      <c r="H959" s="70">
        <v>2012</v>
      </c>
      <c r="I959" s="69" t="s">
        <v>63</v>
      </c>
      <c r="J959" s="69" t="s">
        <v>5007</v>
      </c>
      <c r="K959" s="71" t="s">
        <v>5008</v>
      </c>
      <c r="L959" s="71" t="s">
        <v>5009</v>
      </c>
      <c r="M959" s="71" t="s">
        <v>5010</v>
      </c>
      <c r="N959" s="69" t="s">
        <v>57</v>
      </c>
      <c r="O959" s="64">
        <v>1</v>
      </c>
      <c r="P959" s="72">
        <v>102424000</v>
      </c>
      <c r="Q959" s="69" t="s">
        <v>5011</v>
      </c>
      <c r="R959" s="69"/>
      <c r="S959" s="68" t="s">
        <v>561</v>
      </c>
      <c r="T959" s="56">
        <v>25</v>
      </c>
      <c r="U959" s="56">
        <v>4</v>
      </c>
    </row>
    <row r="960" spans="1:21" ht="14.25" customHeight="1" thickBot="1" x14ac:dyDescent="0.4">
      <c r="A960" s="58">
        <v>944</v>
      </c>
      <c r="B960" s="69" t="s">
        <v>70</v>
      </c>
      <c r="C960" s="69" t="s">
        <v>71</v>
      </c>
      <c r="D960" s="70" t="s">
        <v>107</v>
      </c>
      <c r="E960" s="69" t="s">
        <v>5012</v>
      </c>
      <c r="F960" s="69" t="s">
        <v>2495</v>
      </c>
      <c r="G960" s="69" t="s">
        <v>54</v>
      </c>
      <c r="H960" s="70">
        <v>2014</v>
      </c>
      <c r="I960" s="69" t="s">
        <v>63</v>
      </c>
      <c r="J960" s="69" t="s">
        <v>5013</v>
      </c>
      <c r="K960" s="71" t="s">
        <v>5014</v>
      </c>
      <c r="L960" s="71" t="s">
        <v>5015</v>
      </c>
      <c r="M960" s="71" t="s">
        <v>5016</v>
      </c>
      <c r="N960" s="69" t="s">
        <v>57</v>
      </c>
      <c r="O960" s="64">
        <v>1</v>
      </c>
      <c r="P960" s="72">
        <v>355500000</v>
      </c>
      <c r="Q960" s="69" t="s">
        <v>5017</v>
      </c>
      <c r="R960" s="69"/>
      <c r="S960" s="68" t="s">
        <v>561</v>
      </c>
      <c r="T960" s="56">
        <v>25</v>
      </c>
      <c r="U960" s="56">
        <v>4</v>
      </c>
    </row>
    <row r="961" spans="1:21" ht="14.25" customHeight="1" x14ac:dyDescent="0.35">
      <c r="A961" s="47">
        <v>945</v>
      </c>
      <c r="B961" s="69" t="s">
        <v>70</v>
      </c>
      <c r="C961" s="69" t="s">
        <v>71</v>
      </c>
      <c r="D961" s="70" t="s">
        <v>116</v>
      </c>
      <c r="E961" s="69" t="s">
        <v>4572</v>
      </c>
      <c r="F961" s="69" t="s">
        <v>4573</v>
      </c>
      <c r="G961" s="69" t="s">
        <v>54</v>
      </c>
      <c r="H961" s="70">
        <v>2014</v>
      </c>
      <c r="I961" s="69" t="s">
        <v>63</v>
      </c>
      <c r="J961" s="69" t="s">
        <v>5018</v>
      </c>
      <c r="K961" s="71" t="s">
        <v>5019</v>
      </c>
      <c r="L961" s="71" t="s">
        <v>5020</v>
      </c>
      <c r="M961" s="71" t="s">
        <v>5021</v>
      </c>
      <c r="N961" s="69" t="s">
        <v>57</v>
      </c>
      <c r="O961" s="64">
        <v>1</v>
      </c>
      <c r="P961" s="72">
        <v>356889000</v>
      </c>
      <c r="Q961" s="69" t="s">
        <v>5022</v>
      </c>
      <c r="R961" s="69"/>
      <c r="S961" s="68" t="s">
        <v>561</v>
      </c>
      <c r="T961" s="56">
        <v>25</v>
      </c>
      <c r="U961" s="56">
        <v>4</v>
      </c>
    </row>
    <row r="962" spans="1:21" ht="14.25" customHeight="1" thickBot="1" x14ac:dyDescent="0.4">
      <c r="A962" s="58">
        <v>946</v>
      </c>
      <c r="B962" s="69" t="s">
        <v>70</v>
      </c>
      <c r="C962" s="69" t="s">
        <v>71</v>
      </c>
      <c r="D962" s="70" t="s">
        <v>841</v>
      </c>
      <c r="E962" s="69" t="s">
        <v>5023</v>
      </c>
      <c r="F962" s="69" t="s">
        <v>1683</v>
      </c>
      <c r="G962" s="69" t="s">
        <v>140</v>
      </c>
      <c r="H962" s="70">
        <v>2015</v>
      </c>
      <c r="I962" s="69"/>
      <c r="J962" s="69" t="s">
        <v>5024</v>
      </c>
      <c r="K962" s="71" t="s">
        <v>5025</v>
      </c>
      <c r="L962" s="71" t="s">
        <v>5026</v>
      </c>
      <c r="M962" s="71" t="s">
        <v>5027</v>
      </c>
      <c r="N962" s="69" t="s">
        <v>57</v>
      </c>
      <c r="O962" s="64">
        <v>1</v>
      </c>
      <c r="P962" s="72">
        <v>403900000</v>
      </c>
      <c r="Q962" s="69" t="s">
        <v>5028</v>
      </c>
      <c r="R962" s="69"/>
      <c r="S962" s="68" t="s">
        <v>561</v>
      </c>
      <c r="T962" s="56">
        <v>25</v>
      </c>
      <c r="U962" s="56">
        <v>4</v>
      </c>
    </row>
    <row r="963" spans="1:21" ht="14.25" customHeight="1" x14ac:dyDescent="0.35">
      <c r="A963" s="47">
        <v>947</v>
      </c>
      <c r="B963" s="69" t="s">
        <v>70</v>
      </c>
      <c r="C963" s="69" t="s">
        <v>71</v>
      </c>
      <c r="D963" s="70" t="s">
        <v>122</v>
      </c>
      <c r="E963" s="69" t="s">
        <v>5029</v>
      </c>
      <c r="F963" s="69" t="s">
        <v>5030</v>
      </c>
      <c r="G963" s="69" t="s">
        <v>415</v>
      </c>
      <c r="H963" s="70">
        <v>2009</v>
      </c>
      <c r="I963" s="69"/>
      <c r="J963" s="69" t="s">
        <v>5031</v>
      </c>
      <c r="K963" s="71" t="s">
        <v>5032</v>
      </c>
      <c r="L963" s="71" t="s">
        <v>5033</v>
      </c>
      <c r="M963" s="71" t="s">
        <v>5034</v>
      </c>
      <c r="N963" s="69" t="s">
        <v>57</v>
      </c>
      <c r="O963" s="64">
        <v>1</v>
      </c>
      <c r="P963" s="72">
        <v>199500000</v>
      </c>
      <c r="Q963" s="69" t="s">
        <v>5035</v>
      </c>
      <c r="R963" s="69"/>
      <c r="S963" s="68" t="s">
        <v>561</v>
      </c>
      <c r="T963" s="56">
        <v>25</v>
      </c>
      <c r="U963" s="56">
        <v>4</v>
      </c>
    </row>
    <row r="964" spans="1:21" ht="14.25" customHeight="1" thickBot="1" x14ac:dyDescent="0.4">
      <c r="A964" s="58">
        <v>948</v>
      </c>
      <c r="B964" s="69" t="s">
        <v>70</v>
      </c>
      <c r="C964" s="69" t="s">
        <v>71</v>
      </c>
      <c r="D964" s="70" t="s">
        <v>126</v>
      </c>
      <c r="E964" s="69" t="s">
        <v>2068</v>
      </c>
      <c r="F964" s="69" t="s">
        <v>1683</v>
      </c>
      <c r="G964" s="69" t="s">
        <v>140</v>
      </c>
      <c r="H964" s="70">
        <v>2015</v>
      </c>
      <c r="I964" s="69" t="s">
        <v>63</v>
      </c>
      <c r="J964" s="69" t="s">
        <v>5036</v>
      </c>
      <c r="K964" s="71" t="s">
        <v>5037</v>
      </c>
      <c r="L964" s="71" t="s">
        <v>5038</v>
      </c>
      <c r="M964" s="71" t="s">
        <v>5039</v>
      </c>
      <c r="N964" s="69" t="s">
        <v>57</v>
      </c>
      <c r="O964" s="64">
        <v>1</v>
      </c>
      <c r="P964" s="72">
        <v>430864000</v>
      </c>
      <c r="Q964" s="69" t="s">
        <v>5040</v>
      </c>
      <c r="R964" s="69"/>
      <c r="S964" s="68" t="s">
        <v>561</v>
      </c>
      <c r="T964" s="56">
        <v>25</v>
      </c>
      <c r="U964" s="56">
        <v>4</v>
      </c>
    </row>
    <row r="965" spans="1:21" ht="14.25" customHeight="1" x14ac:dyDescent="0.35">
      <c r="A965" s="47">
        <v>949</v>
      </c>
      <c r="B965" s="69" t="s">
        <v>79</v>
      </c>
      <c r="C965" s="69" t="s">
        <v>80</v>
      </c>
      <c r="D965" s="70" t="s">
        <v>51</v>
      </c>
      <c r="E965" s="69" t="s">
        <v>5041</v>
      </c>
      <c r="F965" s="69" t="s">
        <v>443</v>
      </c>
      <c r="G965" s="69" t="s">
        <v>54</v>
      </c>
      <c r="H965" s="70">
        <v>2003</v>
      </c>
      <c r="I965" s="69" t="s">
        <v>63</v>
      </c>
      <c r="J965" s="69" t="s">
        <v>5042</v>
      </c>
      <c r="K965" s="71" t="s">
        <v>5043</v>
      </c>
      <c r="L965" s="71" t="s">
        <v>5044</v>
      </c>
      <c r="M965" s="71" t="s">
        <v>5045</v>
      </c>
      <c r="N965" s="69" t="s">
        <v>57</v>
      </c>
      <c r="O965" s="64">
        <v>1</v>
      </c>
      <c r="P965" s="72">
        <v>12500000</v>
      </c>
      <c r="Q965" s="69" t="s">
        <v>63</v>
      </c>
      <c r="R965" s="69"/>
      <c r="S965" s="68" t="s">
        <v>561</v>
      </c>
      <c r="T965" s="56">
        <v>25</v>
      </c>
      <c r="U965" s="56">
        <v>3</v>
      </c>
    </row>
    <row r="966" spans="1:21" ht="14.25" customHeight="1" thickBot="1" x14ac:dyDescent="0.4">
      <c r="A966" s="58">
        <v>950</v>
      </c>
      <c r="B966" s="69" t="s">
        <v>79</v>
      </c>
      <c r="C966" s="69" t="s">
        <v>80</v>
      </c>
      <c r="D966" s="70" t="s">
        <v>59</v>
      </c>
      <c r="E966" s="69" t="s">
        <v>5046</v>
      </c>
      <c r="F966" s="69" t="s">
        <v>202</v>
      </c>
      <c r="G966" s="69" t="s">
        <v>54</v>
      </c>
      <c r="H966" s="70">
        <v>2012</v>
      </c>
      <c r="I966" s="69"/>
      <c r="J966" s="69" t="s">
        <v>5047</v>
      </c>
      <c r="K966" s="71" t="s">
        <v>5048</v>
      </c>
      <c r="L966" s="71" t="s">
        <v>5049</v>
      </c>
      <c r="M966" s="71" t="s">
        <v>5050</v>
      </c>
      <c r="N966" s="69" t="s">
        <v>57</v>
      </c>
      <c r="O966" s="64">
        <v>1</v>
      </c>
      <c r="P966" s="72">
        <v>12557550</v>
      </c>
      <c r="Q966" s="69" t="s">
        <v>5051</v>
      </c>
      <c r="R966" s="69"/>
      <c r="S966" s="68" t="s">
        <v>561</v>
      </c>
      <c r="T966" s="56">
        <v>25</v>
      </c>
      <c r="U966" s="56">
        <v>3</v>
      </c>
    </row>
    <row r="967" spans="1:21" ht="14.25" customHeight="1" x14ac:dyDescent="0.35">
      <c r="A967" s="47">
        <v>951</v>
      </c>
      <c r="B967" s="69" t="s">
        <v>79</v>
      </c>
      <c r="C967" s="69" t="s">
        <v>80</v>
      </c>
      <c r="D967" s="70" t="s">
        <v>97</v>
      </c>
      <c r="E967" s="69" t="s">
        <v>3304</v>
      </c>
      <c r="F967" s="69" t="s">
        <v>443</v>
      </c>
      <c r="G967" s="69" t="s">
        <v>54</v>
      </c>
      <c r="H967" s="70">
        <v>2013</v>
      </c>
      <c r="I967" s="69" t="s">
        <v>63</v>
      </c>
      <c r="J967" s="69" t="s">
        <v>5052</v>
      </c>
      <c r="K967" s="71" t="s">
        <v>5053</v>
      </c>
      <c r="L967" s="71" t="s">
        <v>5054</v>
      </c>
      <c r="M967" s="71" t="s">
        <v>5055</v>
      </c>
      <c r="N967" s="69" t="s">
        <v>57</v>
      </c>
      <c r="O967" s="64">
        <v>1</v>
      </c>
      <c r="P967" s="72">
        <v>13055500</v>
      </c>
      <c r="Q967" s="69" t="s">
        <v>4923</v>
      </c>
      <c r="R967" s="69"/>
      <c r="S967" s="68" t="s">
        <v>561</v>
      </c>
      <c r="T967" s="56">
        <v>25</v>
      </c>
      <c r="U967" s="56">
        <v>3</v>
      </c>
    </row>
    <row r="968" spans="1:21" ht="14.25" customHeight="1" thickBot="1" x14ac:dyDescent="0.4">
      <c r="A968" s="58">
        <v>952</v>
      </c>
      <c r="B968" s="69" t="s">
        <v>79</v>
      </c>
      <c r="C968" s="69" t="s">
        <v>80</v>
      </c>
      <c r="D968" s="70" t="s">
        <v>101</v>
      </c>
      <c r="E968" s="69" t="s">
        <v>230</v>
      </c>
      <c r="F968" s="69" t="s">
        <v>231</v>
      </c>
      <c r="G968" s="69" t="s">
        <v>54</v>
      </c>
      <c r="H968" s="70">
        <v>2013</v>
      </c>
      <c r="I968" s="69" t="s">
        <v>63</v>
      </c>
      <c r="J968" s="69" t="s">
        <v>5056</v>
      </c>
      <c r="K968" s="71" t="s">
        <v>5057</v>
      </c>
      <c r="L968" s="71" t="s">
        <v>5058</v>
      </c>
      <c r="M968" s="71" t="s">
        <v>5059</v>
      </c>
      <c r="N968" s="69" t="s">
        <v>57</v>
      </c>
      <c r="O968" s="64">
        <v>1</v>
      </c>
      <c r="P968" s="72">
        <v>18381100</v>
      </c>
      <c r="Q968" s="69" t="s">
        <v>5060</v>
      </c>
      <c r="R968" s="69"/>
      <c r="S968" s="68" t="s">
        <v>561</v>
      </c>
      <c r="T968" s="56">
        <v>25</v>
      </c>
      <c r="U968" s="56">
        <v>3</v>
      </c>
    </row>
    <row r="969" spans="1:21" ht="14.25" customHeight="1" x14ac:dyDescent="0.35">
      <c r="A969" s="47">
        <v>953</v>
      </c>
      <c r="B969" s="69" t="s">
        <v>79</v>
      </c>
      <c r="C969" s="69" t="s">
        <v>80</v>
      </c>
      <c r="D969" s="70" t="s">
        <v>107</v>
      </c>
      <c r="E969" s="69" t="s">
        <v>3309</v>
      </c>
      <c r="F969" s="69" t="s">
        <v>163</v>
      </c>
      <c r="G969" s="69" t="s">
        <v>140</v>
      </c>
      <c r="H969" s="70">
        <v>2014</v>
      </c>
      <c r="I969" s="69"/>
      <c r="J969" s="69" t="s">
        <v>5061</v>
      </c>
      <c r="K969" s="71" t="s">
        <v>5062</v>
      </c>
      <c r="L969" s="71" t="s">
        <v>5063</v>
      </c>
      <c r="M969" s="71" t="s">
        <v>5064</v>
      </c>
      <c r="N969" s="69" t="s">
        <v>57</v>
      </c>
      <c r="O969" s="64">
        <v>1</v>
      </c>
      <c r="P969" s="72">
        <v>14403120</v>
      </c>
      <c r="Q969" s="69" t="s">
        <v>4629</v>
      </c>
      <c r="R969" s="69"/>
      <c r="S969" s="68" t="s">
        <v>561</v>
      </c>
      <c r="T969" s="56">
        <v>25</v>
      </c>
      <c r="U969" s="56">
        <v>3</v>
      </c>
    </row>
    <row r="970" spans="1:21" ht="14.25" customHeight="1" thickBot="1" x14ac:dyDescent="0.4">
      <c r="A970" s="58">
        <v>954</v>
      </c>
      <c r="B970" s="69" t="s">
        <v>79</v>
      </c>
      <c r="C970" s="69" t="s">
        <v>80</v>
      </c>
      <c r="D970" s="70" t="s">
        <v>112</v>
      </c>
      <c r="E970" s="69" t="s">
        <v>5065</v>
      </c>
      <c r="F970" s="69" t="s">
        <v>443</v>
      </c>
      <c r="G970" s="69" t="s">
        <v>54</v>
      </c>
      <c r="H970" s="70">
        <v>2008</v>
      </c>
      <c r="I970" s="69"/>
      <c r="J970" s="69" t="s">
        <v>5066</v>
      </c>
      <c r="K970" s="71" t="s">
        <v>5067</v>
      </c>
      <c r="L970" s="71" t="s">
        <v>5068</v>
      </c>
      <c r="M970" s="71" t="s">
        <v>5069</v>
      </c>
      <c r="N970" s="69" t="s">
        <v>57</v>
      </c>
      <c r="O970" s="64">
        <v>1</v>
      </c>
      <c r="P970" s="72">
        <v>14210000</v>
      </c>
      <c r="Q970" s="69" t="s">
        <v>5070</v>
      </c>
      <c r="R970" s="69"/>
      <c r="S970" s="68" t="s">
        <v>561</v>
      </c>
      <c r="T970" s="56">
        <v>25</v>
      </c>
      <c r="U970" s="56">
        <v>3</v>
      </c>
    </row>
    <row r="971" spans="1:21" ht="14.25" customHeight="1" x14ac:dyDescent="0.35">
      <c r="A971" s="47">
        <v>955</v>
      </c>
      <c r="B971" s="69" t="s">
        <v>79</v>
      </c>
      <c r="C971" s="69" t="s">
        <v>80</v>
      </c>
      <c r="D971" s="70" t="s">
        <v>116</v>
      </c>
      <c r="E971" s="69" t="s">
        <v>5065</v>
      </c>
      <c r="F971" s="69" t="s">
        <v>202</v>
      </c>
      <c r="G971" s="69" t="s">
        <v>54</v>
      </c>
      <c r="H971" s="70">
        <v>2008</v>
      </c>
      <c r="I971" s="69"/>
      <c r="J971" s="69" t="s">
        <v>5071</v>
      </c>
      <c r="K971" s="71" t="s">
        <v>5072</v>
      </c>
      <c r="L971" s="71" t="s">
        <v>5073</v>
      </c>
      <c r="M971" s="71" t="s">
        <v>5074</v>
      </c>
      <c r="N971" s="69" t="s">
        <v>57</v>
      </c>
      <c r="O971" s="64">
        <v>1</v>
      </c>
      <c r="P971" s="72">
        <v>14210000</v>
      </c>
      <c r="Q971" s="69" t="s">
        <v>5075</v>
      </c>
      <c r="R971" s="69"/>
      <c r="S971" s="68" t="s">
        <v>561</v>
      </c>
      <c r="T971" s="56">
        <v>25</v>
      </c>
      <c r="U971" s="56">
        <v>3</v>
      </c>
    </row>
    <row r="972" spans="1:21" ht="14.25" customHeight="1" thickBot="1" x14ac:dyDescent="0.4">
      <c r="A972" s="58">
        <v>956</v>
      </c>
      <c r="B972" s="69" t="s">
        <v>79</v>
      </c>
      <c r="C972" s="69" t="s">
        <v>80</v>
      </c>
      <c r="D972" s="70" t="s">
        <v>841</v>
      </c>
      <c r="E972" s="69" t="s">
        <v>5065</v>
      </c>
      <c r="F972" s="69" t="s">
        <v>202</v>
      </c>
      <c r="G972" s="69" t="s">
        <v>54</v>
      </c>
      <c r="H972" s="70">
        <v>2008</v>
      </c>
      <c r="I972" s="69"/>
      <c r="J972" s="69" t="s">
        <v>5076</v>
      </c>
      <c r="K972" s="71" t="s">
        <v>5077</v>
      </c>
      <c r="L972" s="71" t="s">
        <v>5078</v>
      </c>
      <c r="M972" s="71" t="s">
        <v>5079</v>
      </c>
      <c r="N972" s="69" t="s">
        <v>57</v>
      </c>
      <c r="O972" s="64">
        <v>1</v>
      </c>
      <c r="P972" s="72">
        <v>14210000</v>
      </c>
      <c r="Q972" s="69" t="s">
        <v>5080</v>
      </c>
      <c r="R972" s="69"/>
      <c r="S972" s="68" t="s">
        <v>561</v>
      </c>
      <c r="T972" s="56">
        <v>25</v>
      </c>
      <c r="U972" s="56">
        <v>3</v>
      </c>
    </row>
    <row r="973" spans="1:21" ht="14.25" customHeight="1" x14ac:dyDescent="0.35">
      <c r="A973" s="47">
        <v>957</v>
      </c>
      <c r="B973" s="69" t="s">
        <v>79</v>
      </c>
      <c r="C973" s="69" t="s">
        <v>80</v>
      </c>
      <c r="D973" s="70" t="s">
        <v>904</v>
      </c>
      <c r="E973" s="69" t="s">
        <v>5065</v>
      </c>
      <c r="F973" s="69" t="s">
        <v>443</v>
      </c>
      <c r="G973" s="69" t="s">
        <v>54</v>
      </c>
      <c r="H973" s="70">
        <v>2008</v>
      </c>
      <c r="I973" s="69"/>
      <c r="J973" s="69" t="s">
        <v>5081</v>
      </c>
      <c r="K973" s="71" t="s">
        <v>5082</v>
      </c>
      <c r="L973" s="71" t="s">
        <v>5083</v>
      </c>
      <c r="M973" s="71" t="s">
        <v>5084</v>
      </c>
      <c r="N973" s="69" t="s">
        <v>57</v>
      </c>
      <c r="O973" s="64">
        <v>1</v>
      </c>
      <c r="P973" s="72">
        <v>14210000</v>
      </c>
      <c r="Q973" s="69" t="s">
        <v>5085</v>
      </c>
      <c r="R973" s="69"/>
      <c r="S973" s="68" t="s">
        <v>561</v>
      </c>
      <c r="T973" s="56">
        <v>25</v>
      </c>
      <c r="U973" s="56">
        <v>3</v>
      </c>
    </row>
    <row r="974" spans="1:21" ht="14.25" customHeight="1" thickBot="1" x14ac:dyDescent="0.4">
      <c r="A974" s="58">
        <v>958</v>
      </c>
      <c r="B974" s="69" t="s">
        <v>79</v>
      </c>
      <c r="C974" s="69" t="s">
        <v>80</v>
      </c>
      <c r="D974" s="70" t="s">
        <v>122</v>
      </c>
      <c r="E974" s="69" t="s">
        <v>5065</v>
      </c>
      <c r="F974" s="69" t="s">
        <v>443</v>
      </c>
      <c r="G974" s="69" t="s">
        <v>54</v>
      </c>
      <c r="H974" s="70">
        <v>2008</v>
      </c>
      <c r="I974" s="69"/>
      <c r="J974" s="69" t="s">
        <v>5086</v>
      </c>
      <c r="K974" s="71" t="s">
        <v>5087</v>
      </c>
      <c r="L974" s="71" t="s">
        <v>5088</v>
      </c>
      <c r="M974" s="71" t="s">
        <v>5089</v>
      </c>
      <c r="N974" s="69" t="s">
        <v>57</v>
      </c>
      <c r="O974" s="64">
        <v>1</v>
      </c>
      <c r="P974" s="72">
        <v>14210000</v>
      </c>
      <c r="Q974" s="69" t="s">
        <v>5090</v>
      </c>
      <c r="R974" s="69"/>
      <c r="S974" s="68" t="s">
        <v>561</v>
      </c>
      <c r="T974" s="56">
        <v>25</v>
      </c>
      <c r="U974" s="56">
        <v>3</v>
      </c>
    </row>
    <row r="975" spans="1:21" ht="14.25" customHeight="1" x14ac:dyDescent="0.35">
      <c r="A975" s="47">
        <v>959</v>
      </c>
      <c r="B975" s="69" t="s">
        <v>79</v>
      </c>
      <c r="C975" s="69" t="s">
        <v>80</v>
      </c>
      <c r="D975" s="70" t="s">
        <v>126</v>
      </c>
      <c r="E975" s="69" t="s">
        <v>5065</v>
      </c>
      <c r="F975" s="69" t="s">
        <v>443</v>
      </c>
      <c r="G975" s="69" t="s">
        <v>54</v>
      </c>
      <c r="H975" s="70">
        <v>2008</v>
      </c>
      <c r="I975" s="69"/>
      <c r="J975" s="69" t="s">
        <v>5091</v>
      </c>
      <c r="K975" s="71" t="s">
        <v>5092</v>
      </c>
      <c r="L975" s="71" t="s">
        <v>5093</v>
      </c>
      <c r="M975" s="71" t="s">
        <v>5094</v>
      </c>
      <c r="N975" s="69" t="s">
        <v>57</v>
      </c>
      <c r="O975" s="64">
        <v>1</v>
      </c>
      <c r="P975" s="72">
        <v>14210000</v>
      </c>
      <c r="Q975" s="69" t="s">
        <v>5095</v>
      </c>
      <c r="R975" s="69"/>
      <c r="S975" s="68" t="s">
        <v>561</v>
      </c>
      <c r="T975" s="56">
        <v>25</v>
      </c>
      <c r="U975" s="56">
        <v>3</v>
      </c>
    </row>
    <row r="976" spans="1:21" ht="14.25" customHeight="1" thickBot="1" x14ac:dyDescent="0.4">
      <c r="A976" s="58">
        <v>960</v>
      </c>
      <c r="B976" s="69" t="s">
        <v>79</v>
      </c>
      <c r="C976" s="69" t="s">
        <v>80</v>
      </c>
      <c r="D976" s="70" t="s">
        <v>132</v>
      </c>
      <c r="E976" s="69" t="s">
        <v>5065</v>
      </c>
      <c r="F976" s="69" t="s">
        <v>443</v>
      </c>
      <c r="G976" s="69" t="s">
        <v>54</v>
      </c>
      <c r="H976" s="70">
        <v>2008</v>
      </c>
      <c r="I976" s="69"/>
      <c r="J976" s="69" t="s">
        <v>5096</v>
      </c>
      <c r="K976" s="71" t="s">
        <v>5097</v>
      </c>
      <c r="L976" s="71" t="s">
        <v>5098</v>
      </c>
      <c r="M976" s="71" t="s">
        <v>5099</v>
      </c>
      <c r="N976" s="69" t="s">
        <v>57</v>
      </c>
      <c r="O976" s="64">
        <v>1</v>
      </c>
      <c r="P976" s="72">
        <v>14210000</v>
      </c>
      <c r="Q976" s="69" t="s">
        <v>5100</v>
      </c>
      <c r="R976" s="69"/>
      <c r="S976" s="68" t="s">
        <v>561</v>
      </c>
      <c r="T976" s="56">
        <v>25</v>
      </c>
      <c r="U976" s="56">
        <v>3</v>
      </c>
    </row>
    <row r="977" spans="1:21" ht="14.25" customHeight="1" x14ac:dyDescent="0.35">
      <c r="A977" s="47">
        <v>961</v>
      </c>
      <c r="B977" s="69" t="s">
        <v>79</v>
      </c>
      <c r="C977" s="69" t="s">
        <v>80</v>
      </c>
      <c r="D977" s="70" t="s">
        <v>137</v>
      </c>
      <c r="E977" s="69" t="s">
        <v>5101</v>
      </c>
      <c r="F977" s="69" t="s">
        <v>443</v>
      </c>
      <c r="G977" s="69" t="s">
        <v>54</v>
      </c>
      <c r="H977" s="70">
        <v>2008</v>
      </c>
      <c r="I977" s="69" t="s">
        <v>63</v>
      </c>
      <c r="J977" s="69" t="s">
        <v>5102</v>
      </c>
      <c r="K977" s="71" t="s">
        <v>5103</v>
      </c>
      <c r="L977" s="71" t="s">
        <v>5104</v>
      </c>
      <c r="M977" s="71" t="s">
        <v>5105</v>
      </c>
      <c r="N977" s="69" t="s">
        <v>57</v>
      </c>
      <c r="O977" s="64">
        <v>1</v>
      </c>
      <c r="P977" s="72">
        <v>14500000</v>
      </c>
      <c r="Q977" s="69" t="s">
        <v>5106</v>
      </c>
      <c r="R977" s="69"/>
      <c r="S977" s="68" t="s">
        <v>561</v>
      </c>
      <c r="T977" s="56">
        <v>25</v>
      </c>
      <c r="U977" s="56">
        <v>3</v>
      </c>
    </row>
    <row r="978" spans="1:21" ht="14.25" customHeight="1" thickBot="1" x14ac:dyDescent="0.4">
      <c r="A978" s="58">
        <v>962</v>
      </c>
      <c r="B978" s="69" t="s">
        <v>79</v>
      </c>
      <c r="C978" s="69" t="s">
        <v>80</v>
      </c>
      <c r="D978" s="70" t="s">
        <v>146</v>
      </c>
      <c r="E978" s="69" t="s">
        <v>2513</v>
      </c>
      <c r="F978" s="69" t="s">
        <v>202</v>
      </c>
      <c r="G978" s="69" t="s">
        <v>54</v>
      </c>
      <c r="H978" s="70">
        <v>2010</v>
      </c>
      <c r="I978" s="69"/>
      <c r="J978" s="69" t="s">
        <v>5107</v>
      </c>
      <c r="K978" s="71" t="s">
        <v>5108</v>
      </c>
      <c r="L978" s="71" t="s">
        <v>5109</v>
      </c>
      <c r="M978" s="71" t="s">
        <v>5110</v>
      </c>
      <c r="N978" s="69" t="s">
        <v>57</v>
      </c>
      <c r="O978" s="64">
        <v>1</v>
      </c>
      <c r="P978" s="72">
        <v>16050000</v>
      </c>
      <c r="Q978" s="69" t="s">
        <v>5111</v>
      </c>
      <c r="R978" s="69"/>
      <c r="S978" s="68" t="s">
        <v>561</v>
      </c>
      <c r="T978" s="56">
        <v>25</v>
      </c>
      <c r="U978" s="56">
        <v>3</v>
      </c>
    </row>
    <row r="979" spans="1:21" ht="14.25" customHeight="1" x14ac:dyDescent="0.35">
      <c r="A979" s="47">
        <v>963</v>
      </c>
      <c r="B979" s="69" t="s">
        <v>79</v>
      </c>
      <c r="C979" s="69" t="s">
        <v>80</v>
      </c>
      <c r="D979" s="70" t="s">
        <v>154</v>
      </c>
      <c r="E979" s="69" t="s">
        <v>2513</v>
      </c>
      <c r="F979" s="69" t="s">
        <v>202</v>
      </c>
      <c r="G979" s="69" t="s">
        <v>54</v>
      </c>
      <c r="H979" s="70">
        <v>2010</v>
      </c>
      <c r="I979" s="69"/>
      <c r="J979" s="69" t="s">
        <v>5112</v>
      </c>
      <c r="K979" s="71" t="s">
        <v>5113</v>
      </c>
      <c r="L979" s="71" t="s">
        <v>5114</v>
      </c>
      <c r="M979" s="71" t="s">
        <v>5115</v>
      </c>
      <c r="N979" s="69" t="s">
        <v>57</v>
      </c>
      <c r="O979" s="64">
        <v>1</v>
      </c>
      <c r="P979" s="72">
        <v>16050000</v>
      </c>
      <c r="Q979" s="69" t="s">
        <v>5116</v>
      </c>
      <c r="R979" s="69"/>
      <c r="S979" s="68" t="s">
        <v>561</v>
      </c>
      <c r="T979" s="56">
        <v>25</v>
      </c>
      <c r="U979" s="56">
        <v>3</v>
      </c>
    </row>
    <row r="980" spans="1:21" ht="14.25" customHeight="1" thickBot="1" x14ac:dyDescent="0.4">
      <c r="A980" s="58">
        <v>964</v>
      </c>
      <c r="B980" s="69" t="s">
        <v>79</v>
      </c>
      <c r="C980" s="69" t="s">
        <v>80</v>
      </c>
      <c r="D980" s="70" t="s">
        <v>161</v>
      </c>
      <c r="E980" s="69" t="s">
        <v>2513</v>
      </c>
      <c r="F980" s="69" t="s">
        <v>202</v>
      </c>
      <c r="G980" s="69" t="s">
        <v>54</v>
      </c>
      <c r="H980" s="70">
        <v>2010</v>
      </c>
      <c r="I980" s="69"/>
      <c r="J980" s="69" t="s">
        <v>5117</v>
      </c>
      <c r="K980" s="71" t="s">
        <v>5118</v>
      </c>
      <c r="L980" s="71" t="s">
        <v>5119</v>
      </c>
      <c r="M980" s="71" t="s">
        <v>5120</v>
      </c>
      <c r="N980" s="69" t="s">
        <v>57</v>
      </c>
      <c r="O980" s="64">
        <v>1</v>
      </c>
      <c r="P980" s="72">
        <v>16050000</v>
      </c>
      <c r="Q980" s="69" t="s">
        <v>5121</v>
      </c>
      <c r="R980" s="69"/>
      <c r="S980" s="68" t="s">
        <v>561</v>
      </c>
      <c r="T980" s="56">
        <v>25</v>
      </c>
      <c r="U980" s="56">
        <v>3</v>
      </c>
    </row>
    <row r="981" spans="1:21" ht="14.25" customHeight="1" x14ac:dyDescent="0.35">
      <c r="A981" s="47">
        <v>965</v>
      </c>
      <c r="B981" s="69" t="s">
        <v>79</v>
      </c>
      <c r="C981" s="69" t="s">
        <v>80</v>
      </c>
      <c r="D981" s="70" t="s">
        <v>169</v>
      </c>
      <c r="E981" s="69" t="s">
        <v>1860</v>
      </c>
      <c r="F981" s="69" t="s">
        <v>202</v>
      </c>
      <c r="G981" s="69" t="s">
        <v>54</v>
      </c>
      <c r="H981" s="70">
        <v>2012</v>
      </c>
      <c r="I981" s="69"/>
      <c r="J981" s="69" t="s">
        <v>5122</v>
      </c>
      <c r="K981" s="71" t="s">
        <v>5123</v>
      </c>
      <c r="L981" s="71" t="s">
        <v>5124</v>
      </c>
      <c r="M981" s="71" t="s">
        <v>5125</v>
      </c>
      <c r="N981" s="69" t="s">
        <v>57</v>
      </c>
      <c r="O981" s="64">
        <v>1</v>
      </c>
      <c r="P981" s="72">
        <v>13177550</v>
      </c>
      <c r="Q981" s="69" t="s">
        <v>5126</v>
      </c>
      <c r="R981" s="69"/>
      <c r="S981" s="68" t="s">
        <v>561</v>
      </c>
      <c r="T981" s="56">
        <v>25</v>
      </c>
      <c r="U981" s="56">
        <v>3</v>
      </c>
    </row>
    <row r="982" spans="1:21" ht="14.25" customHeight="1" thickBot="1" x14ac:dyDescent="0.4">
      <c r="A982" s="58">
        <v>966</v>
      </c>
      <c r="B982" s="69" t="s">
        <v>79</v>
      </c>
      <c r="C982" s="69" t="s">
        <v>80</v>
      </c>
      <c r="D982" s="70" t="s">
        <v>176</v>
      </c>
      <c r="E982" s="69" t="s">
        <v>230</v>
      </c>
      <c r="F982" s="69" t="s">
        <v>231</v>
      </c>
      <c r="G982" s="69" t="s">
        <v>54</v>
      </c>
      <c r="H982" s="70">
        <v>2013</v>
      </c>
      <c r="I982" s="69" t="s">
        <v>63</v>
      </c>
      <c r="J982" s="69" t="s">
        <v>5127</v>
      </c>
      <c r="K982" s="71" t="s">
        <v>5128</v>
      </c>
      <c r="L982" s="71" t="s">
        <v>5129</v>
      </c>
      <c r="M982" s="71" t="s">
        <v>5130</v>
      </c>
      <c r="N982" s="69" t="s">
        <v>57</v>
      </c>
      <c r="O982" s="64">
        <v>1</v>
      </c>
      <c r="P982" s="72">
        <v>18381100</v>
      </c>
      <c r="Q982" s="69" t="s">
        <v>5131</v>
      </c>
      <c r="R982" s="69"/>
      <c r="S982" s="68" t="s">
        <v>561</v>
      </c>
      <c r="T982" s="56">
        <v>25</v>
      </c>
      <c r="U982" s="56">
        <v>3</v>
      </c>
    </row>
    <row r="983" spans="1:21" ht="14.25" customHeight="1" x14ac:dyDescent="0.35">
      <c r="A983" s="47">
        <v>967</v>
      </c>
      <c r="B983" s="69" t="s">
        <v>79</v>
      </c>
      <c r="C983" s="69" t="s">
        <v>80</v>
      </c>
      <c r="D983" s="70" t="s">
        <v>1236</v>
      </c>
      <c r="E983" s="69" t="s">
        <v>138</v>
      </c>
      <c r="F983" s="69" t="s">
        <v>139</v>
      </c>
      <c r="G983" s="69" t="s">
        <v>140</v>
      </c>
      <c r="H983" s="70">
        <v>2014</v>
      </c>
      <c r="I983" s="69"/>
      <c r="J983" s="69" t="s">
        <v>5132</v>
      </c>
      <c r="K983" s="71" t="s">
        <v>5133</v>
      </c>
      <c r="L983" s="71" t="s">
        <v>5134</v>
      </c>
      <c r="M983" s="71" t="s">
        <v>5135</v>
      </c>
      <c r="N983" s="69" t="s">
        <v>57</v>
      </c>
      <c r="O983" s="64">
        <v>1</v>
      </c>
      <c r="P983" s="72">
        <v>17194000</v>
      </c>
      <c r="Q983" s="69" t="s">
        <v>5136</v>
      </c>
      <c r="R983" s="69"/>
      <c r="S983" s="68" t="s">
        <v>561</v>
      </c>
      <c r="T983" s="56">
        <v>25</v>
      </c>
      <c r="U983" s="56">
        <v>3</v>
      </c>
    </row>
    <row r="984" spans="1:21" ht="14.25" customHeight="1" thickBot="1" x14ac:dyDescent="0.4">
      <c r="A984" s="58">
        <v>968</v>
      </c>
      <c r="B984" s="69" t="s">
        <v>79</v>
      </c>
      <c r="C984" s="69" t="s">
        <v>80</v>
      </c>
      <c r="D984" s="70" t="s">
        <v>181</v>
      </c>
      <c r="E984" s="69" t="s">
        <v>138</v>
      </c>
      <c r="F984" s="69" t="s">
        <v>139</v>
      </c>
      <c r="G984" s="69" t="s">
        <v>140</v>
      </c>
      <c r="H984" s="70">
        <v>2014</v>
      </c>
      <c r="I984" s="69"/>
      <c r="J984" s="69" t="s">
        <v>5137</v>
      </c>
      <c r="K984" s="71" t="s">
        <v>5138</v>
      </c>
      <c r="L984" s="71" t="s">
        <v>5139</v>
      </c>
      <c r="M984" s="71" t="s">
        <v>5140</v>
      </c>
      <c r="N984" s="69" t="s">
        <v>57</v>
      </c>
      <c r="O984" s="64">
        <v>1</v>
      </c>
      <c r="P984" s="72">
        <v>17194000</v>
      </c>
      <c r="Q984" s="69" t="s">
        <v>5141</v>
      </c>
      <c r="R984" s="69"/>
      <c r="S984" s="68" t="s">
        <v>561</v>
      </c>
      <c r="T984" s="56">
        <v>25</v>
      </c>
      <c r="U984" s="56">
        <v>3</v>
      </c>
    </row>
    <row r="985" spans="1:21" ht="14.25" customHeight="1" x14ac:dyDescent="0.35">
      <c r="A985" s="47">
        <v>969</v>
      </c>
      <c r="B985" s="69" t="s">
        <v>79</v>
      </c>
      <c r="C985" s="69" t="s">
        <v>80</v>
      </c>
      <c r="D985" s="70" t="s">
        <v>187</v>
      </c>
      <c r="E985" s="69" t="s">
        <v>138</v>
      </c>
      <c r="F985" s="69" t="s">
        <v>139</v>
      </c>
      <c r="G985" s="69" t="s">
        <v>140</v>
      </c>
      <c r="H985" s="70">
        <v>2014</v>
      </c>
      <c r="I985" s="69"/>
      <c r="J985" s="69" t="s">
        <v>5142</v>
      </c>
      <c r="K985" s="71" t="s">
        <v>5143</v>
      </c>
      <c r="L985" s="71" t="s">
        <v>5144</v>
      </c>
      <c r="M985" s="71" t="s">
        <v>5145</v>
      </c>
      <c r="N985" s="69" t="s">
        <v>57</v>
      </c>
      <c r="O985" s="64">
        <v>1</v>
      </c>
      <c r="P985" s="72">
        <v>17194000</v>
      </c>
      <c r="Q985" s="69" t="s">
        <v>5146</v>
      </c>
      <c r="R985" s="69"/>
      <c r="S985" s="68" t="s">
        <v>561</v>
      </c>
      <c r="T985" s="56">
        <v>25</v>
      </c>
      <c r="U985" s="56">
        <v>3</v>
      </c>
    </row>
    <row r="986" spans="1:21" ht="14.25" customHeight="1" thickBot="1" x14ac:dyDescent="0.4">
      <c r="A986" s="58">
        <v>970</v>
      </c>
      <c r="B986" s="69" t="s">
        <v>79</v>
      </c>
      <c r="C986" s="69" t="s">
        <v>80</v>
      </c>
      <c r="D986" s="70" t="s">
        <v>190</v>
      </c>
      <c r="E986" s="69" t="s">
        <v>138</v>
      </c>
      <c r="F986" s="69" t="s">
        <v>139</v>
      </c>
      <c r="G986" s="69" t="s">
        <v>140</v>
      </c>
      <c r="H986" s="70">
        <v>2014</v>
      </c>
      <c r="I986" s="69"/>
      <c r="J986" s="69" t="s">
        <v>5147</v>
      </c>
      <c r="K986" s="71" t="s">
        <v>5148</v>
      </c>
      <c r="L986" s="71" t="s">
        <v>5149</v>
      </c>
      <c r="M986" s="71" t="s">
        <v>5150</v>
      </c>
      <c r="N986" s="69" t="s">
        <v>57</v>
      </c>
      <c r="O986" s="64">
        <v>1</v>
      </c>
      <c r="P986" s="72">
        <v>17194000</v>
      </c>
      <c r="Q986" s="69" t="s">
        <v>5151</v>
      </c>
      <c r="R986" s="69"/>
      <c r="S986" s="68" t="s">
        <v>561</v>
      </c>
      <c r="T986" s="56">
        <v>25</v>
      </c>
      <c r="U986" s="56">
        <v>3</v>
      </c>
    </row>
    <row r="987" spans="1:21" ht="14.25" customHeight="1" x14ac:dyDescent="0.35">
      <c r="A987" s="47">
        <v>971</v>
      </c>
      <c r="B987" s="69" t="s">
        <v>79</v>
      </c>
      <c r="C987" s="69" t="s">
        <v>80</v>
      </c>
      <c r="D987" s="70" t="s">
        <v>192</v>
      </c>
      <c r="E987" s="69" t="s">
        <v>138</v>
      </c>
      <c r="F987" s="69" t="s">
        <v>139</v>
      </c>
      <c r="G987" s="69" t="s">
        <v>140</v>
      </c>
      <c r="H987" s="70">
        <v>2014</v>
      </c>
      <c r="I987" s="69"/>
      <c r="J987" s="69" t="s">
        <v>5152</v>
      </c>
      <c r="K987" s="71" t="s">
        <v>5153</v>
      </c>
      <c r="L987" s="71" t="s">
        <v>5154</v>
      </c>
      <c r="M987" s="71" t="s">
        <v>5155</v>
      </c>
      <c r="N987" s="69" t="s">
        <v>57</v>
      </c>
      <c r="O987" s="64">
        <v>1</v>
      </c>
      <c r="P987" s="72">
        <v>17194000</v>
      </c>
      <c r="Q987" s="69" t="s">
        <v>5156</v>
      </c>
      <c r="R987" s="69"/>
      <c r="S987" s="68" t="s">
        <v>561</v>
      </c>
      <c r="T987" s="56">
        <v>25</v>
      </c>
      <c r="U987" s="56">
        <v>3</v>
      </c>
    </row>
    <row r="988" spans="1:21" ht="14.25" customHeight="1" thickBot="1" x14ac:dyDescent="0.4">
      <c r="A988" s="58">
        <v>972</v>
      </c>
      <c r="B988" s="69" t="s">
        <v>79</v>
      </c>
      <c r="C988" s="69" t="s">
        <v>80</v>
      </c>
      <c r="D988" s="70" t="s">
        <v>194</v>
      </c>
      <c r="E988" s="69" t="s">
        <v>138</v>
      </c>
      <c r="F988" s="69" t="s">
        <v>139</v>
      </c>
      <c r="G988" s="69" t="s">
        <v>140</v>
      </c>
      <c r="H988" s="70">
        <v>2014</v>
      </c>
      <c r="I988" s="69"/>
      <c r="J988" s="69" t="s">
        <v>5157</v>
      </c>
      <c r="K988" s="71" t="s">
        <v>5158</v>
      </c>
      <c r="L988" s="71" t="s">
        <v>5159</v>
      </c>
      <c r="M988" s="71" t="s">
        <v>5160</v>
      </c>
      <c r="N988" s="69" t="s">
        <v>57</v>
      </c>
      <c r="O988" s="64">
        <v>1</v>
      </c>
      <c r="P988" s="72">
        <v>17194000</v>
      </c>
      <c r="Q988" s="69" t="s">
        <v>5161</v>
      </c>
      <c r="R988" s="69"/>
      <c r="S988" s="68" t="s">
        <v>561</v>
      </c>
      <c r="T988" s="56">
        <v>25</v>
      </c>
      <c r="U988" s="56">
        <v>3</v>
      </c>
    </row>
    <row r="989" spans="1:21" ht="14.25" customHeight="1" x14ac:dyDescent="0.35">
      <c r="A989" s="47">
        <v>973</v>
      </c>
      <c r="B989" s="69" t="s">
        <v>79</v>
      </c>
      <c r="C989" s="69" t="s">
        <v>80</v>
      </c>
      <c r="D989" s="70" t="s">
        <v>195</v>
      </c>
      <c r="E989" s="69" t="s">
        <v>138</v>
      </c>
      <c r="F989" s="69" t="s">
        <v>139</v>
      </c>
      <c r="G989" s="69" t="s">
        <v>140</v>
      </c>
      <c r="H989" s="70">
        <v>2014</v>
      </c>
      <c r="I989" s="69"/>
      <c r="J989" s="69" t="s">
        <v>5162</v>
      </c>
      <c r="K989" s="71" t="s">
        <v>5163</v>
      </c>
      <c r="L989" s="71" t="s">
        <v>5164</v>
      </c>
      <c r="M989" s="71" t="s">
        <v>5165</v>
      </c>
      <c r="N989" s="69" t="s">
        <v>57</v>
      </c>
      <c r="O989" s="64">
        <v>1</v>
      </c>
      <c r="P989" s="72">
        <v>17194000</v>
      </c>
      <c r="Q989" s="69" t="s">
        <v>5166</v>
      </c>
      <c r="R989" s="69"/>
      <c r="S989" s="68" t="s">
        <v>561</v>
      </c>
      <c r="T989" s="56">
        <v>25</v>
      </c>
      <c r="U989" s="56">
        <v>3</v>
      </c>
    </row>
    <row r="990" spans="1:21" ht="14.25" customHeight="1" thickBot="1" x14ac:dyDescent="0.4">
      <c r="A990" s="58">
        <v>974</v>
      </c>
      <c r="B990" s="69" t="s">
        <v>79</v>
      </c>
      <c r="C990" s="69" t="s">
        <v>80</v>
      </c>
      <c r="D990" s="70" t="s">
        <v>199</v>
      </c>
      <c r="E990" s="69" t="s">
        <v>138</v>
      </c>
      <c r="F990" s="69" t="s">
        <v>139</v>
      </c>
      <c r="G990" s="69" t="s">
        <v>140</v>
      </c>
      <c r="H990" s="70">
        <v>2014</v>
      </c>
      <c r="I990" s="69"/>
      <c r="J990" s="69" t="s">
        <v>5167</v>
      </c>
      <c r="K990" s="71" t="s">
        <v>5168</v>
      </c>
      <c r="L990" s="71" t="s">
        <v>5169</v>
      </c>
      <c r="M990" s="71" t="s">
        <v>5170</v>
      </c>
      <c r="N990" s="69" t="s">
        <v>57</v>
      </c>
      <c r="O990" s="64">
        <v>1</v>
      </c>
      <c r="P990" s="72">
        <v>17194000</v>
      </c>
      <c r="Q990" s="69" t="s">
        <v>5171</v>
      </c>
      <c r="R990" s="69"/>
      <c r="S990" s="68" t="s">
        <v>561</v>
      </c>
      <c r="T990" s="56">
        <v>25</v>
      </c>
      <c r="U990" s="56">
        <v>3</v>
      </c>
    </row>
    <row r="991" spans="1:21" ht="14.25" customHeight="1" x14ac:dyDescent="0.35">
      <c r="A991" s="47">
        <v>975</v>
      </c>
      <c r="B991" s="69" t="s">
        <v>79</v>
      </c>
      <c r="C991" s="69" t="s">
        <v>80</v>
      </c>
      <c r="D991" s="70" t="s">
        <v>215</v>
      </c>
      <c r="E991" s="69" t="s">
        <v>138</v>
      </c>
      <c r="F991" s="69" t="s">
        <v>139</v>
      </c>
      <c r="G991" s="69" t="s">
        <v>140</v>
      </c>
      <c r="H991" s="70">
        <v>2014</v>
      </c>
      <c r="I991" s="69"/>
      <c r="J991" s="69" t="s">
        <v>5172</v>
      </c>
      <c r="K991" s="71" t="s">
        <v>5173</v>
      </c>
      <c r="L991" s="71" t="s">
        <v>5174</v>
      </c>
      <c r="M991" s="71" t="s">
        <v>5175</v>
      </c>
      <c r="N991" s="69" t="s">
        <v>57</v>
      </c>
      <c r="O991" s="64">
        <v>1</v>
      </c>
      <c r="P991" s="72">
        <v>17194000</v>
      </c>
      <c r="Q991" s="69" t="s">
        <v>5176</v>
      </c>
      <c r="R991" s="69"/>
      <c r="S991" s="68" t="s">
        <v>561</v>
      </c>
      <c r="T991" s="56">
        <v>25</v>
      </c>
      <c r="U991" s="56">
        <v>3</v>
      </c>
    </row>
    <row r="992" spans="1:21" ht="14.25" customHeight="1" thickBot="1" x14ac:dyDescent="0.4">
      <c r="A992" s="58">
        <v>976</v>
      </c>
      <c r="B992" s="69" t="s">
        <v>79</v>
      </c>
      <c r="C992" s="69" t="s">
        <v>80</v>
      </c>
      <c r="D992" s="70" t="s">
        <v>223</v>
      </c>
      <c r="E992" s="69" t="s">
        <v>1377</v>
      </c>
      <c r="F992" s="69" t="s">
        <v>1378</v>
      </c>
      <c r="G992" s="69" t="s">
        <v>140</v>
      </c>
      <c r="H992" s="70">
        <v>2014</v>
      </c>
      <c r="I992" s="69"/>
      <c r="J992" s="69" t="s">
        <v>5177</v>
      </c>
      <c r="K992" s="71" t="s">
        <v>5178</v>
      </c>
      <c r="L992" s="71" t="s">
        <v>5179</v>
      </c>
      <c r="M992" s="71" t="s">
        <v>5180</v>
      </c>
      <c r="N992" s="69" t="s">
        <v>57</v>
      </c>
      <c r="O992" s="64">
        <v>1</v>
      </c>
      <c r="P992" s="72">
        <v>19189533</v>
      </c>
      <c r="Q992" s="69" t="s">
        <v>5181</v>
      </c>
      <c r="R992" s="69"/>
      <c r="S992" s="68" t="s">
        <v>561</v>
      </c>
      <c r="T992" s="56">
        <v>25</v>
      </c>
      <c r="U992" s="56">
        <v>3</v>
      </c>
    </row>
    <row r="993" spans="1:21" ht="14.25" customHeight="1" x14ac:dyDescent="0.35">
      <c r="A993" s="47">
        <v>977</v>
      </c>
      <c r="B993" s="69" t="s">
        <v>79</v>
      </c>
      <c r="C993" s="69" t="s">
        <v>80</v>
      </c>
      <c r="D993" s="70" t="s">
        <v>229</v>
      </c>
      <c r="E993" s="69" t="s">
        <v>4140</v>
      </c>
      <c r="F993" s="69" t="s">
        <v>4141</v>
      </c>
      <c r="G993" s="69" t="s">
        <v>140</v>
      </c>
      <c r="H993" s="70">
        <v>2015</v>
      </c>
      <c r="I993" s="69"/>
      <c r="J993" s="69" t="s">
        <v>5182</v>
      </c>
      <c r="K993" s="71" t="s">
        <v>5183</v>
      </c>
      <c r="L993" s="71" t="s">
        <v>5184</v>
      </c>
      <c r="M993" s="71" t="s">
        <v>5185</v>
      </c>
      <c r="N993" s="69" t="s">
        <v>57</v>
      </c>
      <c r="O993" s="64">
        <v>1</v>
      </c>
      <c r="P993" s="72">
        <v>16858000</v>
      </c>
      <c r="Q993" s="69" t="s">
        <v>5186</v>
      </c>
      <c r="R993" s="69"/>
      <c r="S993" s="68" t="s">
        <v>561</v>
      </c>
      <c r="T993" s="56">
        <v>25</v>
      </c>
      <c r="U993" s="56">
        <v>3</v>
      </c>
    </row>
    <row r="994" spans="1:21" ht="14.25" customHeight="1" thickBot="1" x14ac:dyDescent="0.4">
      <c r="A994" s="58">
        <v>978</v>
      </c>
      <c r="B994" s="69" t="s">
        <v>79</v>
      </c>
      <c r="C994" s="69" t="s">
        <v>80</v>
      </c>
      <c r="D994" s="70" t="s">
        <v>238</v>
      </c>
      <c r="E994" s="69" t="s">
        <v>4140</v>
      </c>
      <c r="F994" s="69" t="s">
        <v>4141</v>
      </c>
      <c r="G994" s="69" t="s">
        <v>140</v>
      </c>
      <c r="H994" s="70">
        <v>2015</v>
      </c>
      <c r="I994" s="69" t="s">
        <v>63</v>
      </c>
      <c r="J994" s="69" t="s">
        <v>5187</v>
      </c>
      <c r="K994" s="71" t="s">
        <v>5188</v>
      </c>
      <c r="L994" s="71" t="s">
        <v>5189</v>
      </c>
      <c r="M994" s="71" t="s">
        <v>5190</v>
      </c>
      <c r="N994" s="69" t="s">
        <v>57</v>
      </c>
      <c r="O994" s="64">
        <v>1</v>
      </c>
      <c r="P994" s="72">
        <v>16858000</v>
      </c>
      <c r="Q994" s="69" t="s">
        <v>5186</v>
      </c>
      <c r="R994" s="69"/>
      <c r="S994" s="68" t="s">
        <v>561</v>
      </c>
      <c r="T994" s="56">
        <v>25</v>
      </c>
      <c r="U994" s="56">
        <v>3</v>
      </c>
    </row>
    <row r="995" spans="1:21" ht="14.25" customHeight="1" x14ac:dyDescent="0.35">
      <c r="A995" s="47">
        <v>979</v>
      </c>
      <c r="B995" s="69" t="s">
        <v>79</v>
      </c>
      <c r="C995" s="69" t="s">
        <v>80</v>
      </c>
      <c r="D995" s="70" t="s">
        <v>244</v>
      </c>
      <c r="E995" s="69" t="s">
        <v>4140</v>
      </c>
      <c r="F995" s="69" t="s">
        <v>4141</v>
      </c>
      <c r="G995" s="69" t="s">
        <v>140</v>
      </c>
      <c r="H995" s="70">
        <v>2015</v>
      </c>
      <c r="I995" s="69"/>
      <c r="J995" s="69" t="s">
        <v>5191</v>
      </c>
      <c r="K995" s="71" t="s">
        <v>5192</v>
      </c>
      <c r="L995" s="71" t="s">
        <v>5193</v>
      </c>
      <c r="M995" s="71" t="s">
        <v>5194</v>
      </c>
      <c r="N995" s="69" t="s">
        <v>57</v>
      </c>
      <c r="O995" s="64">
        <v>1</v>
      </c>
      <c r="P995" s="72">
        <v>16858000</v>
      </c>
      <c r="Q995" s="69" t="s">
        <v>5186</v>
      </c>
      <c r="R995" s="69"/>
      <c r="S995" s="68" t="s">
        <v>561</v>
      </c>
      <c r="T995" s="56">
        <v>25</v>
      </c>
      <c r="U995" s="56">
        <v>3</v>
      </c>
    </row>
    <row r="996" spans="1:21" ht="14.25" customHeight="1" thickBot="1" x14ac:dyDescent="0.4">
      <c r="A996" s="58">
        <v>980</v>
      </c>
      <c r="B996" s="69" t="s">
        <v>79</v>
      </c>
      <c r="C996" s="69" t="s">
        <v>80</v>
      </c>
      <c r="D996" s="70" t="s">
        <v>264</v>
      </c>
      <c r="E996" s="69" t="s">
        <v>5195</v>
      </c>
      <c r="F996" s="69" t="s">
        <v>63</v>
      </c>
      <c r="G996" s="69" t="s">
        <v>54</v>
      </c>
      <c r="H996" s="70">
        <v>2008</v>
      </c>
      <c r="I996" s="69" t="s">
        <v>63</v>
      </c>
      <c r="J996" s="69" t="s">
        <v>63</v>
      </c>
      <c r="K996" s="71" t="s">
        <v>5196</v>
      </c>
      <c r="L996" s="71" t="s">
        <v>5197</v>
      </c>
      <c r="M996" s="71" t="s">
        <v>63</v>
      </c>
      <c r="N996" s="69" t="s">
        <v>44</v>
      </c>
      <c r="O996" s="64">
        <v>1</v>
      </c>
      <c r="P996" s="72">
        <v>9000000</v>
      </c>
      <c r="Q996" s="69" t="s">
        <v>5198</v>
      </c>
      <c r="R996" s="69"/>
      <c r="S996" s="68" t="s">
        <v>561</v>
      </c>
      <c r="T996" s="56">
        <v>25</v>
      </c>
      <c r="U996" s="56">
        <v>3</v>
      </c>
    </row>
    <row r="997" spans="1:21" ht="14.25" customHeight="1" x14ac:dyDescent="0.35">
      <c r="A997" s="47">
        <v>981</v>
      </c>
      <c r="B997" s="69" t="s">
        <v>79</v>
      </c>
      <c r="C997" s="69" t="s">
        <v>80</v>
      </c>
      <c r="D997" s="70" t="s">
        <v>269</v>
      </c>
      <c r="E997" s="69" t="s">
        <v>5199</v>
      </c>
      <c r="F997" s="69">
        <v>125</v>
      </c>
      <c r="G997" s="69" t="s">
        <v>54</v>
      </c>
      <c r="H997" s="70">
        <v>2008</v>
      </c>
      <c r="I997" s="69" t="s">
        <v>63</v>
      </c>
      <c r="J997" s="69" t="s">
        <v>5200</v>
      </c>
      <c r="K997" s="71" t="s">
        <v>5201</v>
      </c>
      <c r="L997" s="71" t="s">
        <v>5202</v>
      </c>
      <c r="M997" s="71" t="s">
        <v>5203</v>
      </c>
      <c r="N997" s="69" t="s">
        <v>44</v>
      </c>
      <c r="O997" s="64">
        <v>1</v>
      </c>
      <c r="P997" s="72">
        <v>9700000</v>
      </c>
      <c r="Q997" s="69" t="s">
        <v>5198</v>
      </c>
      <c r="R997" s="69"/>
      <c r="S997" s="68" t="s">
        <v>561</v>
      </c>
      <c r="T997" s="56">
        <v>25</v>
      </c>
      <c r="U997" s="56">
        <v>3</v>
      </c>
    </row>
    <row r="998" spans="1:21" ht="14.25" customHeight="1" thickBot="1" x14ac:dyDescent="0.4">
      <c r="A998" s="58">
        <v>982</v>
      </c>
      <c r="B998" s="69" t="s">
        <v>79</v>
      </c>
      <c r="C998" s="69" t="s">
        <v>80</v>
      </c>
      <c r="D998" s="70" t="s">
        <v>286</v>
      </c>
      <c r="E998" s="69" t="s">
        <v>1110</v>
      </c>
      <c r="F998" s="69" t="s">
        <v>163</v>
      </c>
      <c r="G998" s="69" t="s">
        <v>140</v>
      </c>
      <c r="H998" s="70">
        <v>2017</v>
      </c>
      <c r="I998" s="69" t="s">
        <v>63</v>
      </c>
      <c r="J998" s="69" t="s">
        <v>5204</v>
      </c>
      <c r="K998" s="71" t="s">
        <v>5205</v>
      </c>
      <c r="L998" s="71" t="s">
        <v>5206</v>
      </c>
      <c r="M998" s="71" t="s">
        <v>5207</v>
      </c>
      <c r="N998" s="69" t="s">
        <v>57</v>
      </c>
      <c r="O998" s="64">
        <v>1</v>
      </c>
      <c r="P998" s="72">
        <v>15846600</v>
      </c>
      <c r="Q998" s="69" t="s">
        <v>1793</v>
      </c>
      <c r="R998" s="69"/>
      <c r="S998" s="68" t="s">
        <v>561</v>
      </c>
      <c r="T998" s="56">
        <v>25</v>
      </c>
      <c r="U998" s="56">
        <v>3</v>
      </c>
    </row>
    <row r="999" spans="1:21" ht="14.25" customHeight="1" x14ac:dyDescent="0.35">
      <c r="A999" s="47">
        <v>983</v>
      </c>
      <c r="B999" s="69" t="s">
        <v>79</v>
      </c>
      <c r="C999" s="69" t="s">
        <v>80</v>
      </c>
      <c r="D999" s="70" t="s">
        <v>298</v>
      </c>
      <c r="E999" s="69" t="s">
        <v>2648</v>
      </c>
      <c r="F999" s="69" t="s">
        <v>1906</v>
      </c>
      <c r="G999" s="69" t="s">
        <v>54</v>
      </c>
      <c r="H999" s="70">
        <v>2005</v>
      </c>
      <c r="I999" s="69" t="s">
        <v>63</v>
      </c>
      <c r="J999" s="69" t="s">
        <v>5208</v>
      </c>
      <c r="K999" s="71" t="s">
        <v>5209</v>
      </c>
      <c r="L999" s="71" t="s">
        <v>5210</v>
      </c>
      <c r="M999" s="71" t="s">
        <v>5211</v>
      </c>
      <c r="N999" s="69" t="s">
        <v>57</v>
      </c>
      <c r="O999" s="64">
        <v>1</v>
      </c>
      <c r="P999" s="72">
        <v>15150000</v>
      </c>
      <c r="Q999" s="69" t="s">
        <v>4979</v>
      </c>
      <c r="R999" s="69"/>
      <c r="S999" s="68" t="s">
        <v>561</v>
      </c>
      <c r="T999" s="56">
        <v>25</v>
      </c>
      <c r="U999" s="56">
        <v>3</v>
      </c>
    </row>
    <row r="1000" spans="1:21" ht="14.25" customHeight="1" thickBot="1" x14ac:dyDescent="0.4">
      <c r="A1000" s="58">
        <v>984</v>
      </c>
      <c r="B1000" s="69" t="s">
        <v>79</v>
      </c>
      <c r="C1000" s="69" t="s">
        <v>80</v>
      </c>
      <c r="D1000" s="70" t="s">
        <v>304</v>
      </c>
      <c r="E1000" s="69" t="s">
        <v>2796</v>
      </c>
      <c r="F1000" s="69" t="s">
        <v>88</v>
      </c>
      <c r="G1000" s="69" t="s">
        <v>247</v>
      </c>
      <c r="H1000" s="70">
        <v>2010</v>
      </c>
      <c r="I1000" s="69" t="s">
        <v>63</v>
      </c>
      <c r="J1000" s="69" t="s">
        <v>5212</v>
      </c>
      <c r="K1000" s="71" t="s">
        <v>5213</v>
      </c>
      <c r="L1000" s="71" t="s">
        <v>5214</v>
      </c>
      <c r="M1000" s="71" t="s">
        <v>5215</v>
      </c>
      <c r="N1000" s="69" t="s">
        <v>57</v>
      </c>
      <c r="O1000" s="64">
        <v>1</v>
      </c>
      <c r="P1000" s="72">
        <v>16800000</v>
      </c>
      <c r="Q1000" s="69" t="s">
        <v>4979</v>
      </c>
      <c r="R1000" s="69"/>
      <c r="S1000" s="68" t="s">
        <v>561</v>
      </c>
      <c r="T1000" s="56">
        <v>25</v>
      </c>
      <c r="U1000" s="56">
        <v>3</v>
      </c>
    </row>
    <row r="1001" spans="1:21" ht="14.25" customHeight="1" x14ac:dyDescent="0.35">
      <c r="A1001" s="47">
        <v>985</v>
      </c>
      <c r="B1001" s="69" t="s">
        <v>1553</v>
      </c>
      <c r="C1001" s="69" t="s">
        <v>1554</v>
      </c>
      <c r="D1001" s="70" t="s">
        <v>51</v>
      </c>
      <c r="E1001" s="69" t="s">
        <v>5216</v>
      </c>
      <c r="F1001" s="69" t="s">
        <v>5217</v>
      </c>
      <c r="G1001" s="69" t="s">
        <v>54</v>
      </c>
      <c r="H1001" s="70">
        <v>2014</v>
      </c>
      <c r="I1001" s="69"/>
      <c r="J1001" s="69" t="s">
        <v>5218</v>
      </c>
      <c r="K1001" s="71" t="s">
        <v>5219</v>
      </c>
      <c r="L1001" s="71" t="s">
        <v>5220</v>
      </c>
      <c r="M1001" s="71" t="s">
        <v>5221</v>
      </c>
      <c r="N1001" s="69" t="s">
        <v>57</v>
      </c>
      <c r="O1001" s="64">
        <v>1</v>
      </c>
      <c r="P1001" s="72">
        <v>347462000</v>
      </c>
      <c r="Q1001" s="69" t="s">
        <v>5222</v>
      </c>
      <c r="R1001" s="69"/>
      <c r="S1001" s="68" t="s">
        <v>561</v>
      </c>
      <c r="T1001" s="56">
        <v>25</v>
      </c>
      <c r="U1001" s="56">
        <v>4</v>
      </c>
    </row>
    <row r="1002" spans="1:21" ht="14.25" customHeight="1" thickBot="1" x14ac:dyDescent="0.4">
      <c r="A1002" s="58">
        <v>986</v>
      </c>
      <c r="B1002" s="69" t="s">
        <v>1806</v>
      </c>
      <c r="C1002" s="69" t="s">
        <v>1807</v>
      </c>
      <c r="D1002" s="70" t="s">
        <v>59</v>
      </c>
      <c r="E1002" s="69" t="s">
        <v>5223</v>
      </c>
      <c r="F1002" s="69"/>
      <c r="G1002" s="69" t="s">
        <v>54</v>
      </c>
      <c r="H1002" s="70">
        <v>2023</v>
      </c>
      <c r="I1002" s="69" t="s">
        <v>63</v>
      </c>
      <c r="J1002" s="69" t="s">
        <v>5224</v>
      </c>
      <c r="K1002" s="71" t="s">
        <v>5225</v>
      </c>
      <c r="L1002" s="71" t="s">
        <v>5226</v>
      </c>
      <c r="M1002" s="71" t="s">
        <v>5227</v>
      </c>
      <c r="N1002" s="69" t="s">
        <v>44</v>
      </c>
      <c r="O1002" s="64">
        <v>1</v>
      </c>
      <c r="P1002" s="72">
        <v>479300000</v>
      </c>
      <c r="Q1002" s="69" t="s">
        <v>5228</v>
      </c>
      <c r="R1002" s="69"/>
      <c r="S1002" s="121" t="s">
        <v>580</v>
      </c>
      <c r="T1002" s="56">
        <v>26</v>
      </c>
      <c r="U1002" s="56">
        <v>4</v>
      </c>
    </row>
    <row r="1003" spans="1:21" ht="14.25" customHeight="1" x14ac:dyDescent="0.35">
      <c r="A1003" s="47">
        <v>987</v>
      </c>
      <c r="B1003" s="69" t="s">
        <v>79</v>
      </c>
      <c r="C1003" s="69" t="s">
        <v>80</v>
      </c>
      <c r="D1003" s="70" t="s">
        <v>59</v>
      </c>
      <c r="E1003" s="69" t="s">
        <v>138</v>
      </c>
      <c r="F1003" s="69" t="s">
        <v>139</v>
      </c>
      <c r="G1003" s="69" t="s">
        <v>140</v>
      </c>
      <c r="H1003" s="70">
        <v>2014</v>
      </c>
      <c r="I1003" s="69" t="s">
        <v>63</v>
      </c>
      <c r="J1003" s="69" t="s">
        <v>5229</v>
      </c>
      <c r="K1003" s="71" t="s">
        <v>5230</v>
      </c>
      <c r="L1003" s="71" t="s">
        <v>5231</v>
      </c>
      <c r="M1003" s="71" t="s">
        <v>5232</v>
      </c>
      <c r="N1003" s="69" t="s">
        <v>57</v>
      </c>
      <c r="O1003" s="64">
        <v>1</v>
      </c>
      <c r="P1003" s="72">
        <v>17194000</v>
      </c>
      <c r="Q1003" s="69" t="s">
        <v>5233</v>
      </c>
      <c r="R1003" s="69"/>
      <c r="S1003" s="121" t="s">
        <v>580</v>
      </c>
      <c r="T1003" s="56">
        <v>26</v>
      </c>
      <c r="U1003" s="56">
        <v>3</v>
      </c>
    </row>
    <row r="1004" spans="1:21" ht="14.25" customHeight="1" thickBot="1" x14ac:dyDescent="0.4">
      <c r="A1004" s="58">
        <v>988</v>
      </c>
      <c r="B1004" s="69" t="s">
        <v>79</v>
      </c>
      <c r="C1004" s="69" t="s">
        <v>80</v>
      </c>
      <c r="D1004" s="70" t="s">
        <v>97</v>
      </c>
      <c r="E1004" s="69" t="s">
        <v>138</v>
      </c>
      <c r="F1004" s="69" t="s">
        <v>139</v>
      </c>
      <c r="G1004" s="69" t="s">
        <v>140</v>
      </c>
      <c r="H1004" s="70">
        <v>2014</v>
      </c>
      <c r="I1004" s="69" t="s">
        <v>63</v>
      </c>
      <c r="J1004" s="69" t="s">
        <v>5234</v>
      </c>
      <c r="K1004" s="71" t="s">
        <v>5235</v>
      </c>
      <c r="L1004" s="71" t="s">
        <v>5236</v>
      </c>
      <c r="M1004" s="71" t="s">
        <v>5237</v>
      </c>
      <c r="N1004" s="69" t="s">
        <v>57</v>
      </c>
      <c r="O1004" s="64">
        <v>1</v>
      </c>
      <c r="P1004" s="72">
        <v>17194000</v>
      </c>
      <c r="Q1004" s="69" t="s">
        <v>4979</v>
      </c>
      <c r="R1004" s="69"/>
      <c r="S1004" s="121" t="s">
        <v>580</v>
      </c>
      <c r="T1004" s="56">
        <v>26</v>
      </c>
      <c r="U1004" s="56">
        <v>3</v>
      </c>
    </row>
    <row r="1005" spans="1:21" ht="14.25" customHeight="1" x14ac:dyDescent="0.35">
      <c r="A1005" s="47">
        <v>989</v>
      </c>
      <c r="B1005" s="69" t="s">
        <v>79</v>
      </c>
      <c r="C1005" s="69" t="s">
        <v>80</v>
      </c>
      <c r="D1005" s="70" t="s">
        <v>101</v>
      </c>
      <c r="E1005" s="69" t="s">
        <v>5238</v>
      </c>
      <c r="F1005" s="69">
        <v>125</v>
      </c>
      <c r="G1005" s="69" t="s">
        <v>54</v>
      </c>
      <c r="H1005" s="70">
        <v>2010</v>
      </c>
      <c r="I1005" s="69"/>
      <c r="J1005" s="69" t="s">
        <v>5239</v>
      </c>
      <c r="K1005" s="71" t="s">
        <v>5240</v>
      </c>
      <c r="L1005" s="71" t="s">
        <v>5241</v>
      </c>
      <c r="M1005" s="71" t="s">
        <v>5242</v>
      </c>
      <c r="N1005" s="69" t="s">
        <v>57</v>
      </c>
      <c r="O1005" s="64">
        <v>1</v>
      </c>
      <c r="P1005" s="72">
        <v>15000000</v>
      </c>
      <c r="Q1005" s="69" t="s">
        <v>5243</v>
      </c>
      <c r="R1005" s="69"/>
      <c r="S1005" s="121" t="s">
        <v>580</v>
      </c>
      <c r="T1005" s="56">
        <v>26</v>
      </c>
      <c r="U1005" s="56">
        <v>3</v>
      </c>
    </row>
    <row r="1006" spans="1:21" ht="14.25" customHeight="1" thickBot="1" x14ac:dyDescent="0.4">
      <c r="A1006" s="58">
        <v>990</v>
      </c>
      <c r="B1006" s="69" t="s">
        <v>79</v>
      </c>
      <c r="C1006" s="69" t="s">
        <v>80</v>
      </c>
      <c r="D1006" s="70" t="s">
        <v>107</v>
      </c>
      <c r="E1006" s="69" t="s">
        <v>5238</v>
      </c>
      <c r="F1006" s="69" t="s">
        <v>88</v>
      </c>
      <c r="G1006" s="69" t="s">
        <v>54</v>
      </c>
      <c r="H1006" s="70">
        <v>2010</v>
      </c>
      <c r="I1006" s="69" t="s">
        <v>63</v>
      </c>
      <c r="J1006" s="69" t="s">
        <v>5244</v>
      </c>
      <c r="K1006" s="71" t="s">
        <v>5245</v>
      </c>
      <c r="L1006" s="71" t="s">
        <v>5246</v>
      </c>
      <c r="M1006" s="71" t="s">
        <v>5247</v>
      </c>
      <c r="N1006" s="69" t="s">
        <v>57</v>
      </c>
      <c r="O1006" s="64">
        <v>1</v>
      </c>
      <c r="P1006" s="72">
        <v>15000000</v>
      </c>
      <c r="Q1006" s="69" t="s">
        <v>5248</v>
      </c>
      <c r="R1006" s="69"/>
      <c r="S1006" s="121" t="s">
        <v>580</v>
      </c>
      <c r="T1006" s="56">
        <v>26</v>
      </c>
      <c r="U1006" s="56">
        <v>3</v>
      </c>
    </row>
    <row r="1007" spans="1:21" ht="14.25" customHeight="1" x14ac:dyDescent="0.35">
      <c r="A1007" s="47">
        <v>991</v>
      </c>
      <c r="B1007" s="69" t="s">
        <v>79</v>
      </c>
      <c r="C1007" s="69" t="s">
        <v>80</v>
      </c>
      <c r="D1007" s="70" t="s">
        <v>112</v>
      </c>
      <c r="E1007" s="69" t="s">
        <v>5238</v>
      </c>
      <c r="F1007" s="69" t="s">
        <v>88</v>
      </c>
      <c r="G1007" s="69" t="s">
        <v>54</v>
      </c>
      <c r="H1007" s="70">
        <v>2010</v>
      </c>
      <c r="I1007" s="69" t="s">
        <v>63</v>
      </c>
      <c r="J1007" s="69" t="s">
        <v>5249</v>
      </c>
      <c r="K1007" s="71" t="s">
        <v>5250</v>
      </c>
      <c r="L1007" s="71" t="s">
        <v>5251</v>
      </c>
      <c r="M1007" s="71" t="s">
        <v>5252</v>
      </c>
      <c r="N1007" s="69" t="s">
        <v>57</v>
      </c>
      <c r="O1007" s="64">
        <v>1</v>
      </c>
      <c r="P1007" s="72">
        <v>15000000</v>
      </c>
      <c r="Q1007" s="69" t="s">
        <v>5253</v>
      </c>
      <c r="R1007" s="69"/>
      <c r="S1007" s="121" t="s">
        <v>580</v>
      </c>
      <c r="T1007" s="56">
        <v>26</v>
      </c>
      <c r="U1007" s="56">
        <v>3</v>
      </c>
    </row>
    <row r="1008" spans="1:21" ht="14.25" customHeight="1" thickBot="1" x14ac:dyDescent="0.4">
      <c r="A1008" s="58">
        <v>992</v>
      </c>
      <c r="B1008" s="69" t="s">
        <v>79</v>
      </c>
      <c r="C1008" s="69" t="s">
        <v>80</v>
      </c>
      <c r="D1008" s="70" t="s">
        <v>116</v>
      </c>
      <c r="E1008" s="69" t="s">
        <v>5238</v>
      </c>
      <c r="F1008" s="69" t="s">
        <v>88</v>
      </c>
      <c r="G1008" s="69" t="s">
        <v>54</v>
      </c>
      <c r="H1008" s="70">
        <v>2010</v>
      </c>
      <c r="I1008" s="69" t="s">
        <v>63</v>
      </c>
      <c r="J1008" s="69" t="s">
        <v>5254</v>
      </c>
      <c r="K1008" s="71" t="s">
        <v>5255</v>
      </c>
      <c r="L1008" s="71" t="s">
        <v>5256</v>
      </c>
      <c r="M1008" s="71" t="s">
        <v>5257</v>
      </c>
      <c r="N1008" s="69" t="s">
        <v>57</v>
      </c>
      <c r="O1008" s="64">
        <v>1</v>
      </c>
      <c r="P1008" s="72">
        <v>15000000</v>
      </c>
      <c r="Q1008" s="69" t="s">
        <v>5258</v>
      </c>
      <c r="R1008" s="69"/>
      <c r="S1008" s="121" t="s">
        <v>580</v>
      </c>
      <c r="T1008" s="56">
        <v>26</v>
      </c>
      <c r="U1008" s="56">
        <v>3</v>
      </c>
    </row>
    <row r="1009" spans="1:21" ht="14.25" customHeight="1" x14ac:dyDescent="0.35">
      <c r="A1009" s="47">
        <v>993</v>
      </c>
      <c r="B1009" s="69" t="s">
        <v>79</v>
      </c>
      <c r="C1009" s="69" t="s">
        <v>80</v>
      </c>
      <c r="D1009" s="70" t="s">
        <v>841</v>
      </c>
      <c r="E1009" s="69" t="s">
        <v>5238</v>
      </c>
      <c r="F1009" s="69" t="s">
        <v>88</v>
      </c>
      <c r="G1009" s="69" t="s">
        <v>54</v>
      </c>
      <c r="H1009" s="70">
        <v>2010</v>
      </c>
      <c r="I1009" s="69" t="s">
        <v>63</v>
      </c>
      <c r="J1009" s="69" t="s">
        <v>5259</v>
      </c>
      <c r="K1009" s="71" t="s">
        <v>5260</v>
      </c>
      <c r="L1009" s="71" t="s">
        <v>5261</v>
      </c>
      <c r="M1009" s="71" t="s">
        <v>5262</v>
      </c>
      <c r="N1009" s="69" t="s">
        <v>57</v>
      </c>
      <c r="O1009" s="64">
        <v>1</v>
      </c>
      <c r="P1009" s="72">
        <v>15000000</v>
      </c>
      <c r="Q1009" s="69" t="s">
        <v>5253</v>
      </c>
      <c r="R1009" s="69"/>
      <c r="S1009" s="121" t="s">
        <v>580</v>
      </c>
      <c r="T1009" s="56">
        <v>26</v>
      </c>
      <c r="U1009" s="56">
        <v>3</v>
      </c>
    </row>
    <row r="1010" spans="1:21" ht="14.25" customHeight="1" thickBot="1" x14ac:dyDescent="0.4">
      <c r="A1010" s="58">
        <v>994</v>
      </c>
      <c r="B1010" s="69" t="s">
        <v>79</v>
      </c>
      <c r="C1010" s="69" t="s">
        <v>80</v>
      </c>
      <c r="D1010" s="70" t="s">
        <v>904</v>
      </c>
      <c r="E1010" s="69" t="s">
        <v>5238</v>
      </c>
      <c r="F1010" s="69" t="s">
        <v>88</v>
      </c>
      <c r="G1010" s="69" t="s">
        <v>54</v>
      </c>
      <c r="H1010" s="70">
        <v>2010</v>
      </c>
      <c r="I1010" s="69" t="s">
        <v>63</v>
      </c>
      <c r="J1010" s="69" t="s">
        <v>5263</v>
      </c>
      <c r="K1010" s="71" t="s">
        <v>5264</v>
      </c>
      <c r="L1010" s="71" t="s">
        <v>5265</v>
      </c>
      <c r="M1010" s="71" t="s">
        <v>5266</v>
      </c>
      <c r="N1010" s="69" t="s">
        <v>57</v>
      </c>
      <c r="O1010" s="64">
        <v>1</v>
      </c>
      <c r="P1010" s="72">
        <v>15000000</v>
      </c>
      <c r="Q1010" s="69" t="s">
        <v>5267</v>
      </c>
      <c r="R1010" s="69"/>
      <c r="S1010" s="121" t="s">
        <v>580</v>
      </c>
      <c r="T1010" s="56">
        <v>26</v>
      </c>
      <c r="U1010" s="56">
        <v>3</v>
      </c>
    </row>
    <row r="1011" spans="1:21" ht="14.25" customHeight="1" x14ac:dyDescent="0.35">
      <c r="A1011" s="47">
        <v>995</v>
      </c>
      <c r="B1011" s="69" t="s">
        <v>79</v>
      </c>
      <c r="C1011" s="69" t="s">
        <v>80</v>
      </c>
      <c r="D1011" s="70" t="s">
        <v>122</v>
      </c>
      <c r="E1011" s="69" t="s">
        <v>5238</v>
      </c>
      <c r="F1011" s="69" t="s">
        <v>88</v>
      </c>
      <c r="G1011" s="69" t="s">
        <v>54</v>
      </c>
      <c r="H1011" s="70">
        <v>2010</v>
      </c>
      <c r="I1011" s="69" t="s">
        <v>63</v>
      </c>
      <c r="J1011" s="69" t="s">
        <v>5268</v>
      </c>
      <c r="K1011" s="71" t="s">
        <v>5269</v>
      </c>
      <c r="L1011" s="71" t="s">
        <v>5270</v>
      </c>
      <c r="M1011" s="71" t="s">
        <v>5271</v>
      </c>
      <c r="N1011" s="69" t="s">
        <v>57</v>
      </c>
      <c r="O1011" s="64">
        <v>1</v>
      </c>
      <c r="P1011" s="72">
        <v>15000000</v>
      </c>
      <c r="Q1011" s="69" t="s">
        <v>5272</v>
      </c>
      <c r="R1011" s="69"/>
      <c r="S1011" s="121" t="s">
        <v>580</v>
      </c>
      <c r="T1011" s="56">
        <v>26</v>
      </c>
      <c r="U1011" s="56">
        <v>3</v>
      </c>
    </row>
    <row r="1012" spans="1:21" ht="14.25" customHeight="1" thickBot="1" x14ac:dyDescent="0.4">
      <c r="A1012" s="58">
        <v>996</v>
      </c>
      <c r="B1012" s="69" t="s">
        <v>79</v>
      </c>
      <c r="C1012" s="69" t="s">
        <v>80</v>
      </c>
      <c r="D1012" s="70" t="s">
        <v>126</v>
      </c>
      <c r="E1012" s="69" t="s">
        <v>5273</v>
      </c>
      <c r="F1012" s="69" t="s">
        <v>88</v>
      </c>
      <c r="G1012" s="69" t="s">
        <v>54</v>
      </c>
      <c r="H1012" s="70">
        <v>2011</v>
      </c>
      <c r="I1012" s="69" t="s">
        <v>63</v>
      </c>
      <c r="J1012" s="69" t="s">
        <v>5274</v>
      </c>
      <c r="K1012" s="71" t="s">
        <v>5275</v>
      </c>
      <c r="L1012" s="71" t="s">
        <v>5276</v>
      </c>
      <c r="M1012" s="71" t="s">
        <v>5277</v>
      </c>
      <c r="N1012" s="69" t="s">
        <v>57</v>
      </c>
      <c r="O1012" s="64">
        <v>1</v>
      </c>
      <c r="P1012" s="72">
        <v>16036250</v>
      </c>
      <c r="Q1012" s="69" t="s">
        <v>5278</v>
      </c>
      <c r="R1012" s="69"/>
      <c r="S1012" s="121" t="s">
        <v>580</v>
      </c>
      <c r="T1012" s="56">
        <v>26</v>
      </c>
      <c r="U1012" s="56">
        <v>3</v>
      </c>
    </row>
    <row r="1013" spans="1:21" ht="14.25" customHeight="1" x14ac:dyDescent="0.35">
      <c r="A1013" s="47">
        <v>997</v>
      </c>
      <c r="B1013" s="69" t="s">
        <v>79</v>
      </c>
      <c r="C1013" s="69" t="s">
        <v>80</v>
      </c>
      <c r="D1013" s="70" t="s">
        <v>132</v>
      </c>
      <c r="E1013" s="69" t="s">
        <v>5273</v>
      </c>
      <c r="F1013" s="69" t="s">
        <v>88</v>
      </c>
      <c r="G1013" s="69" t="s">
        <v>54</v>
      </c>
      <c r="H1013" s="70">
        <v>2011</v>
      </c>
      <c r="I1013" s="69" t="s">
        <v>63</v>
      </c>
      <c r="J1013" s="69" t="s">
        <v>5279</v>
      </c>
      <c r="K1013" s="71" t="s">
        <v>5280</v>
      </c>
      <c r="L1013" s="71" t="s">
        <v>5281</v>
      </c>
      <c r="M1013" s="71" t="s">
        <v>5282</v>
      </c>
      <c r="N1013" s="69" t="s">
        <v>57</v>
      </c>
      <c r="O1013" s="64">
        <v>1</v>
      </c>
      <c r="P1013" s="72">
        <v>16036250</v>
      </c>
      <c r="Q1013" s="69" t="s">
        <v>5253</v>
      </c>
      <c r="R1013" s="69"/>
      <c r="S1013" s="121" t="s">
        <v>580</v>
      </c>
      <c r="T1013" s="56">
        <v>26</v>
      </c>
      <c r="U1013" s="56">
        <v>3</v>
      </c>
    </row>
    <row r="1014" spans="1:21" ht="14.25" customHeight="1" thickBot="1" x14ac:dyDescent="0.4">
      <c r="A1014" s="58">
        <v>998</v>
      </c>
      <c r="B1014" s="69" t="s">
        <v>79</v>
      </c>
      <c r="C1014" s="69" t="s">
        <v>80</v>
      </c>
      <c r="D1014" s="70" t="s">
        <v>137</v>
      </c>
      <c r="E1014" s="69" t="s">
        <v>5273</v>
      </c>
      <c r="F1014" s="69" t="s">
        <v>88</v>
      </c>
      <c r="G1014" s="69" t="s">
        <v>54</v>
      </c>
      <c r="H1014" s="70">
        <v>2011</v>
      </c>
      <c r="I1014" s="69" t="s">
        <v>63</v>
      </c>
      <c r="J1014" s="69" t="s">
        <v>5283</v>
      </c>
      <c r="K1014" s="71" t="s">
        <v>5284</v>
      </c>
      <c r="L1014" s="71" t="s">
        <v>5285</v>
      </c>
      <c r="M1014" s="71" t="s">
        <v>5286</v>
      </c>
      <c r="N1014" s="69" t="s">
        <v>57</v>
      </c>
      <c r="O1014" s="64">
        <v>1</v>
      </c>
      <c r="P1014" s="72">
        <v>16036250</v>
      </c>
      <c r="Q1014" s="69" t="s">
        <v>5287</v>
      </c>
      <c r="R1014" s="69"/>
      <c r="S1014" s="121" t="s">
        <v>580</v>
      </c>
      <c r="T1014" s="56">
        <v>26</v>
      </c>
      <c r="U1014" s="56">
        <v>3</v>
      </c>
    </row>
    <row r="1015" spans="1:21" ht="14.25" customHeight="1" x14ac:dyDescent="0.35">
      <c r="A1015" s="47">
        <v>999</v>
      </c>
      <c r="B1015" s="69" t="s">
        <v>79</v>
      </c>
      <c r="C1015" s="69" t="s">
        <v>80</v>
      </c>
      <c r="D1015" s="70" t="s">
        <v>146</v>
      </c>
      <c r="E1015" s="69" t="s">
        <v>5273</v>
      </c>
      <c r="F1015" s="69" t="s">
        <v>88</v>
      </c>
      <c r="G1015" s="69" t="s">
        <v>54</v>
      </c>
      <c r="H1015" s="70">
        <v>2011</v>
      </c>
      <c r="I1015" s="69" t="s">
        <v>63</v>
      </c>
      <c r="J1015" s="69" t="s">
        <v>5288</v>
      </c>
      <c r="K1015" s="71" t="s">
        <v>5289</v>
      </c>
      <c r="L1015" s="71" t="s">
        <v>5290</v>
      </c>
      <c r="M1015" s="71" t="s">
        <v>5291</v>
      </c>
      <c r="N1015" s="69" t="s">
        <v>57</v>
      </c>
      <c r="O1015" s="64">
        <v>1</v>
      </c>
      <c r="P1015" s="72">
        <v>16036250</v>
      </c>
      <c r="Q1015" s="69" t="s">
        <v>5292</v>
      </c>
      <c r="R1015" s="69"/>
      <c r="S1015" s="121" t="s">
        <v>580</v>
      </c>
      <c r="T1015" s="56">
        <v>26</v>
      </c>
      <c r="U1015" s="56">
        <v>3</v>
      </c>
    </row>
    <row r="1016" spans="1:21" ht="14.25" customHeight="1" thickBot="1" x14ac:dyDescent="0.4">
      <c r="A1016" s="58">
        <v>1000</v>
      </c>
      <c r="B1016" s="69" t="s">
        <v>79</v>
      </c>
      <c r="C1016" s="69" t="s">
        <v>80</v>
      </c>
      <c r="D1016" s="70" t="s">
        <v>154</v>
      </c>
      <c r="E1016" s="69" t="s">
        <v>5293</v>
      </c>
      <c r="F1016" s="69" t="s">
        <v>88</v>
      </c>
      <c r="G1016" s="69" t="s">
        <v>54</v>
      </c>
      <c r="H1016" s="70">
        <v>2011</v>
      </c>
      <c r="I1016" s="69" t="s">
        <v>63</v>
      </c>
      <c r="J1016" s="69" t="s">
        <v>5294</v>
      </c>
      <c r="K1016" s="71" t="s">
        <v>5295</v>
      </c>
      <c r="L1016" s="71" t="s">
        <v>5296</v>
      </c>
      <c r="M1016" s="71" t="s">
        <v>5297</v>
      </c>
      <c r="N1016" s="69" t="s">
        <v>57</v>
      </c>
      <c r="O1016" s="64">
        <v>1</v>
      </c>
      <c r="P1016" s="72">
        <v>16345250</v>
      </c>
      <c r="Q1016" s="69" t="s">
        <v>5298</v>
      </c>
      <c r="R1016" s="69"/>
      <c r="S1016" s="121" t="s">
        <v>580</v>
      </c>
      <c r="T1016" s="56">
        <v>26</v>
      </c>
      <c r="U1016" s="56">
        <v>3</v>
      </c>
    </row>
    <row r="1017" spans="1:21" ht="14.25" customHeight="1" x14ac:dyDescent="0.35">
      <c r="A1017" s="47">
        <v>1001</v>
      </c>
      <c r="B1017" s="69" t="s">
        <v>79</v>
      </c>
      <c r="C1017" s="69" t="s">
        <v>80</v>
      </c>
      <c r="D1017" s="70" t="s">
        <v>161</v>
      </c>
      <c r="E1017" s="69" t="s">
        <v>5299</v>
      </c>
      <c r="F1017" s="69" t="s">
        <v>88</v>
      </c>
      <c r="G1017" s="69" t="s">
        <v>54</v>
      </c>
      <c r="H1017" s="70">
        <v>2012</v>
      </c>
      <c r="I1017" s="69" t="s">
        <v>63</v>
      </c>
      <c r="J1017" s="69" t="s">
        <v>5300</v>
      </c>
      <c r="K1017" s="71" t="s">
        <v>5301</v>
      </c>
      <c r="L1017" s="71" t="s">
        <v>5302</v>
      </c>
      <c r="M1017" s="71" t="s">
        <v>5303</v>
      </c>
      <c r="N1017" s="69" t="s">
        <v>57</v>
      </c>
      <c r="O1017" s="64">
        <v>1</v>
      </c>
      <c r="P1017" s="72">
        <v>16776500</v>
      </c>
      <c r="Q1017" s="69" t="s">
        <v>4979</v>
      </c>
      <c r="R1017" s="69"/>
      <c r="S1017" s="121" t="s">
        <v>580</v>
      </c>
      <c r="T1017" s="56">
        <v>26</v>
      </c>
      <c r="U1017" s="56">
        <v>3</v>
      </c>
    </row>
    <row r="1018" spans="1:21" ht="14.25" customHeight="1" thickBot="1" x14ac:dyDescent="0.4">
      <c r="A1018" s="58">
        <v>1002</v>
      </c>
      <c r="B1018" s="69" t="s">
        <v>79</v>
      </c>
      <c r="C1018" s="69" t="s">
        <v>80</v>
      </c>
      <c r="D1018" s="70" t="s">
        <v>176</v>
      </c>
      <c r="E1018" s="69" t="s">
        <v>3779</v>
      </c>
      <c r="F1018" s="69" t="s">
        <v>88</v>
      </c>
      <c r="G1018" s="69" t="s">
        <v>140</v>
      </c>
      <c r="H1018" s="70">
        <v>2018</v>
      </c>
      <c r="I1018" s="69" t="s">
        <v>63</v>
      </c>
      <c r="J1018" s="69" t="s">
        <v>5304</v>
      </c>
      <c r="K1018" s="71" t="s">
        <v>5305</v>
      </c>
      <c r="L1018" s="71" t="s">
        <v>5306</v>
      </c>
      <c r="M1018" s="71" t="s">
        <v>5307</v>
      </c>
      <c r="N1018" s="69" t="s">
        <v>57</v>
      </c>
      <c r="O1018" s="64">
        <v>1</v>
      </c>
      <c r="P1018" s="72">
        <v>19471200</v>
      </c>
      <c r="Q1018" s="69" t="s">
        <v>5308</v>
      </c>
      <c r="R1018" s="69"/>
      <c r="S1018" s="121" t="s">
        <v>580</v>
      </c>
      <c r="T1018" s="56">
        <v>26</v>
      </c>
      <c r="U1018" s="56">
        <v>3</v>
      </c>
    </row>
    <row r="1019" spans="1:21" ht="14.25" customHeight="1" x14ac:dyDescent="0.35">
      <c r="A1019" s="47">
        <v>1003</v>
      </c>
      <c r="B1019" s="69" t="s">
        <v>79</v>
      </c>
      <c r="C1019" s="69" t="s">
        <v>80</v>
      </c>
      <c r="D1019" s="70" t="s">
        <v>1236</v>
      </c>
      <c r="E1019" s="69" t="s">
        <v>239</v>
      </c>
      <c r="F1019" s="69" t="s">
        <v>148</v>
      </c>
      <c r="G1019" s="69" t="s">
        <v>140</v>
      </c>
      <c r="H1019" s="70">
        <v>2018</v>
      </c>
      <c r="I1019" s="69" t="s">
        <v>63</v>
      </c>
      <c r="J1019" s="69" t="s">
        <v>5309</v>
      </c>
      <c r="K1019" s="71" t="s">
        <v>5310</v>
      </c>
      <c r="L1019" s="71" t="s">
        <v>5311</v>
      </c>
      <c r="M1019" s="71" t="s">
        <v>5312</v>
      </c>
      <c r="N1019" s="69" t="s">
        <v>57</v>
      </c>
      <c r="O1019" s="64">
        <v>1</v>
      </c>
      <c r="P1019" s="72">
        <v>20234710</v>
      </c>
      <c r="Q1019" s="69" t="s">
        <v>5313</v>
      </c>
      <c r="R1019" s="69"/>
      <c r="S1019" s="121" t="s">
        <v>580</v>
      </c>
      <c r="T1019" s="56">
        <v>26</v>
      </c>
      <c r="U1019" s="56">
        <v>3</v>
      </c>
    </row>
    <row r="1020" spans="1:21" ht="14.25" customHeight="1" thickBot="1" x14ac:dyDescent="0.4">
      <c r="A1020" s="58">
        <v>1004</v>
      </c>
      <c r="B1020" s="69" t="s">
        <v>79</v>
      </c>
      <c r="C1020" s="69" t="s">
        <v>80</v>
      </c>
      <c r="D1020" s="70" t="s">
        <v>181</v>
      </c>
      <c r="E1020" s="69" t="s">
        <v>147</v>
      </c>
      <c r="F1020" s="69" t="s">
        <v>148</v>
      </c>
      <c r="G1020" s="69" t="s">
        <v>140</v>
      </c>
      <c r="H1020" s="70">
        <v>2015</v>
      </c>
      <c r="I1020" s="69" t="s">
        <v>63</v>
      </c>
      <c r="J1020" s="69" t="s">
        <v>5314</v>
      </c>
      <c r="K1020" s="71" t="s">
        <v>5315</v>
      </c>
      <c r="L1020" s="71" t="s">
        <v>5316</v>
      </c>
      <c r="M1020" s="71" t="s">
        <v>5317</v>
      </c>
      <c r="N1020" s="69" t="s">
        <v>57</v>
      </c>
      <c r="O1020" s="64">
        <v>1</v>
      </c>
      <c r="P1020" s="72">
        <v>19430000</v>
      </c>
      <c r="Q1020" s="69" t="s">
        <v>5318</v>
      </c>
      <c r="R1020" s="69"/>
      <c r="S1020" s="121" t="s">
        <v>580</v>
      </c>
      <c r="T1020" s="56">
        <v>26</v>
      </c>
      <c r="U1020" s="56">
        <v>3</v>
      </c>
    </row>
    <row r="1021" spans="1:21" ht="14.25" customHeight="1" x14ac:dyDescent="0.35">
      <c r="A1021" s="47">
        <v>1005</v>
      </c>
      <c r="B1021" s="69" t="s">
        <v>79</v>
      </c>
      <c r="C1021" s="69" t="s">
        <v>80</v>
      </c>
      <c r="D1021" s="70" t="s">
        <v>190</v>
      </c>
      <c r="E1021" s="69" t="s">
        <v>5319</v>
      </c>
      <c r="F1021" s="69" t="s">
        <v>88</v>
      </c>
      <c r="G1021" s="69" t="s">
        <v>54</v>
      </c>
      <c r="H1021" s="70">
        <v>2006</v>
      </c>
      <c r="I1021" s="69"/>
      <c r="J1021" s="69" t="s">
        <v>5320</v>
      </c>
      <c r="K1021" s="71" t="s">
        <v>5321</v>
      </c>
      <c r="L1021" s="71" t="s">
        <v>5322</v>
      </c>
      <c r="M1021" s="71" t="s">
        <v>5323</v>
      </c>
      <c r="N1021" s="69" t="s">
        <v>44</v>
      </c>
      <c r="O1021" s="64">
        <v>1</v>
      </c>
      <c r="P1021" s="72">
        <v>10600000</v>
      </c>
      <c r="Q1021" s="69" t="s">
        <v>5324</v>
      </c>
      <c r="R1021" s="69"/>
      <c r="S1021" s="121" t="s">
        <v>580</v>
      </c>
      <c r="T1021" s="56">
        <v>26</v>
      </c>
      <c r="U1021" s="56">
        <v>3</v>
      </c>
    </row>
    <row r="1022" spans="1:21" ht="14.25" customHeight="1" thickBot="1" x14ac:dyDescent="0.4">
      <c r="A1022" s="58">
        <v>1006</v>
      </c>
      <c r="B1022" s="69" t="s">
        <v>79</v>
      </c>
      <c r="C1022" s="69" t="s">
        <v>80</v>
      </c>
      <c r="D1022" s="70" t="s">
        <v>195</v>
      </c>
      <c r="E1022" s="69" t="s">
        <v>5325</v>
      </c>
      <c r="F1022" s="69" t="s">
        <v>5326</v>
      </c>
      <c r="G1022" s="69" t="s">
        <v>54</v>
      </c>
      <c r="H1022" s="70">
        <v>2022</v>
      </c>
      <c r="I1022" s="69"/>
      <c r="J1022" s="69" t="s">
        <v>5327</v>
      </c>
      <c r="K1022" s="71" t="s">
        <v>5328</v>
      </c>
      <c r="L1022" s="71" t="s">
        <v>5329</v>
      </c>
      <c r="M1022" s="71" t="s">
        <v>5330</v>
      </c>
      <c r="N1022" s="69" t="s">
        <v>44</v>
      </c>
      <c r="O1022" s="64">
        <v>1</v>
      </c>
      <c r="P1022" s="72">
        <v>40583000</v>
      </c>
      <c r="Q1022" s="69" t="s">
        <v>5331</v>
      </c>
      <c r="R1022" s="69"/>
      <c r="S1022" s="121" t="s">
        <v>580</v>
      </c>
      <c r="T1022" s="56">
        <v>26</v>
      </c>
      <c r="U1022" s="56">
        <v>3</v>
      </c>
    </row>
    <row r="1023" spans="1:21" ht="14.25" customHeight="1" x14ac:dyDescent="0.35">
      <c r="A1023" s="47">
        <v>1007</v>
      </c>
      <c r="B1023" s="69" t="s">
        <v>79</v>
      </c>
      <c r="C1023" s="69" t="s">
        <v>80</v>
      </c>
      <c r="D1023" s="70" t="s">
        <v>199</v>
      </c>
      <c r="E1023" s="69" t="s">
        <v>5332</v>
      </c>
      <c r="F1023" s="69" t="s">
        <v>5333</v>
      </c>
      <c r="G1023" s="69" t="s">
        <v>5334</v>
      </c>
      <c r="H1023" s="70">
        <v>2024</v>
      </c>
      <c r="I1023" s="69" t="s">
        <v>63</v>
      </c>
      <c r="J1023" s="69" t="s">
        <v>5335</v>
      </c>
      <c r="K1023" s="71" t="s">
        <v>5336</v>
      </c>
      <c r="L1023" s="71" t="s">
        <v>5337</v>
      </c>
      <c r="M1023" s="71" t="s">
        <v>5338</v>
      </c>
      <c r="N1023" s="69" t="s">
        <v>44</v>
      </c>
      <c r="O1023" s="64">
        <v>1</v>
      </c>
      <c r="P1023" s="72">
        <v>31000000</v>
      </c>
      <c r="Q1023" s="69" t="s">
        <v>5339</v>
      </c>
      <c r="R1023" s="69"/>
      <c r="S1023" s="121" t="s">
        <v>580</v>
      </c>
      <c r="T1023" s="56">
        <v>26</v>
      </c>
      <c r="U1023" s="56">
        <v>3</v>
      </c>
    </row>
    <row r="1024" spans="1:21" ht="14.25" customHeight="1" thickBot="1" x14ac:dyDescent="0.4">
      <c r="A1024" s="58">
        <v>1008</v>
      </c>
      <c r="B1024" s="69" t="s">
        <v>79</v>
      </c>
      <c r="C1024" s="69" t="s">
        <v>80</v>
      </c>
      <c r="D1024" s="70" t="s">
        <v>200</v>
      </c>
      <c r="E1024" s="69" t="s">
        <v>5332</v>
      </c>
      <c r="F1024" s="69" t="s">
        <v>5333</v>
      </c>
      <c r="G1024" s="69" t="s">
        <v>5334</v>
      </c>
      <c r="H1024" s="70">
        <v>2024</v>
      </c>
      <c r="I1024" s="69" t="s">
        <v>63</v>
      </c>
      <c r="J1024" s="69" t="s">
        <v>5340</v>
      </c>
      <c r="K1024" s="71" t="s">
        <v>5341</v>
      </c>
      <c r="L1024" s="71" t="s">
        <v>5342</v>
      </c>
      <c r="M1024" s="71" t="s">
        <v>5343</v>
      </c>
      <c r="N1024" s="69" t="s">
        <v>44</v>
      </c>
      <c r="O1024" s="64">
        <v>1</v>
      </c>
      <c r="P1024" s="72">
        <v>31000000</v>
      </c>
      <c r="Q1024" s="69" t="s">
        <v>5344</v>
      </c>
      <c r="R1024" s="69"/>
      <c r="S1024" s="121" t="s">
        <v>580</v>
      </c>
      <c r="T1024" s="56">
        <v>26</v>
      </c>
      <c r="U1024" s="56">
        <v>3</v>
      </c>
    </row>
    <row r="1025" spans="1:21" ht="14.25" customHeight="1" x14ac:dyDescent="0.35">
      <c r="A1025" s="47">
        <v>1009</v>
      </c>
      <c r="B1025" s="69" t="s">
        <v>79</v>
      </c>
      <c r="C1025" s="69" t="s">
        <v>80</v>
      </c>
      <c r="D1025" s="70" t="s">
        <v>209</v>
      </c>
      <c r="E1025" s="69" t="s">
        <v>5332</v>
      </c>
      <c r="F1025" s="69" t="s">
        <v>5333</v>
      </c>
      <c r="G1025" s="69" t="s">
        <v>5334</v>
      </c>
      <c r="H1025" s="70">
        <v>2024</v>
      </c>
      <c r="I1025" s="69" t="s">
        <v>63</v>
      </c>
      <c r="J1025" s="69" t="s">
        <v>5345</v>
      </c>
      <c r="K1025" s="71" t="s">
        <v>5346</v>
      </c>
      <c r="L1025" s="71" t="s">
        <v>5347</v>
      </c>
      <c r="M1025" s="71" t="s">
        <v>5348</v>
      </c>
      <c r="N1025" s="69" t="s">
        <v>44</v>
      </c>
      <c r="O1025" s="64">
        <v>1</v>
      </c>
      <c r="P1025" s="72">
        <v>31000000</v>
      </c>
      <c r="Q1025" s="69" t="s">
        <v>5349</v>
      </c>
      <c r="R1025" s="69"/>
      <c r="S1025" s="121" t="s">
        <v>580</v>
      </c>
      <c r="T1025" s="56">
        <v>26</v>
      </c>
      <c r="U1025" s="56">
        <v>3</v>
      </c>
    </row>
    <row r="1026" spans="1:21" ht="14.25" customHeight="1" thickBot="1" x14ac:dyDescent="0.4">
      <c r="A1026" s="58">
        <v>1010</v>
      </c>
      <c r="B1026" s="69" t="s">
        <v>79</v>
      </c>
      <c r="C1026" s="69" t="s">
        <v>80</v>
      </c>
      <c r="D1026" s="70" t="s">
        <v>215</v>
      </c>
      <c r="E1026" s="69" t="s">
        <v>5332</v>
      </c>
      <c r="F1026" s="69" t="s">
        <v>5333</v>
      </c>
      <c r="G1026" s="69" t="s">
        <v>5334</v>
      </c>
      <c r="H1026" s="70">
        <v>2024</v>
      </c>
      <c r="I1026" s="69" t="s">
        <v>63</v>
      </c>
      <c r="J1026" s="69" t="s">
        <v>5350</v>
      </c>
      <c r="K1026" s="71" t="s">
        <v>5351</v>
      </c>
      <c r="L1026" s="71" t="s">
        <v>5352</v>
      </c>
      <c r="M1026" s="71" t="s">
        <v>5353</v>
      </c>
      <c r="N1026" s="69" t="s">
        <v>44</v>
      </c>
      <c r="O1026" s="64">
        <v>1</v>
      </c>
      <c r="P1026" s="72">
        <v>31000000</v>
      </c>
      <c r="Q1026" s="69" t="s">
        <v>5354</v>
      </c>
      <c r="R1026" s="69"/>
      <c r="S1026" s="121" t="s">
        <v>580</v>
      </c>
      <c r="T1026" s="56">
        <v>26</v>
      </c>
      <c r="U1026" s="56">
        <v>3</v>
      </c>
    </row>
    <row r="1027" spans="1:21" ht="14.25" customHeight="1" x14ac:dyDescent="0.35">
      <c r="A1027" s="47">
        <v>1011</v>
      </c>
      <c r="B1027" s="69" t="s">
        <v>79</v>
      </c>
      <c r="C1027" s="69" t="s">
        <v>80</v>
      </c>
      <c r="D1027" s="70" t="s">
        <v>223</v>
      </c>
      <c r="E1027" s="69" t="s">
        <v>5332</v>
      </c>
      <c r="F1027" s="69" t="s">
        <v>5333</v>
      </c>
      <c r="G1027" s="69" t="s">
        <v>5334</v>
      </c>
      <c r="H1027" s="70">
        <v>2024</v>
      </c>
      <c r="I1027" s="69" t="s">
        <v>63</v>
      </c>
      <c r="J1027" s="69" t="s">
        <v>5355</v>
      </c>
      <c r="K1027" s="71" t="s">
        <v>5356</v>
      </c>
      <c r="L1027" s="71" t="s">
        <v>5357</v>
      </c>
      <c r="M1027" s="71" t="s">
        <v>5358</v>
      </c>
      <c r="N1027" s="69" t="s">
        <v>44</v>
      </c>
      <c r="O1027" s="64">
        <v>1</v>
      </c>
      <c r="P1027" s="72">
        <v>31000000</v>
      </c>
      <c r="Q1027" s="69" t="s">
        <v>5359</v>
      </c>
      <c r="R1027" s="69"/>
      <c r="S1027" s="121" t="s">
        <v>580</v>
      </c>
      <c r="T1027" s="56">
        <v>26</v>
      </c>
      <c r="U1027" s="56">
        <v>3</v>
      </c>
    </row>
    <row r="1028" spans="1:21" ht="14.25" customHeight="1" thickBot="1" x14ac:dyDescent="0.4">
      <c r="A1028" s="58">
        <v>1012</v>
      </c>
      <c r="B1028" s="69" t="s">
        <v>79</v>
      </c>
      <c r="C1028" s="69" t="s">
        <v>80</v>
      </c>
      <c r="D1028" s="70" t="s">
        <v>229</v>
      </c>
      <c r="E1028" s="69" t="s">
        <v>5332</v>
      </c>
      <c r="F1028" s="69" t="s">
        <v>5333</v>
      </c>
      <c r="G1028" s="69" t="s">
        <v>5334</v>
      </c>
      <c r="H1028" s="70">
        <v>2024</v>
      </c>
      <c r="I1028" s="69" t="s">
        <v>63</v>
      </c>
      <c r="J1028" s="69" t="s">
        <v>5360</v>
      </c>
      <c r="K1028" s="71" t="s">
        <v>5361</v>
      </c>
      <c r="L1028" s="71" t="s">
        <v>5362</v>
      </c>
      <c r="M1028" s="71" t="s">
        <v>5363</v>
      </c>
      <c r="N1028" s="69" t="s">
        <v>44</v>
      </c>
      <c r="O1028" s="64">
        <v>1</v>
      </c>
      <c r="P1028" s="72">
        <v>31000000</v>
      </c>
      <c r="Q1028" s="69" t="s">
        <v>5364</v>
      </c>
      <c r="R1028" s="69"/>
      <c r="S1028" s="121" t="s">
        <v>580</v>
      </c>
      <c r="T1028" s="56">
        <v>26</v>
      </c>
      <c r="U1028" s="56">
        <v>3</v>
      </c>
    </row>
    <row r="1029" spans="1:21" ht="14.25" customHeight="1" x14ac:dyDescent="0.35">
      <c r="A1029" s="47">
        <v>1013</v>
      </c>
      <c r="B1029" s="69" t="s">
        <v>1806</v>
      </c>
      <c r="C1029" s="69" t="s">
        <v>1807</v>
      </c>
      <c r="D1029" s="70" t="s">
        <v>51</v>
      </c>
      <c r="E1029" s="69" t="s">
        <v>2473</v>
      </c>
      <c r="F1029" s="69" t="s">
        <v>1595</v>
      </c>
      <c r="G1029" s="69" t="s">
        <v>140</v>
      </c>
      <c r="H1029" s="70">
        <v>2015</v>
      </c>
      <c r="I1029" s="69" t="s">
        <v>5365</v>
      </c>
      <c r="J1029" s="69" t="s">
        <v>5366</v>
      </c>
      <c r="K1029" s="71" t="s">
        <v>5367</v>
      </c>
      <c r="L1029" s="71" t="s">
        <v>5368</v>
      </c>
      <c r="M1029" s="71" t="s">
        <v>5369</v>
      </c>
      <c r="N1029" s="69" t="s">
        <v>57</v>
      </c>
      <c r="O1029" s="64">
        <v>1</v>
      </c>
      <c r="P1029" s="72">
        <v>270000000</v>
      </c>
      <c r="Q1029" s="187" t="s">
        <v>5370</v>
      </c>
      <c r="R1029" s="187"/>
      <c r="S1029" s="121" t="s">
        <v>605</v>
      </c>
      <c r="T1029" s="56">
        <v>27</v>
      </c>
      <c r="U1029" s="56">
        <v>4</v>
      </c>
    </row>
    <row r="1030" spans="1:21" ht="69" customHeight="1" thickBot="1" x14ac:dyDescent="0.4">
      <c r="A1030" s="58">
        <v>1014</v>
      </c>
      <c r="B1030" s="69" t="s">
        <v>70</v>
      </c>
      <c r="C1030" s="69" t="s">
        <v>5371</v>
      </c>
      <c r="D1030" s="70" t="s">
        <v>51</v>
      </c>
      <c r="E1030" s="69" t="s">
        <v>5372</v>
      </c>
      <c r="F1030" s="69"/>
      <c r="G1030" s="69" t="s">
        <v>54</v>
      </c>
      <c r="H1030" s="70">
        <v>2025</v>
      </c>
      <c r="I1030" s="69" t="s">
        <v>63</v>
      </c>
      <c r="J1030" s="69" t="s">
        <v>5373</v>
      </c>
      <c r="K1030" s="71" t="s">
        <v>5374</v>
      </c>
      <c r="L1030" s="71" t="s">
        <v>5375</v>
      </c>
      <c r="M1030" s="71" t="s">
        <v>63</v>
      </c>
      <c r="N1030" s="69" t="s">
        <v>44</v>
      </c>
      <c r="O1030" s="64">
        <v>1</v>
      </c>
      <c r="P1030" s="72">
        <v>495100000</v>
      </c>
      <c r="Q1030" s="187" t="s">
        <v>5370</v>
      </c>
      <c r="R1030" s="187"/>
      <c r="S1030" s="121" t="s">
        <v>605</v>
      </c>
      <c r="T1030" s="56">
        <v>27</v>
      </c>
      <c r="U1030" s="56">
        <v>4</v>
      </c>
    </row>
    <row r="1031" spans="1:21" ht="14.25" customHeight="1" x14ac:dyDescent="0.35">
      <c r="A1031" s="47">
        <v>1015</v>
      </c>
      <c r="B1031" s="69" t="s">
        <v>79</v>
      </c>
      <c r="C1031" s="69" t="s">
        <v>80</v>
      </c>
      <c r="D1031" s="70" t="s">
        <v>51</v>
      </c>
      <c r="E1031" s="69" t="s">
        <v>1383</v>
      </c>
      <c r="F1031" s="69" t="s">
        <v>163</v>
      </c>
      <c r="G1031" s="69" t="s">
        <v>140</v>
      </c>
      <c r="H1031" s="70">
        <v>2015</v>
      </c>
      <c r="I1031" s="69" t="s">
        <v>63</v>
      </c>
      <c r="J1031" s="69" t="s">
        <v>5376</v>
      </c>
      <c r="K1031" s="71" t="s">
        <v>5377</v>
      </c>
      <c r="L1031" s="71" t="s">
        <v>5378</v>
      </c>
      <c r="M1031" s="71" t="s">
        <v>5379</v>
      </c>
      <c r="N1031" s="69" t="s">
        <v>57</v>
      </c>
      <c r="O1031" s="64">
        <v>1</v>
      </c>
      <c r="P1031" s="72">
        <v>14962333</v>
      </c>
      <c r="Q1031" s="69" t="s">
        <v>5380</v>
      </c>
      <c r="R1031" s="69"/>
      <c r="S1031" s="121" t="s">
        <v>605</v>
      </c>
      <c r="T1031" s="56">
        <v>27</v>
      </c>
      <c r="U1031" s="56">
        <v>3</v>
      </c>
    </row>
    <row r="1032" spans="1:21" ht="14.25" customHeight="1" thickBot="1" x14ac:dyDescent="0.4">
      <c r="A1032" s="58">
        <v>1016</v>
      </c>
      <c r="B1032" s="69" t="s">
        <v>79</v>
      </c>
      <c r="C1032" s="69" t="s">
        <v>80</v>
      </c>
      <c r="D1032" s="70" t="s">
        <v>59</v>
      </c>
      <c r="E1032" s="69" t="s">
        <v>4140</v>
      </c>
      <c r="F1032" s="69" t="s">
        <v>4141</v>
      </c>
      <c r="G1032" s="69" t="s">
        <v>140</v>
      </c>
      <c r="H1032" s="70">
        <v>2015</v>
      </c>
      <c r="I1032" s="69" t="s">
        <v>63</v>
      </c>
      <c r="J1032" s="69" t="s">
        <v>5381</v>
      </c>
      <c r="K1032" s="71" t="s">
        <v>5382</v>
      </c>
      <c r="L1032" s="71" t="s">
        <v>5383</v>
      </c>
      <c r="M1032" s="71" t="s">
        <v>5384</v>
      </c>
      <c r="N1032" s="69" t="s">
        <v>57</v>
      </c>
      <c r="O1032" s="64">
        <v>1</v>
      </c>
      <c r="P1032" s="72">
        <v>16858000</v>
      </c>
      <c r="Q1032" s="188" t="s">
        <v>5385</v>
      </c>
      <c r="R1032" s="212"/>
      <c r="S1032" s="121" t="s">
        <v>605</v>
      </c>
      <c r="T1032" s="56">
        <v>27</v>
      </c>
      <c r="U1032" s="56">
        <v>3</v>
      </c>
    </row>
    <row r="1033" spans="1:21" ht="14.25" customHeight="1" x14ac:dyDescent="0.35">
      <c r="A1033" s="47">
        <v>1017</v>
      </c>
      <c r="B1033" s="69" t="s">
        <v>79</v>
      </c>
      <c r="C1033" s="69" t="s">
        <v>80</v>
      </c>
      <c r="D1033" s="70" t="s">
        <v>97</v>
      </c>
      <c r="E1033" s="69" t="s">
        <v>147</v>
      </c>
      <c r="F1033" s="69" t="s">
        <v>148</v>
      </c>
      <c r="G1033" s="69" t="s">
        <v>140</v>
      </c>
      <c r="H1033" s="70">
        <v>2015</v>
      </c>
      <c r="I1033" s="69" t="s">
        <v>63</v>
      </c>
      <c r="J1033" s="69" t="s">
        <v>5386</v>
      </c>
      <c r="K1033" s="71" t="s">
        <v>5387</v>
      </c>
      <c r="L1033" s="71" t="s">
        <v>5388</v>
      </c>
      <c r="M1033" s="71" t="s">
        <v>5389</v>
      </c>
      <c r="N1033" s="69" t="s">
        <v>57</v>
      </c>
      <c r="O1033" s="64">
        <v>1</v>
      </c>
      <c r="P1033" s="72">
        <v>19430000</v>
      </c>
      <c r="Q1033" s="188" t="s">
        <v>5390</v>
      </c>
      <c r="R1033" s="212"/>
      <c r="S1033" s="121" t="s">
        <v>605</v>
      </c>
      <c r="T1033" s="56">
        <v>27</v>
      </c>
      <c r="U1033" s="56">
        <v>3</v>
      </c>
    </row>
    <row r="1034" spans="1:21" ht="14.25" customHeight="1" thickBot="1" x14ac:dyDescent="0.4">
      <c r="A1034" s="58">
        <v>1018</v>
      </c>
      <c r="B1034" s="69" t="s">
        <v>79</v>
      </c>
      <c r="C1034" s="69" t="s">
        <v>80</v>
      </c>
      <c r="D1034" s="70" t="s">
        <v>101</v>
      </c>
      <c r="E1034" s="69" t="s">
        <v>4140</v>
      </c>
      <c r="F1034" s="69" t="s">
        <v>4141</v>
      </c>
      <c r="G1034" s="69" t="s">
        <v>140</v>
      </c>
      <c r="H1034" s="70">
        <v>2015</v>
      </c>
      <c r="I1034" s="69" t="s">
        <v>63</v>
      </c>
      <c r="J1034" s="69" t="s">
        <v>5391</v>
      </c>
      <c r="K1034" s="71" t="s">
        <v>5392</v>
      </c>
      <c r="L1034" s="71" t="s">
        <v>5393</v>
      </c>
      <c r="M1034" s="71" t="s">
        <v>5394</v>
      </c>
      <c r="N1034" s="69" t="s">
        <v>57</v>
      </c>
      <c r="O1034" s="64">
        <v>1</v>
      </c>
      <c r="P1034" s="72">
        <v>16858000</v>
      </c>
      <c r="Q1034" s="188" t="s">
        <v>5395</v>
      </c>
      <c r="R1034" s="212"/>
      <c r="S1034" s="121" t="s">
        <v>605</v>
      </c>
      <c r="T1034" s="56">
        <v>27</v>
      </c>
      <c r="U1034" s="56">
        <v>3</v>
      </c>
    </row>
    <row r="1035" spans="1:21" ht="14.25" customHeight="1" x14ac:dyDescent="0.35">
      <c r="A1035" s="47">
        <v>1019</v>
      </c>
      <c r="B1035" s="69" t="s">
        <v>79</v>
      </c>
      <c r="C1035" s="69" t="s">
        <v>80</v>
      </c>
      <c r="D1035" s="70" t="s">
        <v>107</v>
      </c>
      <c r="E1035" s="69" t="s">
        <v>4140</v>
      </c>
      <c r="F1035" s="69" t="s">
        <v>2179</v>
      </c>
      <c r="G1035" s="69" t="s">
        <v>140</v>
      </c>
      <c r="H1035" s="70">
        <v>2015</v>
      </c>
      <c r="I1035" s="69" t="s">
        <v>63</v>
      </c>
      <c r="J1035" s="69" t="s">
        <v>5396</v>
      </c>
      <c r="K1035" s="71" t="s">
        <v>5397</v>
      </c>
      <c r="L1035" s="71" t="s">
        <v>5398</v>
      </c>
      <c r="M1035" s="71" t="s">
        <v>5399</v>
      </c>
      <c r="N1035" s="69" t="s">
        <v>57</v>
      </c>
      <c r="O1035" s="64">
        <v>1</v>
      </c>
      <c r="P1035" s="72">
        <v>16858000</v>
      </c>
      <c r="Q1035" s="70" t="s">
        <v>4690</v>
      </c>
      <c r="R1035" s="70"/>
      <c r="S1035" s="121" t="s">
        <v>605</v>
      </c>
      <c r="T1035" s="56">
        <v>27</v>
      </c>
      <c r="U1035" s="56">
        <v>3</v>
      </c>
    </row>
    <row r="1036" spans="1:21" ht="14.25" customHeight="1" thickBot="1" x14ac:dyDescent="0.4">
      <c r="A1036" s="58">
        <v>1020</v>
      </c>
      <c r="B1036" s="69" t="s">
        <v>79</v>
      </c>
      <c r="C1036" s="69" t="s">
        <v>80</v>
      </c>
      <c r="D1036" s="70" t="s">
        <v>112</v>
      </c>
      <c r="E1036" s="69" t="s">
        <v>5400</v>
      </c>
      <c r="F1036" s="69" t="s">
        <v>88</v>
      </c>
      <c r="G1036" s="69" t="s">
        <v>54</v>
      </c>
      <c r="H1036" s="70">
        <v>2010</v>
      </c>
      <c r="I1036" s="69" t="s">
        <v>63</v>
      </c>
      <c r="J1036" s="69" t="s">
        <v>5401</v>
      </c>
      <c r="K1036" s="71" t="s">
        <v>5402</v>
      </c>
      <c r="L1036" s="71" t="s">
        <v>5403</v>
      </c>
      <c r="M1036" s="71" t="s">
        <v>5404</v>
      </c>
      <c r="N1036" s="69" t="s">
        <v>57</v>
      </c>
      <c r="O1036" s="64">
        <v>1</v>
      </c>
      <c r="P1036" s="72">
        <v>15733000</v>
      </c>
      <c r="Q1036" s="69" t="s">
        <v>5405</v>
      </c>
      <c r="R1036" s="69"/>
      <c r="S1036" s="121" t="s">
        <v>605</v>
      </c>
      <c r="T1036" s="56">
        <v>27</v>
      </c>
      <c r="U1036" s="56">
        <v>3</v>
      </c>
    </row>
    <row r="1037" spans="1:21" ht="14.25" customHeight="1" x14ac:dyDescent="0.35">
      <c r="A1037" s="47">
        <v>1021</v>
      </c>
      <c r="B1037" s="69" t="s">
        <v>79</v>
      </c>
      <c r="C1037" s="69" t="s">
        <v>80</v>
      </c>
      <c r="D1037" s="70" t="s">
        <v>116</v>
      </c>
      <c r="E1037" s="69" t="s">
        <v>5406</v>
      </c>
      <c r="F1037" s="69" t="s">
        <v>88</v>
      </c>
      <c r="G1037" s="69" t="s">
        <v>54</v>
      </c>
      <c r="H1037" s="70">
        <v>2010</v>
      </c>
      <c r="I1037" s="69" t="s">
        <v>63</v>
      </c>
      <c r="J1037" s="69" t="s">
        <v>5407</v>
      </c>
      <c r="K1037" s="71" t="s">
        <v>5408</v>
      </c>
      <c r="L1037" s="71" t="s">
        <v>5409</v>
      </c>
      <c r="M1037" s="71" t="s">
        <v>5410</v>
      </c>
      <c r="N1037" s="69" t="s">
        <v>57</v>
      </c>
      <c r="O1037" s="64">
        <v>1</v>
      </c>
      <c r="P1037" s="72">
        <v>15733000</v>
      </c>
      <c r="Q1037" s="69" t="s">
        <v>5411</v>
      </c>
      <c r="R1037" s="69"/>
      <c r="S1037" s="121" t="s">
        <v>605</v>
      </c>
      <c r="T1037" s="56">
        <v>27</v>
      </c>
      <c r="U1037" s="56">
        <v>3</v>
      </c>
    </row>
    <row r="1038" spans="1:21" ht="14.25" customHeight="1" thickBot="1" x14ac:dyDescent="0.4">
      <c r="A1038" s="58">
        <v>1022</v>
      </c>
      <c r="B1038" s="69" t="s">
        <v>79</v>
      </c>
      <c r="C1038" s="69" t="s">
        <v>80</v>
      </c>
      <c r="D1038" s="70" t="s">
        <v>841</v>
      </c>
      <c r="E1038" s="69" t="s">
        <v>5412</v>
      </c>
      <c r="F1038" s="69" t="s">
        <v>88</v>
      </c>
      <c r="G1038" s="69" t="s">
        <v>54</v>
      </c>
      <c r="H1038" s="70">
        <v>2010</v>
      </c>
      <c r="I1038" s="69" t="s">
        <v>63</v>
      </c>
      <c r="J1038" s="69" t="s">
        <v>5413</v>
      </c>
      <c r="K1038" s="71" t="s">
        <v>5414</v>
      </c>
      <c r="L1038" s="71" t="s">
        <v>5415</v>
      </c>
      <c r="M1038" s="71" t="s">
        <v>5416</v>
      </c>
      <c r="N1038" s="69" t="s">
        <v>57</v>
      </c>
      <c r="O1038" s="64">
        <v>1</v>
      </c>
      <c r="P1038" s="72">
        <v>15733000</v>
      </c>
      <c r="Q1038" s="188" t="s">
        <v>5417</v>
      </c>
      <c r="R1038" s="212"/>
      <c r="S1038" s="121" t="s">
        <v>605</v>
      </c>
      <c r="T1038" s="56">
        <v>27</v>
      </c>
      <c r="U1038" s="56">
        <v>3</v>
      </c>
    </row>
    <row r="1039" spans="1:21" ht="14.25" customHeight="1" x14ac:dyDescent="0.35">
      <c r="A1039" s="47">
        <v>1023</v>
      </c>
      <c r="B1039" s="69" t="s">
        <v>79</v>
      </c>
      <c r="C1039" s="69" t="s">
        <v>80</v>
      </c>
      <c r="D1039" s="70" t="s">
        <v>904</v>
      </c>
      <c r="E1039" s="69" t="s">
        <v>5418</v>
      </c>
      <c r="F1039" s="69" t="s">
        <v>88</v>
      </c>
      <c r="G1039" s="69" t="s">
        <v>54</v>
      </c>
      <c r="H1039" s="70">
        <v>2010</v>
      </c>
      <c r="I1039" s="69" t="s">
        <v>63</v>
      </c>
      <c r="J1039" s="69" t="s">
        <v>5419</v>
      </c>
      <c r="K1039" s="71" t="s">
        <v>5420</v>
      </c>
      <c r="L1039" s="71" t="s">
        <v>5421</v>
      </c>
      <c r="M1039" s="71" t="s">
        <v>5422</v>
      </c>
      <c r="N1039" s="69" t="s">
        <v>57</v>
      </c>
      <c r="O1039" s="64">
        <v>1</v>
      </c>
      <c r="P1039" s="72">
        <v>15733000</v>
      </c>
      <c r="Q1039" s="69" t="s">
        <v>5423</v>
      </c>
      <c r="R1039" s="69"/>
      <c r="S1039" s="121" t="s">
        <v>605</v>
      </c>
      <c r="T1039" s="56">
        <v>27</v>
      </c>
      <c r="U1039" s="56">
        <v>3</v>
      </c>
    </row>
    <row r="1040" spans="1:21" ht="14.25" customHeight="1" thickBot="1" x14ac:dyDescent="0.4">
      <c r="A1040" s="58">
        <v>1024</v>
      </c>
      <c r="B1040" s="69" t="s">
        <v>79</v>
      </c>
      <c r="C1040" s="69" t="s">
        <v>80</v>
      </c>
      <c r="D1040" s="70" t="s">
        <v>122</v>
      </c>
      <c r="E1040" s="69" t="s">
        <v>5418</v>
      </c>
      <c r="F1040" s="69" t="s">
        <v>88</v>
      </c>
      <c r="G1040" s="69" t="s">
        <v>54</v>
      </c>
      <c r="H1040" s="70">
        <v>2010</v>
      </c>
      <c r="I1040" s="69" t="s">
        <v>63</v>
      </c>
      <c r="J1040" s="69" t="s">
        <v>5424</v>
      </c>
      <c r="K1040" s="71" t="s">
        <v>5425</v>
      </c>
      <c r="L1040" s="71" t="s">
        <v>5426</v>
      </c>
      <c r="M1040" s="71" t="s">
        <v>5427</v>
      </c>
      <c r="N1040" s="69" t="s">
        <v>57</v>
      </c>
      <c r="O1040" s="64">
        <v>1</v>
      </c>
      <c r="P1040" s="72">
        <v>15733000</v>
      </c>
      <c r="Q1040" s="188" t="s">
        <v>5428</v>
      </c>
      <c r="R1040" s="212"/>
      <c r="S1040" s="121" t="s">
        <v>605</v>
      </c>
      <c r="T1040" s="56">
        <v>27</v>
      </c>
      <c r="U1040" s="56">
        <v>3</v>
      </c>
    </row>
    <row r="1041" spans="1:21" ht="14.25" customHeight="1" x14ac:dyDescent="0.35">
      <c r="A1041" s="47">
        <v>1025</v>
      </c>
      <c r="B1041" s="69" t="s">
        <v>79</v>
      </c>
      <c r="C1041" s="69" t="s">
        <v>80</v>
      </c>
      <c r="D1041" s="70" t="s">
        <v>126</v>
      </c>
      <c r="E1041" s="69" t="s">
        <v>5400</v>
      </c>
      <c r="F1041" s="69" t="s">
        <v>5429</v>
      </c>
      <c r="G1041" s="69" t="s">
        <v>54</v>
      </c>
      <c r="H1041" s="70">
        <v>2010</v>
      </c>
      <c r="I1041" s="69" t="s">
        <v>63</v>
      </c>
      <c r="J1041" s="69" t="s">
        <v>5430</v>
      </c>
      <c r="K1041" s="71" t="s">
        <v>5431</v>
      </c>
      <c r="L1041" s="71" t="s">
        <v>5432</v>
      </c>
      <c r="M1041" s="71" t="s">
        <v>5433</v>
      </c>
      <c r="N1041" s="69" t="s">
        <v>57</v>
      </c>
      <c r="O1041" s="64">
        <v>1</v>
      </c>
      <c r="P1041" s="72">
        <v>15733000</v>
      </c>
      <c r="Q1041" s="189" t="s">
        <v>5434</v>
      </c>
      <c r="R1041" s="189"/>
      <c r="S1041" s="121" t="s">
        <v>605</v>
      </c>
      <c r="T1041" s="56">
        <v>27</v>
      </c>
      <c r="U1041" s="56">
        <v>3</v>
      </c>
    </row>
    <row r="1042" spans="1:21" ht="14.25" customHeight="1" thickBot="1" x14ac:dyDescent="0.4">
      <c r="A1042" s="58">
        <v>1026</v>
      </c>
      <c r="B1042" s="69" t="s">
        <v>79</v>
      </c>
      <c r="C1042" s="69" t="s">
        <v>80</v>
      </c>
      <c r="D1042" s="70" t="s">
        <v>132</v>
      </c>
      <c r="E1042" s="69" t="s">
        <v>5435</v>
      </c>
      <c r="F1042" s="69" t="s">
        <v>88</v>
      </c>
      <c r="G1042" s="69" t="s">
        <v>54</v>
      </c>
      <c r="H1042" s="70">
        <v>2008</v>
      </c>
      <c r="I1042" s="69" t="s">
        <v>63</v>
      </c>
      <c r="J1042" s="69" t="s">
        <v>5436</v>
      </c>
      <c r="K1042" s="71" t="s">
        <v>5437</v>
      </c>
      <c r="L1042" s="71" t="s">
        <v>5438</v>
      </c>
      <c r="M1042" s="71" t="s">
        <v>5439</v>
      </c>
      <c r="N1042" s="69" t="s">
        <v>57</v>
      </c>
      <c r="O1042" s="64">
        <v>1</v>
      </c>
      <c r="P1042" s="72">
        <v>16900000</v>
      </c>
      <c r="Q1042" s="188" t="s">
        <v>5440</v>
      </c>
      <c r="R1042" s="212"/>
      <c r="S1042" s="121" t="s">
        <v>605</v>
      </c>
      <c r="T1042" s="56">
        <v>27</v>
      </c>
      <c r="U1042" s="56">
        <v>3</v>
      </c>
    </row>
    <row r="1043" spans="1:21" ht="14.25" customHeight="1" x14ac:dyDescent="0.35">
      <c r="A1043" s="47">
        <v>1027</v>
      </c>
      <c r="B1043" s="69" t="s">
        <v>79</v>
      </c>
      <c r="C1043" s="69" t="s">
        <v>80</v>
      </c>
      <c r="D1043" s="70" t="s">
        <v>137</v>
      </c>
      <c r="E1043" s="69" t="s">
        <v>1888</v>
      </c>
      <c r="F1043" s="69" t="s">
        <v>443</v>
      </c>
      <c r="G1043" s="69" t="s">
        <v>54</v>
      </c>
      <c r="H1043" s="70">
        <v>2013</v>
      </c>
      <c r="I1043" s="69" t="s">
        <v>63</v>
      </c>
      <c r="J1043" s="69" t="s">
        <v>5441</v>
      </c>
      <c r="K1043" s="71" t="s">
        <v>5442</v>
      </c>
      <c r="L1043" s="71" t="s">
        <v>5443</v>
      </c>
      <c r="M1043" s="71" t="s">
        <v>5444</v>
      </c>
      <c r="N1043" s="69" t="s">
        <v>57</v>
      </c>
      <c r="O1043" s="64">
        <v>1</v>
      </c>
      <c r="P1043" s="72">
        <v>14108500</v>
      </c>
      <c r="Q1043" s="70" t="s">
        <v>4690</v>
      </c>
      <c r="R1043" s="70"/>
      <c r="S1043" s="121" t="s">
        <v>605</v>
      </c>
      <c r="T1043" s="56">
        <v>27</v>
      </c>
      <c r="U1043" s="56">
        <v>3</v>
      </c>
    </row>
    <row r="1044" spans="1:21" ht="14.25" customHeight="1" thickBot="1" x14ac:dyDescent="0.4">
      <c r="A1044" s="58">
        <v>1028</v>
      </c>
      <c r="B1044" s="69" t="s">
        <v>79</v>
      </c>
      <c r="C1044" s="69" t="s">
        <v>80</v>
      </c>
      <c r="D1044" s="70" t="s">
        <v>146</v>
      </c>
      <c r="E1044" s="69" t="s">
        <v>5445</v>
      </c>
      <c r="F1044" s="69" t="s">
        <v>443</v>
      </c>
      <c r="G1044" s="69" t="s">
        <v>54</v>
      </c>
      <c r="H1044" s="70">
        <v>2013</v>
      </c>
      <c r="I1044" s="69" t="s">
        <v>63</v>
      </c>
      <c r="J1044" s="69" t="s">
        <v>5446</v>
      </c>
      <c r="K1044" s="71" t="s">
        <v>5447</v>
      </c>
      <c r="L1044" s="71" t="s">
        <v>5448</v>
      </c>
      <c r="M1044" s="71" t="s">
        <v>5449</v>
      </c>
      <c r="N1044" s="69" t="s">
        <v>57</v>
      </c>
      <c r="O1044" s="64">
        <v>1</v>
      </c>
      <c r="P1044" s="72">
        <v>14792466.999999998</v>
      </c>
      <c r="Q1044" s="70" t="s">
        <v>5450</v>
      </c>
      <c r="R1044" s="70"/>
      <c r="S1044" s="121" t="s">
        <v>605</v>
      </c>
      <c r="T1044" s="56">
        <v>27</v>
      </c>
      <c r="U1044" s="56">
        <v>3</v>
      </c>
    </row>
    <row r="1045" spans="1:21" ht="14.25" customHeight="1" x14ac:dyDescent="0.35">
      <c r="A1045" s="47">
        <v>1029</v>
      </c>
      <c r="B1045" s="69" t="s">
        <v>79</v>
      </c>
      <c r="C1045" s="69" t="s">
        <v>80</v>
      </c>
      <c r="D1045" s="70" t="s">
        <v>154</v>
      </c>
      <c r="E1045" s="69" t="s">
        <v>5451</v>
      </c>
      <c r="F1045" s="69" t="s">
        <v>443</v>
      </c>
      <c r="G1045" s="69" t="s">
        <v>54</v>
      </c>
      <c r="H1045" s="70">
        <v>2007</v>
      </c>
      <c r="I1045" s="69" t="s">
        <v>63</v>
      </c>
      <c r="J1045" s="69" t="s">
        <v>5452</v>
      </c>
      <c r="K1045" s="71" t="s">
        <v>5453</v>
      </c>
      <c r="L1045" s="71" t="s">
        <v>5454</v>
      </c>
      <c r="M1045" s="71" t="s">
        <v>5455</v>
      </c>
      <c r="N1045" s="69" t="s">
        <v>57</v>
      </c>
      <c r="O1045" s="64">
        <v>1</v>
      </c>
      <c r="P1045" s="72">
        <v>10525000</v>
      </c>
      <c r="Q1045" s="70" t="s">
        <v>4690</v>
      </c>
      <c r="R1045" s="70"/>
      <c r="S1045" s="121" t="s">
        <v>605</v>
      </c>
      <c r="T1045" s="56">
        <v>27</v>
      </c>
      <c r="U1045" s="56">
        <v>3</v>
      </c>
    </row>
    <row r="1046" spans="1:21" ht="14.25" customHeight="1" thickBot="1" x14ac:dyDescent="0.4">
      <c r="A1046" s="58">
        <v>1030</v>
      </c>
      <c r="B1046" s="69" t="s">
        <v>79</v>
      </c>
      <c r="C1046" s="69" t="s">
        <v>80</v>
      </c>
      <c r="D1046" s="70" t="s">
        <v>161</v>
      </c>
      <c r="E1046" s="69" t="s">
        <v>5456</v>
      </c>
      <c r="F1046" s="69" t="s">
        <v>88</v>
      </c>
      <c r="G1046" s="69" t="s">
        <v>54</v>
      </c>
      <c r="H1046" s="70">
        <v>2007</v>
      </c>
      <c r="I1046" s="69" t="s">
        <v>63</v>
      </c>
      <c r="J1046" s="69" t="s">
        <v>5457</v>
      </c>
      <c r="K1046" s="71" t="s">
        <v>5458</v>
      </c>
      <c r="L1046" s="71" t="s">
        <v>5459</v>
      </c>
      <c r="M1046" s="71" t="s">
        <v>5460</v>
      </c>
      <c r="N1046" s="69" t="s">
        <v>57</v>
      </c>
      <c r="O1046" s="64">
        <v>1</v>
      </c>
      <c r="P1046" s="72">
        <v>12700000</v>
      </c>
      <c r="Q1046" s="188" t="s">
        <v>5461</v>
      </c>
      <c r="R1046" s="212"/>
      <c r="S1046" s="121" t="s">
        <v>605</v>
      </c>
      <c r="T1046" s="56">
        <v>27</v>
      </c>
      <c r="U1046" s="56">
        <v>3</v>
      </c>
    </row>
    <row r="1047" spans="1:21" ht="14.25" customHeight="1" x14ac:dyDescent="0.35">
      <c r="A1047" s="47">
        <v>1031</v>
      </c>
      <c r="B1047" s="69" t="s">
        <v>58</v>
      </c>
      <c r="C1047" s="69" t="s">
        <v>50</v>
      </c>
      <c r="D1047" s="70" t="s">
        <v>51</v>
      </c>
      <c r="E1047" s="69" t="s">
        <v>5462</v>
      </c>
      <c r="F1047" s="69" t="s">
        <v>4207</v>
      </c>
      <c r="G1047" s="69" t="s">
        <v>415</v>
      </c>
      <c r="H1047" s="70">
        <v>2011</v>
      </c>
      <c r="I1047" s="69"/>
      <c r="J1047" s="69" t="s">
        <v>5463</v>
      </c>
      <c r="K1047" s="71" t="s">
        <v>5464</v>
      </c>
      <c r="L1047" s="71" t="s">
        <v>5465</v>
      </c>
      <c r="M1047" s="71" t="s">
        <v>5466</v>
      </c>
      <c r="N1047" s="69" t="s">
        <v>57</v>
      </c>
      <c r="O1047" s="64">
        <v>1</v>
      </c>
      <c r="P1047" s="72">
        <v>261735000</v>
      </c>
      <c r="Q1047" s="69"/>
      <c r="R1047" s="69"/>
      <c r="S1047" s="121" t="s">
        <v>621</v>
      </c>
      <c r="T1047" s="56">
        <v>28</v>
      </c>
      <c r="U1047" s="56">
        <v>4</v>
      </c>
    </row>
    <row r="1048" spans="1:21" ht="14.25" customHeight="1" thickBot="1" x14ac:dyDescent="0.4">
      <c r="A1048" s="58">
        <v>1032</v>
      </c>
      <c r="B1048" s="69" t="s">
        <v>58</v>
      </c>
      <c r="C1048" s="69" t="s">
        <v>50</v>
      </c>
      <c r="D1048" s="70" t="s">
        <v>59</v>
      </c>
      <c r="E1048" s="69" t="s">
        <v>5467</v>
      </c>
      <c r="F1048" s="69" t="s">
        <v>4481</v>
      </c>
      <c r="G1048" s="69" t="s">
        <v>140</v>
      </c>
      <c r="H1048" s="70">
        <v>2024</v>
      </c>
      <c r="I1048" s="69" t="s">
        <v>63</v>
      </c>
      <c r="J1048" s="69" t="s">
        <v>5468</v>
      </c>
      <c r="K1048" s="71" t="s">
        <v>5469</v>
      </c>
      <c r="L1048" s="71" t="s">
        <v>5470</v>
      </c>
      <c r="M1048" s="71" t="s">
        <v>5471</v>
      </c>
      <c r="N1048" s="69" t="s">
        <v>44</v>
      </c>
      <c r="O1048" s="64">
        <v>1</v>
      </c>
      <c r="P1048" s="72">
        <v>785100000</v>
      </c>
      <c r="Q1048" s="69" t="s">
        <v>5472</v>
      </c>
      <c r="R1048" s="69"/>
      <c r="S1048" s="121" t="s">
        <v>621</v>
      </c>
      <c r="T1048" s="56">
        <v>28</v>
      </c>
      <c r="U1048" s="56">
        <v>4</v>
      </c>
    </row>
    <row r="1049" spans="1:21" ht="14.25" customHeight="1" x14ac:dyDescent="0.35">
      <c r="A1049" s="47">
        <v>1033</v>
      </c>
      <c r="B1049" s="69" t="s">
        <v>58</v>
      </c>
      <c r="C1049" s="69" t="s">
        <v>50</v>
      </c>
      <c r="D1049" s="70" t="s">
        <v>97</v>
      </c>
      <c r="E1049" s="69" t="s">
        <v>5473</v>
      </c>
      <c r="F1049" s="69" t="s">
        <v>425</v>
      </c>
      <c r="G1049" s="69" t="s">
        <v>140</v>
      </c>
      <c r="H1049" s="70">
        <v>2024</v>
      </c>
      <c r="I1049" s="69" t="s">
        <v>63</v>
      </c>
      <c r="J1049" s="69" t="s">
        <v>5474</v>
      </c>
      <c r="K1049" s="71" t="s">
        <v>5475</v>
      </c>
      <c r="L1049" s="71" t="s">
        <v>5476</v>
      </c>
      <c r="M1049" s="71" t="s">
        <v>5477</v>
      </c>
      <c r="N1049" s="69" t="s">
        <v>44</v>
      </c>
      <c r="O1049" s="64">
        <v>1</v>
      </c>
      <c r="P1049" s="72">
        <v>616000000</v>
      </c>
      <c r="Q1049" s="69" t="s">
        <v>5478</v>
      </c>
      <c r="R1049" s="69"/>
      <c r="S1049" s="121" t="s">
        <v>621</v>
      </c>
      <c r="T1049" s="56">
        <v>28</v>
      </c>
      <c r="U1049" s="56">
        <v>4</v>
      </c>
    </row>
    <row r="1050" spans="1:21" ht="14.25" customHeight="1" thickBot="1" x14ac:dyDescent="0.4">
      <c r="A1050" s="58">
        <v>1034</v>
      </c>
      <c r="B1050" s="69" t="s">
        <v>58</v>
      </c>
      <c r="C1050" s="69" t="s">
        <v>50</v>
      </c>
      <c r="D1050" s="70" t="s">
        <v>101</v>
      </c>
      <c r="E1050" s="69" t="s">
        <v>63</v>
      </c>
      <c r="F1050" s="69"/>
      <c r="G1050" s="69" t="s">
        <v>63</v>
      </c>
      <c r="H1050" s="70">
        <v>2024</v>
      </c>
      <c r="I1050" s="69" t="s">
        <v>63</v>
      </c>
      <c r="J1050" s="69" t="s">
        <v>63</v>
      </c>
      <c r="K1050" s="71" t="s">
        <v>63</v>
      </c>
      <c r="L1050" s="71" t="s">
        <v>63</v>
      </c>
      <c r="M1050" s="71" t="s">
        <v>63</v>
      </c>
      <c r="N1050" s="69" t="s">
        <v>44</v>
      </c>
      <c r="O1050" s="64">
        <v>1</v>
      </c>
      <c r="P1050" s="72">
        <v>651300000</v>
      </c>
      <c r="Q1050" s="69" t="s">
        <v>5479</v>
      </c>
      <c r="R1050" s="69"/>
      <c r="S1050" s="121" t="s">
        <v>621</v>
      </c>
      <c r="T1050" s="56">
        <v>28</v>
      </c>
      <c r="U1050" s="56">
        <v>4</v>
      </c>
    </row>
    <row r="1051" spans="1:21" ht="14.25" customHeight="1" x14ac:dyDescent="0.35">
      <c r="A1051" s="47">
        <v>1035</v>
      </c>
      <c r="B1051" s="69" t="s">
        <v>1745</v>
      </c>
      <c r="C1051" s="69" t="s">
        <v>1746</v>
      </c>
      <c r="D1051" s="70" t="s">
        <v>51</v>
      </c>
      <c r="E1051" s="69" t="s">
        <v>1777</v>
      </c>
      <c r="F1051" s="69" t="s">
        <v>2691</v>
      </c>
      <c r="G1051" s="69" t="s">
        <v>140</v>
      </c>
      <c r="H1051" s="70">
        <v>2017</v>
      </c>
      <c r="I1051" s="69" t="s">
        <v>63</v>
      </c>
      <c r="J1051" s="69" t="s">
        <v>1778</v>
      </c>
      <c r="K1051" s="71" t="s">
        <v>1779</v>
      </c>
      <c r="L1051" s="71" t="s">
        <v>5480</v>
      </c>
      <c r="M1051" s="71" t="s">
        <v>5481</v>
      </c>
      <c r="N1051" s="69" t="s">
        <v>57</v>
      </c>
      <c r="O1051" s="64">
        <v>1</v>
      </c>
      <c r="P1051" s="72">
        <v>190700000</v>
      </c>
      <c r="Q1051" s="69" t="s">
        <v>5482</v>
      </c>
      <c r="R1051" s="69"/>
      <c r="S1051" s="121" t="s">
        <v>621</v>
      </c>
      <c r="T1051" s="56">
        <v>28</v>
      </c>
      <c r="U1051" s="56">
        <v>4</v>
      </c>
    </row>
    <row r="1052" spans="1:21" ht="14.25" customHeight="1" thickBot="1" x14ac:dyDescent="0.4">
      <c r="A1052" s="58">
        <v>1036</v>
      </c>
      <c r="B1052" s="69" t="s">
        <v>1745</v>
      </c>
      <c r="C1052" s="69" t="s">
        <v>1746</v>
      </c>
      <c r="D1052" s="70" t="s">
        <v>59</v>
      </c>
      <c r="E1052" s="69" t="s">
        <v>1777</v>
      </c>
      <c r="F1052" s="69" t="s">
        <v>2691</v>
      </c>
      <c r="G1052" s="69" t="s">
        <v>140</v>
      </c>
      <c r="H1052" s="70">
        <v>2017</v>
      </c>
      <c r="I1052" s="69" t="s">
        <v>63</v>
      </c>
      <c r="J1052" s="69" t="s">
        <v>5483</v>
      </c>
      <c r="K1052" s="71" t="s">
        <v>5484</v>
      </c>
      <c r="L1052" s="71" t="s">
        <v>5485</v>
      </c>
      <c r="M1052" s="71" t="s">
        <v>5486</v>
      </c>
      <c r="N1052" s="69" t="s">
        <v>57</v>
      </c>
      <c r="O1052" s="64">
        <v>1</v>
      </c>
      <c r="P1052" s="72">
        <v>190700000</v>
      </c>
      <c r="Q1052" s="69" t="s">
        <v>5487</v>
      </c>
      <c r="R1052" s="69"/>
      <c r="S1052" s="121" t="s">
        <v>621</v>
      </c>
      <c r="T1052" s="56">
        <v>28</v>
      </c>
      <c r="U1052" s="56">
        <v>4</v>
      </c>
    </row>
    <row r="1053" spans="1:21" ht="14.25" customHeight="1" x14ac:dyDescent="0.35">
      <c r="A1053" s="47">
        <v>1037</v>
      </c>
      <c r="B1053" s="69" t="s">
        <v>1745</v>
      </c>
      <c r="C1053" s="69" t="s">
        <v>1746</v>
      </c>
      <c r="D1053" s="70" t="s">
        <v>97</v>
      </c>
      <c r="E1053" s="69" t="s">
        <v>1777</v>
      </c>
      <c r="F1053" s="69" t="s">
        <v>2691</v>
      </c>
      <c r="G1053" s="69" t="s">
        <v>140</v>
      </c>
      <c r="H1053" s="70">
        <v>2017</v>
      </c>
      <c r="I1053" s="69" t="s">
        <v>63</v>
      </c>
      <c r="J1053" s="69" t="s">
        <v>5488</v>
      </c>
      <c r="K1053" s="71" t="s">
        <v>5489</v>
      </c>
      <c r="L1053" s="71" t="s">
        <v>5490</v>
      </c>
      <c r="M1053" s="71" t="s">
        <v>5491</v>
      </c>
      <c r="N1053" s="69" t="s">
        <v>57</v>
      </c>
      <c r="O1053" s="64">
        <v>1</v>
      </c>
      <c r="P1053" s="72">
        <v>190700000</v>
      </c>
      <c r="Q1053" s="69" t="s">
        <v>5492</v>
      </c>
      <c r="R1053" s="69"/>
      <c r="S1053" s="121" t="s">
        <v>621</v>
      </c>
      <c r="T1053" s="56">
        <v>28</v>
      </c>
      <c r="U1053" s="56">
        <v>4</v>
      </c>
    </row>
    <row r="1054" spans="1:21" ht="14.25" customHeight="1" thickBot="1" x14ac:dyDescent="0.4">
      <c r="A1054" s="58">
        <v>1038</v>
      </c>
      <c r="B1054" s="69" t="s">
        <v>1745</v>
      </c>
      <c r="C1054" s="69" t="s">
        <v>1746</v>
      </c>
      <c r="D1054" s="70" t="s">
        <v>107</v>
      </c>
      <c r="E1054" s="69" t="s">
        <v>3905</v>
      </c>
      <c r="F1054" s="69" t="s">
        <v>63</v>
      </c>
      <c r="G1054" s="69" t="s">
        <v>140</v>
      </c>
      <c r="H1054" s="70">
        <v>2019</v>
      </c>
      <c r="I1054" s="69" t="s">
        <v>63</v>
      </c>
      <c r="J1054" s="69" t="s">
        <v>5493</v>
      </c>
      <c r="K1054" s="71" t="s">
        <v>5494</v>
      </c>
      <c r="L1054" s="71" t="s">
        <v>5495</v>
      </c>
      <c r="M1054" s="71" t="s">
        <v>5496</v>
      </c>
      <c r="N1054" s="69" t="s">
        <v>57</v>
      </c>
      <c r="O1054" s="64">
        <v>1</v>
      </c>
      <c r="P1054" s="72">
        <v>320050000</v>
      </c>
      <c r="Q1054" s="69" t="s">
        <v>5497</v>
      </c>
      <c r="R1054" s="69"/>
      <c r="S1054" s="121" t="s">
        <v>621</v>
      </c>
      <c r="T1054" s="56">
        <v>28</v>
      </c>
      <c r="U1054" s="56">
        <v>4</v>
      </c>
    </row>
    <row r="1055" spans="1:21" ht="14.25" customHeight="1" x14ac:dyDescent="0.35">
      <c r="A1055" s="47">
        <v>1039</v>
      </c>
      <c r="B1055" s="69" t="s">
        <v>70</v>
      </c>
      <c r="C1055" s="69" t="s">
        <v>71</v>
      </c>
      <c r="D1055" s="70" t="s">
        <v>59</v>
      </c>
      <c r="E1055" s="69" t="s">
        <v>5498</v>
      </c>
      <c r="F1055" s="69" t="s">
        <v>5499</v>
      </c>
      <c r="G1055" s="69" t="s">
        <v>140</v>
      </c>
      <c r="H1055" s="70">
        <v>2024</v>
      </c>
      <c r="I1055" s="69" t="s">
        <v>63</v>
      </c>
      <c r="J1055" s="69" t="s">
        <v>5500</v>
      </c>
      <c r="K1055" s="71" t="s">
        <v>5501</v>
      </c>
      <c r="L1055" s="71" t="s">
        <v>5502</v>
      </c>
      <c r="M1055" s="71" t="s">
        <v>5503</v>
      </c>
      <c r="N1055" s="69" t="s">
        <v>44</v>
      </c>
      <c r="O1055" s="64">
        <v>1</v>
      </c>
      <c r="P1055" s="72">
        <v>478300000</v>
      </c>
      <c r="Q1055" s="69" t="s">
        <v>5504</v>
      </c>
      <c r="R1055" s="69"/>
      <c r="S1055" s="121" t="s">
        <v>621</v>
      </c>
      <c r="T1055" s="56">
        <v>28</v>
      </c>
      <c r="U1055" s="56">
        <v>4</v>
      </c>
    </row>
    <row r="1056" spans="1:21" ht="14.25" customHeight="1" thickBot="1" x14ac:dyDescent="0.4">
      <c r="A1056" s="58">
        <v>1040</v>
      </c>
      <c r="B1056" s="69" t="s">
        <v>70</v>
      </c>
      <c r="C1056" s="69" t="s">
        <v>71</v>
      </c>
      <c r="D1056" s="70" t="s">
        <v>97</v>
      </c>
      <c r="E1056" s="69" t="s">
        <v>5505</v>
      </c>
      <c r="F1056" s="69" t="s">
        <v>3699</v>
      </c>
      <c r="G1056" s="69" t="s">
        <v>140</v>
      </c>
      <c r="H1056" s="70">
        <v>2018</v>
      </c>
      <c r="I1056" s="69" t="s">
        <v>63</v>
      </c>
      <c r="J1056" s="69" t="s">
        <v>5506</v>
      </c>
      <c r="K1056" s="71" t="s">
        <v>5507</v>
      </c>
      <c r="L1056" s="71" t="s">
        <v>5508</v>
      </c>
      <c r="M1056" s="71" t="s">
        <v>5509</v>
      </c>
      <c r="N1056" s="69" t="s">
        <v>57</v>
      </c>
      <c r="O1056" s="64">
        <v>1</v>
      </c>
      <c r="P1056" s="72">
        <v>399250000</v>
      </c>
      <c r="Q1056" s="69" t="s">
        <v>5510</v>
      </c>
      <c r="R1056" s="69"/>
      <c r="S1056" s="121" t="s">
        <v>621</v>
      </c>
      <c r="T1056" s="56">
        <v>28</v>
      </c>
      <c r="U1056" s="56">
        <v>4</v>
      </c>
    </row>
    <row r="1057" spans="1:21" ht="14.25" customHeight="1" x14ac:dyDescent="0.35">
      <c r="A1057" s="47">
        <v>1041</v>
      </c>
      <c r="B1057" s="69" t="s">
        <v>79</v>
      </c>
      <c r="C1057" s="69" t="s">
        <v>80</v>
      </c>
      <c r="D1057" s="70" t="s">
        <v>59</v>
      </c>
      <c r="E1057" s="69" t="s">
        <v>5511</v>
      </c>
      <c r="F1057" s="69" t="s">
        <v>139</v>
      </c>
      <c r="G1057" s="69" t="s">
        <v>140</v>
      </c>
      <c r="H1057" s="70">
        <v>2014</v>
      </c>
      <c r="I1057" s="69"/>
      <c r="J1057" s="69" t="s">
        <v>5512</v>
      </c>
      <c r="K1057" s="71" t="s">
        <v>5513</v>
      </c>
      <c r="L1057" s="71" t="s">
        <v>5514</v>
      </c>
      <c r="M1057" s="71" t="s">
        <v>5515</v>
      </c>
      <c r="N1057" s="69" t="s">
        <v>57</v>
      </c>
      <c r="O1057" s="64">
        <v>1</v>
      </c>
      <c r="P1057" s="72">
        <v>16488000</v>
      </c>
      <c r="Q1057" s="69" t="s">
        <v>5516</v>
      </c>
      <c r="R1057" s="69"/>
      <c r="S1057" s="121" t="s">
        <v>621</v>
      </c>
      <c r="T1057" s="56">
        <v>28</v>
      </c>
      <c r="U1057" s="56">
        <v>3</v>
      </c>
    </row>
    <row r="1058" spans="1:21" ht="14.25" customHeight="1" thickBot="1" x14ac:dyDescent="0.4">
      <c r="A1058" s="58">
        <v>1042</v>
      </c>
      <c r="B1058" s="69" t="s">
        <v>79</v>
      </c>
      <c r="C1058" s="69" t="s">
        <v>80</v>
      </c>
      <c r="D1058" s="70" t="s">
        <v>97</v>
      </c>
      <c r="E1058" s="69" t="s">
        <v>5511</v>
      </c>
      <c r="F1058" s="69" t="s">
        <v>139</v>
      </c>
      <c r="G1058" s="69" t="s">
        <v>140</v>
      </c>
      <c r="H1058" s="70">
        <v>2014</v>
      </c>
      <c r="I1058" s="69"/>
      <c r="J1058" s="69" t="s">
        <v>5517</v>
      </c>
      <c r="K1058" s="71" t="s">
        <v>5518</v>
      </c>
      <c r="L1058" s="71" t="s">
        <v>5519</v>
      </c>
      <c r="M1058" s="71" t="s">
        <v>5520</v>
      </c>
      <c r="N1058" s="69" t="s">
        <v>57</v>
      </c>
      <c r="O1058" s="64">
        <v>1</v>
      </c>
      <c r="P1058" s="72">
        <v>16488000</v>
      </c>
      <c r="Q1058" s="69" t="s">
        <v>5516</v>
      </c>
      <c r="R1058" s="69"/>
      <c r="S1058" s="121" t="s">
        <v>621</v>
      </c>
      <c r="T1058" s="56">
        <v>28</v>
      </c>
      <c r="U1058" s="56">
        <v>3</v>
      </c>
    </row>
    <row r="1059" spans="1:21" ht="14.25" customHeight="1" x14ac:dyDescent="0.35">
      <c r="A1059" s="47">
        <v>1043</v>
      </c>
      <c r="B1059" s="69" t="s">
        <v>79</v>
      </c>
      <c r="C1059" s="69" t="s">
        <v>80</v>
      </c>
      <c r="D1059" s="70" t="s">
        <v>101</v>
      </c>
      <c r="E1059" s="69" t="s">
        <v>2178</v>
      </c>
      <c r="F1059" s="69" t="s">
        <v>2179</v>
      </c>
      <c r="G1059" s="69" t="s">
        <v>54</v>
      </c>
      <c r="H1059" s="70">
        <v>2015</v>
      </c>
      <c r="I1059" s="69"/>
      <c r="J1059" s="69" t="s">
        <v>5521</v>
      </c>
      <c r="K1059" s="71" t="s">
        <v>5522</v>
      </c>
      <c r="L1059" s="71" t="s">
        <v>5523</v>
      </c>
      <c r="M1059" s="71" t="s">
        <v>5524</v>
      </c>
      <c r="N1059" s="69" t="s">
        <v>57</v>
      </c>
      <c r="O1059" s="64">
        <v>1</v>
      </c>
      <c r="P1059" s="72">
        <v>18876000</v>
      </c>
      <c r="Q1059" s="69" t="s">
        <v>621</v>
      </c>
      <c r="R1059" s="69"/>
      <c r="S1059" s="121" t="s">
        <v>621</v>
      </c>
      <c r="T1059" s="56">
        <v>28</v>
      </c>
      <c r="U1059" s="56">
        <v>3</v>
      </c>
    </row>
    <row r="1060" spans="1:21" ht="14.25" customHeight="1" thickBot="1" x14ac:dyDescent="0.4">
      <c r="A1060" s="58">
        <v>1044</v>
      </c>
      <c r="B1060" s="69" t="s">
        <v>79</v>
      </c>
      <c r="C1060" s="69" t="s">
        <v>80</v>
      </c>
      <c r="D1060" s="70" t="s">
        <v>107</v>
      </c>
      <c r="E1060" s="69" t="s">
        <v>2178</v>
      </c>
      <c r="F1060" s="69" t="s">
        <v>2179</v>
      </c>
      <c r="G1060" s="69" t="s">
        <v>54</v>
      </c>
      <c r="H1060" s="70">
        <v>2015</v>
      </c>
      <c r="I1060" s="69"/>
      <c r="J1060" s="69" t="s">
        <v>5525</v>
      </c>
      <c r="K1060" s="71" t="s">
        <v>5526</v>
      </c>
      <c r="L1060" s="71" t="s">
        <v>5527</v>
      </c>
      <c r="M1060" s="71" t="s">
        <v>5528</v>
      </c>
      <c r="N1060" s="69" t="s">
        <v>57</v>
      </c>
      <c r="O1060" s="64">
        <v>1</v>
      </c>
      <c r="P1060" s="72">
        <v>18876000</v>
      </c>
      <c r="Q1060" s="69" t="s">
        <v>621</v>
      </c>
      <c r="R1060" s="69"/>
      <c r="S1060" s="121" t="s">
        <v>621</v>
      </c>
      <c r="T1060" s="56">
        <v>28</v>
      </c>
      <c r="U1060" s="56">
        <v>3</v>
      </c>
    </row>
    <row r="1061" spans="1:21" ht="14.25" customHeight="1" x14ac:dyDescent="0.35">
      <c r="A1061" s="47">
        <v>1045</v>
      </c>
      <c r="B1061" s="69" t="s">
        <v>79</v>
      </c>
      <c r="C1061" s="69" t="s">
        <v>80</v>
      </c>
      <c r="D1061" s="70" t="s">
        <v>112</v>
      </c>
      <c r="E1061" s="69" t="s">
        <v>2178</v>
      </c>
      <c r="F1061" s="69" t="s">
        <v>2179</v>
      </c>
      <c r="G1061" s="69" t="s">
        <v>54</v>
      </c>
      <c r="H1061" s="70">
        <v>2015</v>
      </c>
      <c r="I1061" s="69"/>
      <c r="J1061" s="69" t="s">
        <v>5529</v>
      </c>
      <c r="K1061" s="71" t="s">
        <v>5530</v>
      </c>
      <c r="L1061" s="71" t="s">
        <v>5531</v>
      </c>
      <c r="M1061" s="71" t="s">
        <v>5532</v>
      </c>
      <c r="N1061" s="69" t="s">
        <v>57</v>
      </c>
      <c r="O1061" s="64">
        <v>1</v>
      </c>
      <c r="P1061" s="72">
        <v>18876000</v>
      </c>
      <c r="Q1061" s="69" t="s">
        <v>621</v>
      </c>
      <c r="R1061" s="69"/>
      <c r="S1061" s="121" t="s">
        <v>621</v>
      </c>
      <c r="T1061" s="56">
        <v>28</v>
      </c>
      <c r="U1061" s="56">
        <v>3</v>
      </c>
    </row>
    <row r="1062" spans="1:21" ht="14.25" customHeight="1" thickBot="1" x14ac:dyDescent="0.4">
      <c r="A1062" s="58">
        <v>1046</v>
      </c>
      <c r="B1062" s="69" t="s">
        <v>79</v>
      </c>
      <c r="C1062" s="69" t="s">
        <v>80</v>
      </c>
      <c r="D1062" s="70" t="s">
        <v>116</v>
      </c>
      <c r="E1062" s="69" t="s">
        <v>2178</v>
      </c>
      <c r="F1062" s="69" t="s">
        <v>2179</v>
      </c>
      <c r="G1062" s="69" t="s">
        <v>54</v>
      </c>
      <c r="H1062" s="70">
        <v>2015</v>
      </c>
      <c r="I1062" s="69"/>
      <c r="J1062" s="69" t="s">
        <v>5533</v>
      </c>
      <c r="K1062" s="71" t="s">
        <v>5534</v>
      </c>
      <c r="L1062" s="71" t="s">
        <v>5535</v>
      </c>
      <c r="M1062" s="71" t="s">
        <v>5536</v>
      </c>
      <c r="N1062" s="69" t="s">
        <v>57</v>
      </c>
      <c r="O1062" s="64">
        <v>1</v>
      </c>
      <c r="P1062" s="72">
        <v>18876000</v>
      </c>
      <c r="Q1062" s="69" t="s">
        <v>621</v>
      </c>
      <c r="R1062" s="69"/>
      <c r="S1062" s="121" t="s">
        <v>621</v>
      </c>
      <c r="T1062" s="56">
        <v>28</v>
      </c>
      <c r="U1062" s="56">
        <v>3</v>
      </c>
    </row>
    <row r="1063" spans="1:21" ht="14.25" customHeight="1" x14ac:dyDescent="0.35">
      <c r="A1063" s="47">
        <v>1047</v>
      </c>
      <c r="B1063" s="69" t="s">
        <v>79</v>
      </c>
      <c r="C1063" s="69" t="s">
        <v>80</v>
      </c>
      <c r="D1063" s="70" t="s">
        <v>841</v>
      </c>
      <c r="E1063" s="69" t="s">
        <v>2178</v>
      </c>
      <c r="F1063" s="69" t="s">
        <v>2179</v>
      </c>
      <c r="G1063" s="69" t="s">
        <v>54</v>
      </c>
      <c r="H1063" s="70">
        <v>2015</v>
      </c>
      <c r="I1063" s="69"/>
      <c r="J1063" s="69" t="s">
        <v>5537</v>
      </c>
      <c r="K1063" s="71" t="s">
        <v>5538</v>
      </c>
      <c r="L1063" s="71" t="s">
        <v>5539</v>
      </c>
      <c r="M1063" s="71" t="s">
        <v>5540</v>
      </c>
      <c r="N1063" s="69" t="s">
        <v>57</v>
      </c>
      <c r="O1063" s="64">
        <v>1</v>
      </c>
      <c r="P1063" s="72">
        <v>18876000</v>
      </c>
      <c r="Q1063" s="69" t="s">
        <v>621</v>
      </c>
      <c r="R1063" s="69"/>
      <c r="S1063" s="121" t="s">
        <v>621</v>
      </c>
      <c r="T1063" s="56">
        <v>28</v>
      </c>
      <c r="U1063" s="56">
        <v>3</v>
      </c>
    </row>
    <row r="1064" spans="1:21" ht="14.25" customHeight="1" thickBot="1" x14ac:dyDescent="0.4">
      <c r="A1064" s="58">
        <v>1048</v>
      </c>
      <c r="B1064" s="69" t="s">
        <v>79</v>
      </c>
      <c r="C1064" s="69" t="s">
        <v>80</v>
      </c>
      <c r="D1064" s="70" t="s">
        <v>122</v>
      </c>
      <c r="E1064" s="69" t="s">
        <v>2178</v>
      </c>
      <c r="F1064" s="69" t="s">
        <v>2179</v>
      </c>
      <c r="G1064" s="69" t="s">
        <v>54</v>
      </c>
      <c r="H1064" s="70">
        <v>2015</v>
      </c>
      <c r="I1064" s="69"/>
      <c r="J1064" s="69" t="s">
        <v>5541</v>
      </c>
      <c r="K1064" s="71" t="s">
        <v>5542</v>
      </c>
      <c r="L1064" s="71" t="s">
        <v>5543</v>
      </c>
      <c r="M1064" s="71" t="s">
        <v>5544</v>
      </c>
      <c r="N1064" s="69" t="s">
        <v>57</v>
      </c>
      <c r="O1064" s="64">
        <v>1</v>
      </c>
      <c r="P1064" s="72">
        <v>18876000</v>
      </c>
      <c r="Q1064" s="69" t="s">
        <v>621</v>
      </c>
      <c r="R1064" s="69"/>
      <c r="S1064" s="121" t="s">
        <v>621</v>
      </c>
      <c r="T1064" s="56">
        <v>28</v>
      </c>
      <c r="U1064" s="56">
        <v>3</v>
      </c>
    </row>
    <row r="1065" spans="1:21" ht="14.25" customHeight="1" x14ac:dyDescent="0.35">
      <c r="A1065" s="47">
        <v>1049</v>
      </c>
      <c r="B1065" s="69" t="s">
        <v>79</v>
      </c>
      <c r="C1065" s="69" t="s">
        <v>80</v>
      </c>
      <c r="D1065" s="70" t="s">
        <v>126</v>
      </c>
      <c r="E1065" s="69" t="s">
        <v>2178</v>
      </c>
      <c r="F1065" s="69" t="s">
        <v>2179</v>
      </c>
      <c r="G1065" s="69" t="s">
        <v>54</v>
      </c>
      <c r="H1065" s="70">
        <v>2015</v>
      </c>
      <c r="I1065" s="69"/>
      <c r="J1065" s="69" t="s">
        <v>5545</v>
      </c>
      <c r="K1065" s="71" t="s">
        <v>5546</v>
      </c>
      <c r="L1065" s="71" t="s">
        <v>5547</v>
      </c>
      <c r="M1065" s="71" t="s">
        <v>5548</v>
      </c>
      <c r="N1065" s="69" t="s">
        <v>57</v>
      </c>
      <c r="O1065" s="64">
        <v>1</v>
      </c>
      <c r="P1065" s="72">
        <v>18876000</v>
      </c>
      <c r="Q1065" s="69" t="s">
        <v>621</v>
      </c>
      <c r="R1065" s="69"/>
      <c r="S1065" s="121" t="s">
        <v>621</v>
      </c>
      <c r="T1065" s="56">
        <v>28</v>
      </c>
      <c r="U1065" s="56">
        <v>3</v>
      </c>
    </row>
    <row r="1066" spans="1:21" ht="14.25" customHeight="1" thickBot="1" x14ac:dyDescent="0.4">
      <c r="A1066" s="58">
        <v>1050</v>
      </c>
      <c r="B1066" s="69" t="s">
        <v>79</v>
      </c>
      <c r="C1066" s="69" t="s">
        <v>80</v>
      </c>
      <c r="D1066" s="70" t="s">
        <v>132</v>
      </c>
      <c r="E1066" s="69" t="s">
        <v>2178</v>
      </c>
      <c r="F1066" s="69" t="s">
        <v>2179</v>
      </c>
      <c r="G1066" s="69" t="s">
        <v>54</v>
      </c>
      <c r="H1066" s="70">
        <v>2015</v>
      </c>
      <c r="I1066" s="69"/>
      <c r="J1066" s="69" t="s">
        <v>5549</v>
      </c>
      <c r="K1066" s="71" t="s">
        <v>5550</v>
      </c>
      <c r="L1066" s="71" t="s">
        <v>5551</v>
      </c>
      <c r="M1066" s="71" t="s">
        <v>5552</v>
      </c>
      <c r="N1066" s="69" t="s">
        <v>57</v>
      </c>
      <c r="O1066" s="64">
        <v>1</v>
      </c>
      <c r="P1066" s="72">
        <v>18876000</v>
      </c>
      <c r="Q1066" s="69" t="s">
        <v>621</v>
      </c>
      <c r="R1066" s="69"/>
      <c r="S1066" s="121" t="s">
        <v>621</v>
      </c>
      <c r="T1066" s="56">
        <v>28</v>
      </c>
      <c r="U1066" s="56">
        <v>3</v>
      </c>
    </row>
    <row r="1067" spans="1:21" ht="14.25" customHeight="1" x14ac:dyDescent="0.35">
      <c r="A1067" s="47">
        <v>1051</v>
      </c>
      <c r="B1067" s="69" t="s">
        <v>79</v>
      </c>
      <c r="C1067" s="69" t="s">
        <v>80</v>
      </c>
      <c r="D1067" s="70" t="s">
        <v>137</v>
      </c>
      <c r="E1067" s="69" t="s">
        <v>5553</v>
      </c>
      <c r="F1067" s="69" t="s">
        <v>5554</v>
      </c>
      <c r="G1067" s="69" t="s">
        <v>54</v>
      </c>
      <c r="H1067" s="70">
        <v>2003</v>
      </c>
      <c r="I1067" s="69"/>
      <c r="J1067" s="69" t="s">
        <v>5555</v>
      </c>
      <c r="K1067" s="71" t="s">
        <v>5556</v>
      </c>
      <c r="L1067" s="71" t="s">
        <v>5557</v>
      </c>
      <c r="M1067" s="71" t="s">
        <v>5558</v>
      </c>
      <c r="N1067" s="69" t="s">
        <v>57</v>
      </c>
      <c r="O1067" s="64">
        <v>1</v>
      </c>
      <c r="P1067" s="72">
        <v>12100000</v>
      </c>
      <c r="Q1067" s="69"/>
      <c r="R1067" s="69"/>
      <c r="S1067" s="121" t="s">
        <v>621</v>
      </c>
      <c r="T1067" s="56">
        <v>28</v>
      </c>
      <c r="U1067" s="56">
        <v>3</v>
      </c>
    </row>
    <row r="1068" spans="1:21" ht="14.25" customHeight="1" thickBot="1" x14ac:dyDescent="0.4">
      <c r="A1068" s="58">
        <v>1052</v>
      </c>
      <c r="B1068" s="69" t="s">
        <v>79</v>
      </c>
      <c r="C1068" s="69" t="s">
        <v>80</v>
      </c>
      <c r="D1068" s="70" t="s">
        <v>146</v>
      </c>
      <c r="E1068" s="69" t="s">
        <v>5559</v>
      </c>
      <c r="F1068" s="69" t="s">
        <v>5554</v>
      </c>
      <c r="G1068" s="69" t="s">
        <v>54</v>
      </c>
      <c r="H1068" s="70">
        <v>2003</v>
      </c>
      <c r="I1068" s="69"/>
      <c r="J1068" s="69" t="s">
        <v>5560</v>
      </c>
      <c r="K1068" s="71" t="s">
        <v>5561</v>
      </c>
      <c r="L1068" s="71" t="s">
        <v>5562</v>
      </c>
      <c r="M1068" s="71" t="s">
        <v>5563</v>
      </c>
      <c r="N1068" s="69" t="s">
        <v>57</v>
      </c>
      <c r="O1068" s="64">
        <v>1</v>
      </c>
      <c r="P1068" s="72">
        <v>12100000</v>
      </c>
      <c r="Q1068" s="69"/>
      <c r="R1068" s="69"/>
      <c r="S1068" s="121" t="s">
        <v>621</v>
      </c>
      <c r="T1068" s="56">
        <v>28</v>
      </c>
      <c r="U1068" s="56">
        <v>3</v>
      </c>
    </row>
    <row r="1069" spans="1:21" ht="14.25" customHeight="1" x14ac:dyDescent="0.35">
      <c r="A1069" s="47">
        <v>1053</v>
      </c>
      <c r="B1069" s="69" t="s">
        <v>79</v>
      </c>
      <c r="C1069" s="69" t="s">
        <v>80</v>
      </c>
      <c r="D1069" s="70" t="s">
        <v>154</v>
      </c>
      <c r="E1069" s="69" t="s">
        <v>5559</v>
      </c>
      <c r="F1069" s="69" t="s">
        <v>5554</v>
      </c>
      <c r="G1069" s="69" t="s">
        <v>54</v>
      </c>
      <c r="H1069" s="70">
        <v>2003</v>
      </c>
      <c r="I1069" s="69"/>
      <c r="J1069" s="69" t="s">
        <v>5564</v>
      </c>
      <c r="K1069" s="71" t="s">
        <v>5565</v>
      </c>
      <c r="L1069" s="71" t="s">
        <v>5566</v>
      </c>
      <c r="M1069" s="71" t="s">
        <v>5567</v>
      </c>
      <c r="N1069" s="69" t="s">
        <v>57</v>
      </c>
      <c r="O1069" s="64">
        <v>1</v>
      </c>
      <c r="P1069" s="72">
        <v>12100000</v>
      </c>
      <c r="Q1069" s="69"/>
      <c r="R1069" s="69"/>
      <c r="S1069" s="121" t="s">
        <v>621</v>
      </c>
      <c r="T1069" s="56">
        <v>28</v>
      </c>
      <c r="U1069" s="56">
        <v>3</v>
      </c>
    </row>
    <row r="1070" spans="1:21" ht="14.25" customHeight="1" thickBot="1" x14ac:dyDescent="0.4">
      <c r="A1070" s="58">
        <v>1054</v>
      </c>
      <c r="B1070" s="69" t="s">
        <v>79</v>
      </c>
      <c r="C1070" s="69" t="s">
        <v>80</v>
      </c>
      <c r="D1070" s="70" t="s">
        <v>161</v>
      </c>
      <c r="E1070" s="69" t="s">
        <v>5559</v>
      </c>
      <c r="F1070" s="69" t="s">
        <v>5554</v>
      </c>
      <c r="G1070" s="69" t="s">
        <v>54</v>
      </c>
      <c r="H1070" s="70">
        <v>2003</v>
      </c>
      <c r="I1070" s="69"/>
      <c r="J1070" s="69" t="s">
        <v>5568</v>
      </c>
      <c r="K1070" s="71" t="s">
        <v>5569</v>
      </c>
      <c r="L1070" s="71" t="s">
        <v>5570</v>
      </c>
      <c r="M1070" s="71"/>
      <c r="N1070" s="69" t="s">
        <v>57</v>
      </c>
      <c r="O1070" s="64">
        <v>1</v>
      </c>
      <c r="P1070" s="72">
        <v>12100000</v>
      </c>
      <c r="Q1070" s="69"/>
      <c r="R1070" s="69"/>
      <c r="S1070" s="121" t="s">
        <v>621</v>
      </c>
      <c r="T1070" s="56">
        <v>28</v>
      </c>
      <c r="U1070" s="56">
        <v>3</v>
      </c>
    </row>
    <row r="1071" spans="1:21" ht="14.25" customHeight="1" x14ac:dyDescent="0.35">
      <c r="A1071" s="47">
        <v>1055</v>
      </c>
      <c r="B1071" s="69" t="s">
        <v>79</v>
      </c>
      <c r="C1071" s="69" t="s">
        <v>80</v>
      </c>
      <c r="D1071" s="70" t="s">
        <v>169</v>
      </c>
      <c r="E1071" s="69" t="s">
        <v>5559</v>
      </c>
      <c r="F1071" s="69" t="s">
        <v>5554</v>
      </c>
      <c r="G1071" s="69" t="s">
        <v>54</v>
      </c>
      <c r="H1071" s="70">
        <v>2003</v>
      </c>
      <c r="I1071" s="69"/>
      <c r="J1071" s="69" t="s">
        <v>5571</v>
      </c>
      <c r="K1071" s="71" t="s">
        <v>5572</v>
      </c>
      <c r="L1071" s="71" t="s">
        <v>5573</v>
      </c>
      <c r="M1071" s="71" t="s">
        <v>5574</v>
      </c>
      <c r="N1071" s="69" t="s">
        <v>57</v>
      </c>
      <c r="O1071" s="64">
        <v>1</v>
      </c>
      <c r="P1071" s="72">
        <v>12100000</v>
      </c>
      <c r="Q1071" s="69"/>
      <c r="R1071" s="69"/>
      <c r="S1071" s="121" t="s">
        <v>621</v>
      </c>
      <c r="T1071" s="56">
        <v>28</v>
      </c>
      <c r="U1071" s="56">
        <v>3</v>
      </c>
    </row>
    <row r="1072" spans="1:21" ht="14.25" customHeight="1" thickBot="1" x14ac:dyDescent="0.4">
      <c r="A1072" s="58">
        <v>1056</v>
      </c>
      <c r="B1072" s="69" t="s">
        <v>79</v>
      </c>
      <c r="C1072" s="69" t="s">
        <v>80</v>
      </c>
      <c r="D1072" s="70" t="s">
        <v>176</v>
      </c>
      <c r="E1072" s="69" t="s">
        <v>5575</v>
      </c>
      <c r="F1072" s="69" t="s">
        <v>82</v>
      </c>
      <c r="G1072" s="69" t="s">
        <v>54</v>
      </c>
      <c r="H1072" s="70">
        <v>2002</v>
      </c>
      <c r="I1072" s="69"/>
      <c r="J1072" s="69" t="s">
        <v>5576</v>
      </c>
      <c r="K1072" s="71" t="s">
        <v>5577</v>
      </c>
      <c r="L1072" s="71" t="s">
        <v>5578</v>
      </c>
      <c r="M1072" s="71" t="s">
        <v>5579</v>
      </c>
      <c r="N1072" s="69" t="s">
        <v>57</v>
      </c>
      <c r="O1072" s="64">
        <v>1</v>
      </c>
      <c r="P1072" s="72">
        <v>7900000</v>
      </c>
      <c r="Q1072" s="69" t="s">
        <v>5580</v>
      </c>
      <c r="R1072" s="69"/>
      <c r="S1072" s="121" t="s">
        <v>621</v>
      </c>
      <c r="T1072" s="56">
        <v>28</v>
      </c>
      <c r="U1072" s="56">
        <v>3</v>
      </c>
    </row>
    <row r="1073" spans="1:21" ht="14.25" customHeight="1" x14ac:dyDescent="0.35">
      <c r="A1073" s="47">
        <v>1057</v>
      </c>
      <c r="B1073" s="69" t="s">
        <v>79</v>
      </c>
      <c r="C1073" s="69" t="s">
        <v>80</v>
      </c>
      <c r="D1073" s="70" t="s">
        <v>1236</v>
      </c>
      <c r="E1073" s="69" t="s">
        <v>138</v>
      </c>
      <c r="F1073" s="69" t="s">
        <v>139</v>
      </c>
      <c r="G1073" s="69" t="s">
        <v>140</v>
      </c>
      <c r="H1073" s="70">
        <v>2014</v>
      </c>
      <c r="I1073" s="69"/>
      <c r="J1073" s="69" t="s">
        <v>5581</v>
      </c>
      <c r="K1073" s="71" t="s">
        <v>5582</v>
      </c>
      <c r="L1073" s="71" t="s">
        <v>5583</v>
      </c>
      <c r="M1073" s="71" t="s">
        <v>5584</v>
      </c>
      <c r="N1073" s="69" t="s">
        <v>57</v>
      </c>
      <c r="O1073" s="64">
        <v>1</v>
      </c>
      <c r="P1073" s="72">
        <v>17194000</v>
      </c>
      <c r="Q1073" s="69" t="s">
        <v>5585</v>
      </c>
      <c r="R1073" s="69"/>
      <c r="S1073" s="121" t="s">
        <v>621</v>
      </c>
      <c r="T1073" s="56">
        <v>28</v>
      </c>
      <c r="U1073" s="56">
        <v>3</v>
      </c>
    </row>
    <row r="1074" spans="1:21" ht="14.25" customHeight="1" thickBot="1" x14ac:dyDescent="0.4">
      <c r="A1074" s="58">
        <v>1058</v>
      </c>
      <c r="B1074" s="69" t="s">
        <v>5586</v>
      </c>
      <c r="C1074" s="69" t="s">
        <v>5587</v>
      </c>
      <c r="D1074" s="70" t="s">
        <v>51</v>
      </c>
      <c r="E1074" s="69" t="s">
        <v>5588</v>
      </c>
      <c r="F1074" s="69">
        <v>4461</v>
      </c>
      <c r="G1074" s="69" t="s">
        <v>5589</v>
      </c>
      <c r="H1074" s="70">
        <v>2021</v>
      </c>
      <c r="I1074" s="69" t="s">
        <v>63</v>
      </c>
      <c r="J1074" s="69" t="s">
        <v>5590</v>
      </c>
      <c r="K1074" s="71" t="s">
        <v>5591</v>
      </c>
      <c r="L1074" s="71" t="s">
        <v>5592</v>
      </c>
      <c r="M1074" s="71" t="s">
        <v>5593</v>
      </c>
      <c r="N1074" s="69" t="s">
        <v>57</v>
      </c>
      <c r="O1074" s="64">
        <v>1</v>
      </c>
      <c r="P1074" s="72">
        <v>2537400000</v>
      </c>
      <c r="Q1074" s="69" t="s">
        <v>5594</v>
      </c>
      <c r="R1074" s="69"/>
      <c r="S1074" s="121" t="s">
        <v>646</v>
      </c>
      <c r="T1074" s="56">
        <v>29</v>
      </c>
      <c r="U1074" s="56">
        <v>4</v>
      </c>
    </row>
    <row r="1075" spans="1:21" ht="14.25" customHeight="1" x14ac:dyDescent="0.35">
      <c r="A1075" s="47">
        <v>1059</v>
      </c>
      <c r="B1075" s="69" t="s">
        <v>58</v>
      </c>
      <c r="C1075" s="69" t="s">
        <v>50</v>
      </c>
      <c r="D1075" s="70" t="s">
        <v>51</v>
      </c>
      <c r="E1075" s="69" t="s">
        <v>5595</v>
      </c>
      <c r="F1075" s="69" t="s">
        <v>4895</v>
      </c>
      <c r="G1075" s="69" t="s">
        <v>140</v>
      </c>
      <c r="H1075" s="70">
        <v>2016</v>
      </c>
      <c r="I1075" s="69" t="s">
        <v>63</v>
      </c>
      <c r="J1075" s="69" t="s">
        <v>5596</v>
      </c>
      <c r="K1075" s="71" t="s">
        <v>5597</v>
      </c>
      <c r="L1075" s="71" t="s">
        <v>5598</v>
      </c>
      <c r="M1075" s="71" t="s">
        <v>5599</v>
      </c>
      <c r="N1075" s="69" t="s">
        <v>57</v>
      </c>
      <c r="O1075" s="64">
        <v>1</v>
      </c>
      <c r="P1075" s="72">
        <v>464720000</v>
      </c>
      <c r="Q1075" s="69" t="s">
        <v>5600</v>
      </c>
      <c r="R1075" s="69"/>
      <c r="S1075" s="121" t="s">
        <v>646</v>
      </c>
      <c r="T1075" s="56">
        <v>29</v>
      </c>
      <c r="U1075" s="56">
        <v>4</v>
      </c>
    </row>
    <row r="1076" spans="1:21" ht="14.25" customHeight="1" thickBot="1" x14ac:dyDescent="0.4">
      <c r="A1076" s="58">
        <v>1060</v>
      </c>
      <c r="B1076" s="69" t="s">
        <v>58</v>
      </c>
      <c r="C1076" s="69" t="s">
        <v>50</v>
      </c>
      <c r="D1076" s="70" t="s">
        <v>59</v>
      </c>
      <c r="E1076" s="69" t="s">
        <v>5601</v>
      </c>
      <c r="F1076" s="69">
        <v>2393</v>
      </c>
      <c r="G1076" s="69" t="s">
        <v>140</v>
      </c>
      <c r="H1076" s="70">
        <v>2017</v>
      </c>
      <c r="I1076" s="69" t="s">
        <v>63</v>
      </c>
      <c r="J1076" s="69" t="s">
        <v>5602</v>
      </c>
      <c r="K1076" s="71" t="s">
        <v>5603</v>
      </c>
      <c r="L1076" s="71" t="s">
        <v>5604</v>
      </c>
      <c r="M1076" s="71" t="s">
        <v>5605</v>
      </c>
      <c r="N1076" s="69" t="s">
        <v>57</v>
      </c>
      <c r="O1076" s="64">
        <v>1</v>
      </c>
      <c r="P1076" s="72">
        <v>485000000</v>
      </c>
      <c r="Q1076" s="69" t="s">
        <v>5606</v>
      </c>
      <c r="R1076" s="69"/>
      <c r="S1076" s="121" t="s">
        <v>646</v>
      </c>
      <c r="T1076" s="56">
        <v>29</v>
      </c>
      <c r="U1076" s="56">
        <v>4</v>
      </c>
    </row>
    <row r="1077" spans="1:21" ht="14.25" customHeight="1" x14ac:dyDescent="0.35">
      <c r="A1077" s="47">
        <v>1061</v>
      </c>
      <c r="B1077" s="69" t="s">
        <v>58</v>
      </c>
      <c r="C1077" s="69" t="s">
        <v>50</v>
      </c>
      <c r="D1077" s="70" t="s">
        <v>97</v>
      </c>
      <c r="E1077" s="69" t="s">
        <v>5607</v>
      </c>
      <c r="F1077" s="69">
        <v>2393</v>
      </c>
      <c r="G1077" s="69" t="s">
        <v>140</v>
      </c>
      <c r="H1077" s="70">
        <v>2018</v>
      </c>
      <c r="I1077" s="69" t="s">
        <v>63</v>
      </c>
      <c r="J1077" s="69" t="s">
        <v>5608</v>
      </c>
      <c r="K1077" s="71" t="s">
        <v>5609</v>
      </c>
      <c r="L1077" s="71" t="s">
        <v>5610</v>
      </c>
      <c r="M1077" s="71" t="s">
        <v>5611</v>
      </c>
      <c r="N1077" s="69" t="s">
        <v>57</v>
      </c>
      <c r="O1077" s="64">
        <v>1</v>
      </c>
      <c r="P1077" s="72">
        <v>691200000</v>
      </c>
      <c r="Q1077" s="69" t="s">
        <v>5612</v>
      </c>
      <c r="R1077" s="69"/>
      <c r="S1077" s="121" t="s">
        <v>646</v>
      </c>
      <c r="T1077" s="56">
        <v>29</v>
      </c>
      <c r="U1077" s="56">
        <v>4</v>
      </c>
    </row>
    <row r="1078" spans="1:21" ht="14.25" customHeight="1" thickBot="1" x14ac:dyDescent="0.4">
      <c r="A1078" s="58">
        <v>1062</v>
      </c>
      <c r="B1078" s="69" t="s">
        <v>58</v>
      </c>
      <c r="C1078" s="69" t="s">
        <v>50</v>
      </c>
      <c r="D1078" s="70" t="s">
        <v>841</v>
      </c>
      <c r="E1078" s="69" t="s">
        <v>5613</v>
      </c>
      <c r="F1078" s="69" t="s">
        <v>5614</v>
      </c>
      <c r="G1078" s="69" t="s">
        <v>140</v>
      </c>
      <c r="H1078" s="70">
        <v>2023</v>
      </c>
      <c r="I1078" s="69" t="s">
        <v>63</v>
      </c>
      <c r="J1078" s="69" t="s">
        <v>5615</v>
      </c>
      <c r="K1078" s="71" t="s">
        <v>5616</v>
      </c>
      <c r="L1078" s="71" t="s">
        <v>5617</v>
      </c>
      <c r="M1078" s="71" t="s">
        <v>63</v>
      </c>
      <c r="N1078" s="69" t="s">
        <v>44</v>
      </c>
      <c r="O1078" s="64">
        <v>1</v>
      </c>
      <c r="P1078" s="72">
        <v>708300000</v>
      </c>
      <c r="Q1078" s="69" t="s">
        <v>5618</v>
      </c>
      <c r="R1078" s="69"/>
      <c r="S1078" s="121" t="s">
        <v>646</v>
      </c>
      <c r="T1078" s="56">
        <v>29</v>
      </c>
      <c r="U1078" s="56">
        <v>4</v>
      </c>
    </row>
    <row r="1079" spans="1:21" ht="14.25" customHeight="1" x14ac:dyDescent="0.35">
      <c r="A1079" s="47">
        <v>1063</v>
      </c>
      <c r="B1079" s="69" t="s">
        <v>58</v>
      </c>
      <c r="C1079" s="69" t="s">
        <v>50</v>
      </c>
      <c r="D1079" s="186" t="s">
        <v>904</v>
      </c>
      <c r="E1079" s="69" t="s">
        <v>5619</v>
      </c>
      <c r="F1079" s="69">
        <v>2755</v>
      </c>
      <c r="G1079" s="69" t="s">
        <v>140</v>
      </c>
      <c r="H1079" s="70">
        <v>2025</v>
      </c>
      <c r="I1079" s="69" t="s">
        <v>63</v>
      </c>
      <c r="J1079" s="69" t="s">
        <v>5620</v>
      </c>
      <c r="K1079" s="71" t="s">
        <v>5621</v>
      </c>
      <c r="L1079" s="71" t="s">
        <v>5622</v>
      </c>
      <c r="M1079" s="71" t="s">
        <v>5623</v>
      </c>
      <c r="N1079" s="69" t="s">
        <v>44</v>
      </c>
      <c r="O1079" s="64">
        <v>1</v>
      </c>
      <c r="P1079" s="72">
        <v>763400000</v>
      </c>
      <c r="Q1079" s="69" t="s">
        <v>5624</v>
      </c>
      <c r="R1079" s="69"/>
      <c r="S1079" s="121" t="s">
        <v>646</v>
      </c>
      <c r="T1079" s="56">
        <v>29</v>
      </c>
      <c r="U1079" s="56">
        <v>4</v>
      </c>
    </row>
    <row r="1080" spans="1:21" ht="14.25" customHeight="1" thickBot="1" x14ac:dyDescent="0.4">
      <c r="A1080" s="58">
        <v>1064</v>
      </c>
      <c r="B1080" s="69" t="s">
        <v>58</v>
      </c>
      <c r="C1080" s="69" t="s">
        <v>50</v>
      </c>
      <c r="D1080" s="186" t="s">
        <v>5625</v>
      </c>
      <c r="E1080" s="69" t="s">
        <v>5619</v>
      </c>
      <c r="F1080" s="69">
        <v>2755</v>
      </c>
      <c r="G1080" s="69" t="s">
        <v>140</v>
      </c>
      <c r="H1080" s="70">
        <v>2025</v>
      </c>
      <c r="I1080" s="69" t="s">
        <v>63</v>
      </c>
      <c r="J1080" s="69" t="s">
        <v>5626</v>
      </c>
      <c r="K1080" s="71" t="s">
        <v>5627</v>
      </c>
      <c r="L1080" s="71" t="s">
        <v>5628</v>
      </c>
      <c r="M1080" s="71" t="s">
        <v>5629</v>
      </c>
      <c r="N1080" s="69" t="s">
        <v>44</v>
      </c>
      <c r="O1080" s="64">
        <v>1</v>
      </c>
      <c r="P1080" s="72">
        <v>763400000</v>
      </c>
      <c r="Q1080" s="69" t="s">
        <v>5630</v>
      </c>
      <c r="R1080" s="69"/>
      <c r="S1080" s="121" t="s">
        <v>646</v>
      </c>
      <c r="T1080" s="56">
        <v>29</v>
      </c>
      <c r="U1080" s="56">
        <v>4</v>
      </c>
    </row>
    <row r="1081" spans="1:21" ht="14.25" customHeight="1" x14ac:dyDescent="0.35">
      <c r="A1081" s="47">
        <v>1065</v>
      </c>
      <c r="B1081" s="69" t="s">
        <v>1745</v>
      </c>
      <c r="C1081" s="69" t="s">
        <v>1746</v>
      </c>
      <c r="D1081" s="70" t="s">
        <v>59</v>
      </c>
      <c r="E1081" s="69" t="s">
        <v>1747</v>
      </c>
      <c r="F1081" s="69" t="s">
        <v>5631</v>
      </c>
      <c r="G1081" s="69" t="s">
        <v>140</v>
      </c>
      <c r="H1081" s="70">
        <v>2015</v>
      </c>
      <c r="I1081" s="69"/>
      <c r="J1081" s="69" t="s">
        <v>5632</v>
      </c>
      <c r="K1081" s="71" t="s">
        <v>5633</v>
      </c>
      <c r="L1081" s="71" t="s">
        <v>5634</v>
      </c>
      <c r="M1081" s="71" t="s">
        <v>5635</v>
      </c>
      <c r="N1081" s="69" t="s">
        <v>57</v>
      </c>
      <c r="O1081" s="64">
        <v>1</v>
      </c>
      <c r="P1081" s="72">
        <v>175130000</v>
      </c>
      <c r="Q1081" s="69" t="s">
        <v>5636</v>
      </c>
      <c r="R1081" s="69"/>
      <c r="S1081" s="121" t="s">
        <v>646</v>
      </c>
      <c r="T1081" s="56">
        <v>29</v>
      </c>
      <c r="U1081" s="56">
        <v>4</v>
      </c>
    </row>
    <row r="1082" spans="1:21" ht="14.25" customHeight="1" thickBot="1" x14ac:dyDescent="0.4">
      <c r="A1082" s="58">
        <v>1066</v>
      </c>
      <c r="B1082" s="69" t="s">
        <v>1745</v>
      </c>
      <c r="C1082" s="69" t="s">
        <v>1746</v>
      </c>
      <c r="D1082" s="70" t="s">
        <v>101</v>
      </c>
      <c r="E1082" s="69" t="s">
        <v>1747</v>
      </c>
      <c r="F1082" s="69" t="s">
        <v>5631</v>
      </c>
      <c r="G1082" s="69" t="s">
        <v>140</v>
      </c>
      <c r="H1082" s="70">
        <v>2015</v>
      </c>
      <c r="I1082" s="69"/>
      <c r="J1082" s="69" t="s">
        <v>5637</v>
      </c>
      <c r="K1082" s="71" t="s">
        <v>5638</v>
      </c>
      <c r="L1082" s="71" t="s">
        <v>5639</v>
      </c>
      <c r="M1082" s="71" t="s">
        <v>5640</v>
      </c>
      <c r="N1082" s="69" t="s">
        <v>57</v>
      </c>
      <c r="O1082" s="64">
        <v>1</v>
      </c>
      <c r="P1082" s="72">
        <v>175130000</v>
      </c>
      <c r="Q1082" s="69" t="s">
        <v>5641</v>
      </c>
      <c r="R1082" s="69"/>
      <c r="S1082" s="121" t="s">
        <v>646</v>
      </c>
      <c r="T1082" s="56">
        <v>29</v>
      </c>
      <c r="U1082" s="56">
        <v>4</v>
      </c>
    </row>
    <row r="1083" spans="1:21" ht="14.25" customHeight="1" x14ac:dyDescent="0.35">
      <c r="A1083" s="47">
        <v>1067</v>
      </c>
      <c r="B1083" s="69" t="s">
        <v>1745</v>
      </c>
      <c r="C1083" s="69" t="s">
        <v>1746</v>
      </c>
      <c r="D1083" s="70" t="s">
        <v>107</v>
      </c>
      <c r="E1083" s="69" t="s">
        <v>1747</v>
      </c>
      <c r="F1083" s="69" t="s">
        <v>5631</v>
      </c>
      <c r="G1083" s="69" t="s">
        <v>140</v>
      </c>
      <c r="H1083" s="70">
        <v>2015</v>
      </c>
      <c r="I1083" s="69"/>
      <c r="J1083" s="69" t="s">
        <v>5642</v>
      </c>
      <c r="K1083" s="71" t="s">
        <v>5643</v>
      </c>
      <c r="L1083" s="71" t="s">
        <v>5644</v>
      </c>
      <c r="M1083" s="71" t="s">
        <v>5645</v>
      </c>
      <c r="N1083" s="69" t="s">
        <v>57</v>
      </c>
      <c r="O1083" s="64">
        <v>1</v>
      </c>
      <c r="P1083" s="72">
        <v>175130000</v>
      </c>
      <c r="Q1083" s="69" t="s">
        <v>5646</v>
      </c>
      <c r="R1083" s="69"/>
      <c r="S1083" s="121" t="s">
        <v>646</v>
      </c>
      <c r="T1083" s="56">
        <v>29</v>
      </c>
      <c r="U1083" s="56">
        <v>4</v>
      </c>
    </row>
    <row r="1084" spans="1:21" ht="14.25" customHeight="1" thickBot="1" x14ac:dyDescent="0.4">
      <c r="A1084" s="58">
        <v>1068</v>
      </c>
      <c r="B1084" s="69" t="s">
        <v>1745</v>
      </c>
      <c r="C1084" s="69" t="s">
        <v>1746</v>
      </c>
      <c r="D1084" s="70" t="s">
        <v>112</v>
      </c>
      <c r="E1084" s="69" t="s">
        <v>5647</v>
      </c>
      <c r="F1084" s="69" t="s">
        <v>2691</v>
      </c>
      <c r="G1084" s="69" t="s">
        <v>140</v>
      </c>
      <c r="H1084" s="70">
        <v>2015</v>
      </c>
      <c r="I1084" s="69"/>
      <c r="J1084" s="69" t="s">
        <v>5648</v>
      </c>
      <c r="K1084" s="71" t="s">
        <v>5649</v>
      </c>
      <c r="L1084" s="71" t="s">
        <v>5650</v>
      </c>
      <c r="M1084" s="71" t="s">
        <v>5651</v>
      </c>
      <c r="N1084" s="69" t="s">
        <v>57</v>
      </c>
      <c r="O1084" s="64">
        <v>1</v>
      </c>
      <c r="P1084" s="72">
        <v>181480000</v>
      </c>
      <c r="Q1084" s="69" t="s">
        <v>5652</v>
      </c>
      <c r="R1084" s="69"/>
      <c r="S1084" s="121" t="s">
        <v>646</v>
      </c>
      <c r="T1084" s="56">
        <v>29</v>
      </c>
      <c r="U1084" s="56">
        <v>4</v>
      </c>
    </row>
    <row r="1085" spans="1:21" ht="14.25" customHeight="1" x14ac:dyDescent="0.35">
      <c r="A1085" s="47">
        <v>1069</v>
      </c>
      <c r="B1085" s="69" t="s">
        <v>1745</v>
      </c>
      <c r="C1085" s="69" t="s">
        <v>1746</v>
      </c>
      <c r="D1085" s="70" t="s">
        <v>116</v>
      </c>
      <c r="E1085" s="69" t="s">
        <v>5653</v>
      </c>
      <c r="F1085" s="69" t="s">
        <v>4207</v>
      </c>
      <c r="G1085" s="69" t="s">
        <v>140</v>
      </c>
      <c r="H1085" s="70">
        <v>2015</v>
      </c>
      <c r="I1085" s="69"/>
      <c r="J1085" s="69" t="s">
        <v>5654</v>
      </c>
      <c r="K1085" s="71" t="s">
        <v>5655</v>
      </c>
      <c r="L1085" s="71" t="s">
        <v>5656</v>
      </c>
      <c r="M1085" s="71" t="s">
        <v>5657</v>
      </c>
      <c r="N1085" s="69" t="s">
        <v>57</v>
      </c>
      <c r="O1085" s="64">
        <v>1</v>
      </c>
      <c r="P1085" s="72">
        <v>279870000</v>
      </c>
      <c r="Q1085" s="69" t="s">
        <v>5658</v>
      </c>
      <c r="R1085" s="69"/>
      <c r="S1085" s="121" t="s">
        <v>646</v>
      </c>
      <c r="T1085" s="56">
        <v>29</v>
      </c>
      <c r="U1085" s="56">
        <v>4</v>
      </c>
    </row>
    <row r="1086" spans="1:21" ht="14.25" customHeight="1" thickBot="1" x14ac:dyDescent="0.4">
      <c r="A1086" s="58">
        <v>1070</v>
      </c>
      <c r="B1086" s="69" t="s">
        <v>1745</v>
      </c>
      <c r="C1086" s="69" t="s">
        <v>1746</v>
      </c>
      <c r="D1086" s="70" t="s">
        <v>841</v>
      </c>
      <c r="E1086" s="69" t="s">
        <v>5659</v>
      </c>
      <c r="F1086" s="69" t="s">
        <v>1609</v>
      </c>
      <c r="G1086" s="69" t="s">
        <v>140</v>
      </c>
      <c r="H1086" s="70">
        <v>2016</v>
      </c>
      <c r="I1086" s="69"/>
      <c r="J1086" s="69" t="s">
        <v>5660</v>
      </c>
      <c r="K1086" s="71" t="s">
        <v>5661</v>
      </c>
      <c r="L1086" s="71" t="s">
        <v>5662</v>
      </c>
      <c r="M1086" s="71" t="s">
        <v>5663</v>
      </c>
      <c r="N1086" s="69" t="s">
        <v>57</v>
      </c>
      <c r="O1086" s="64">
        <v>1</v>
      </c>
      <c r="P1086" s="72">
        <v>355100000</v>
      </c>
      <c r="Q1086" s="69" t="s">
        <v>5664</v>
      </c>
      <c r="R1086" s="69"/>
      <c r="S1086" s="121" t="s">
        <v>646</v>
      </c>
      <c r="T1086" s="56">
        <v>29</v>
      </c>
      <c r="U1086" s="56">
        <v>4</v>
      </c>
    </row>
    <row r="1087" spans="1:21" ht="14.25" customHeight="1" x14ac:dyDescent="0.35">
      <c r="A1087" s="47">
        <v>1071</v>
      </c>
      <c r="B1087" s="69" t="s">
        <v>1745</v>
      </c>
      <c r="C1087" s="69" t="s">
        <v>1746</v>
      </c>
      <c r="D1087" s="70" t="s">
        <v>904</v>
      </c>
      <c r="E1087" s="69" t="s">
        <v>1766</v>
      </c>
      <c r="F1087" s="69" t="s">
        <v>2691</v>
      </c>
      <c r="G1087" s="69" t="s">
        <v>140</v>
      </c>
      <c r="H1087" s="70">
        <v>2017</v>
      </c>
      <c r="I1087" s="69" t="s">
        <v>63</v>
      </c>
      <c r="J1087" s="69" t="s">
        <v>5665</v>
      </c>
      <c r="K1087" s="71" t="s">
        <v>5666</v>
      </c>
      <c r="L1087" s="71" t="s">
        <v>5667</v>
      </c>
      <c r="M1087" s="71" t="s">
        <v>5668</v>
      </c>
      <c r="N1087" s="69" t="s">
        <v>57</v>
      </c>
      <c r="O1087" s="64">
        <v>1</v>
      </c>
      <c r="P1087" s="72">
        <v>190700000</v>
      </c>
      <c r="Q1087" s="69" t="s">
        <v>5669</v>
      </c>
      <c r="R1087" s="69"/>
      <c r="S1087" s="121" t="s">
        <v>646</v>
      </c>
      <c r="T1087" s="56">
        <v>29</v>
      </c>
      <c r="U1087" s="56">
        <v>4</v>
      </c>
    </row>
    <row r="1088" spans="1:21" ht="14.25" customHeight="1" thickBot="1" x14ac:dyDescent="0.4">
      <c r="A1088" s="58">
        <v>1072</v>
      </c>
      <c r="B1088" s="69" t="s">
        <v>1745</v>
      </c>
      <c r="C1088" s="69" t="s">
        <v>1746</v>
      </c>
      <c r="D1088" s="70" t="s">
        <v>122</v>
      </c>
      <c r="E1088" s="69" t="s">
        <v>5670</v>
      </c>
      <c r="F1088" s="69" t="s">
        <v>2691</v>
      </c>
      <c r="G1088" s="69" t="s">
        <v>140</v>
      </c>
      <c r="H1088" s="70">
        <v>2017</v>
      </c>
      <c r="I1088" s="69" t="s">
        <v>63</v>
      </c>
      <c r="J1088" s="69" t="s">
        <v>5671</v>
      </c>
      <c r="K1088" s="71" t="s">
        <v>5672</v>
      </c>
      <c r="L1088" s="71" t="s">
        <v>5673</v>
      </c>
      <c r="M1088" s="71" t="s">
        <v>5674</v>
      </c>
      <c r="N1088" s="69" t="s">
        <v>57</v>
      </c>
      <c r="O1088" s="64">
        <v>1</v>
      </c>
      <c r="P1088" s="72">
        <v>208600000</v>
      </c>
      <c r="Q1088" s="69" t="s">
        <v>5675</v>
      </c>
      <c r="R1088" s="69"/>
      <c r="S1088" s="121" t="s">
        <v>646</v>
      </c>
      <c r="T1088" s="56">
        <v>29</v>
      </c>
      <c r="U1088" s="56">
        <v>4</v>
      </c>
    </row>
    <row r="1089" spans="1:21" ht="14.25" customHeight="1" x14ac:dyDescent="0.35">
      <c r="A1089" s="47">
        <v>1073</v>
      </c>
      <c r="B1089" s="69" t="s">
        <v>1745</v>
      </c>
      <c r="C1089" s="69" t="s">
        <v>1746</v>
      </c>
      <c r="D1089" s="70" t="s">
        <v>126</v>
      </c>
      <c r="E1089" s="69" t="s">
        <v>5676</v>
      </c>
      <c r="F1089" s="69">
        <v>1496</v>
      </c>
      <c r="G1089" s="69" t="s">
        <v>140</v>
      </c>
      <c r="H1089" s="70">
        <v>2019</v>
      </c>
      <c r="I1089" s="69" t="s">
        <v>63</v>
      </c>
      <c r="J1089" s="69" t="s">
        <v>5677</v>
      </c>
      <c r="K1089" s="71" t="s">
        <v>5678</v>
      </c>
      <c r="L1089" s="71" t="s">
        <v>5679</v>
      </c>
      <c r="M1089" s="71" t="s">
        <v>63</v>
      </c>
      <c r="N1089" s="69" t="s">
        <v>57</v>
      </c>
      <c r="O1089" s="64">
        <v>1</v>
      </c>
      <c r="P1089" s="72">
        <v>230000000</v>
      </c>
      <c r="Q1089" s="69" t="s">
        <v>5680</v>
      </c>
      <c r="R1089" s="69"/>
      <c r="S1089" s="121" t="s">
        <v>646</v>
      </c>
      <c r="T1089" s="56">
        <v>29</v>
      </c>
      <c r="U1089" s="56">
        <v>4</v>
      </c>
    </row>
    <row r="1090" spans="1:21" ht="14.25" customHeight="1" thickBot="1" x14ac:dyDescent="0.4">
      <c r="A1090" s="58">
        <v>1074</v>
      </c>
      <c r="B1090" s="69" t="s">
        <v>1745</v>
      </c>
      <c r="C1090" s="69" t="s">
        <v>1746</v>
      </c>
      <c r="D1090" s="70" t="s">
        <v>137</v>
      </c>
      <c r="E1090" s="69" t="s">
        <v>5681</v>
      </c>
      <c r="F1090" s="69" t="s">
        <v>63</v>
      </c>
      <c r="G1090" s="69" t="s">
        <v>140</v>
      </c>
      <c r="H1090" s="70">
        <v>2019</v>
      </c>
      <c r="I1090" s="69" t="s">
        <v>63</v>
      </c>
      <c r="J1090" s="69" t="s">
        <v>5682</v>
      </c>
      <c r="K1090" s="71" t="s">
        <v>5683</v>
      </c>
      <c r="L1090" s="71" t="s">
        <v>5684</v>
      </c>
      <c r="M1090" s="71" t="s">
        <v>5685</v>
      </c>
      <c r="N1090" s="69" t="s">
        <v>57</v>
      </c>
      <c r="O1090" s="64">
        <v>1</v>
      </c>
      <c r="P1090" s="72">
        <v>320050000</v>
      </c>
      <c r="Q1090" s="69" t="s">
        <v>5686</v>
      </c>
      <c r="R1090" s="69"/>
      <c r="S1090" s="121" t="s">
        <v>646</v>
      </c>
      <c r="T1090" s="56">
        <v>29</v>
      </c>
      <c r="U1090" s="56">
        <v>4</v>
      </c>
    </row>
    <row r="1091" spans="1:21" ht="14.25" customHeight="1" x14ac:dyDescent="0.35">
      <c r="A1091" s="47">
        <v>1075</v>
      </c>
      <c r="B1091" s="69" t="s">
        <v>1745</v>
      </c>
      <c r="C1091" s="69" t="s">
        <v>1746</v>
      </c>
      <c r="D1091" s="70" t="s">
        <v>146</v>
      </c>
      <c r="E1091" s="69" t="s">
        <v>5687</v>
      </c>
      <c r="F1091" s="69" t="s">
        <v>5688</v>
      </c>
      <c r="G1091" s="69" t="s">
        <v>140</v>
      </c>
      <c r="H1091" s="70">
        <v>2024</v>
      </c>
      <c r="I1091" s="69" t="s">
        <v>63</v>
      </c>
      <c r="J1091" s="69" t="s">
        <v>5689</v>
      </c>
      <c r="K1091" s="71" t="s">
        <v>5690</v>
      </c>
      <c r="L1091" s="71" t="s">
        <v>5691</v>
      </c>
      <c r="M1091" s="71" t="s">
        <v>5692</v>
      </c>
      <c r="N1091" s="69" t="s">
        <v>44</v>
      </c>
      <c r="O1091" s="64">
        <v>1</v>
      </c>
      <c r="P1091" s="72">
        <v>634400000</v>
      </c>
      <c r="Q1091" s="69" t="s">
        <v>5693</v>
      </c>
      <c r="R1091" s="69"/>
      <c r="S1091" s="121" t="s">
        <v>646</v>
      </c>
      <c r="T1091" s="56">
        <v>29</v>
      </c>
      <c r="U1091" s="56">
        <v>4</v>
      </c>
    </row>
    <row r="1092" spans="1:21" ht="14.25" customHeight="1" thickBot="1" x14ac:dyDescent="0.4">
      <c r="A1092" s="58">
        <v>1076</v>
      </c>
      <c r="B1092" s="69" t="s">
        <v>1806</v>
      </c>
      <c r="C1092" s="69" t="s">
        <v>1807</v>
      </c>
      <c r="D1092" s="70" t="s">
        <v>51</v>
      </c>
      <c r="E1092" s="69" t="s">
        <v>5694</v>
      </c>
      <c r="F1092" s="69"/>
      <c r="G1092" s="69" t="s">
        <v>54</v>
      </c>
      <c r="H1092" s="70">
        <v>2010</v>
      </c>
      <c r="I1092" s="69"/>
      <c r="J1092" s="69" t="s">
        <v>5695</v>
      </c>
      <c r="K1092" s="71" t="s">
        <v>5696</v>
      </c>
      <c r="L1092" s="71" t="s">
        <v>5697</v>
      </c>
      <c r="M1092" s="71"/>
      <c r="N1092" s="69" t="s">
        <v>57</v>
      </c>
      <c r="O1092" s="64">
        <v>1</v>
      </c>
      <c r="P1092" s="72">
        <v>156500000</v>
      </c>
      <c r="Q1092" s="69" t="s">
        <v>5698</v>
      </c>
      <c r="R1092" s="69"/>
      <c r="S1092" s="121" t="s">
        <v>646</v>
      </c>
      <c r="T1092" s="56">
        <v>29</v>
      </c>
      <c r="U1092" s="56">
        <v>4</v>
      </c>
    </row>
    <row r="1093" spans="1:21" ht="14.25" customHeight="1" x14ac:dyDescent="0.35">
      <c r="A1093" s="47">
        <v>1077</v>
      </c>
      <c r="B1093" s="69" t="s">
        <v>1806</v>
      </c>
      <c r="C1093" s="69" t="s">
        <v>1807</v>
      </c>
      <c r="D1093" s="70" t="s">
        <v>101</v>
      </c>
      <c r="E1093" s="69" t="s">
        <v>5699</v>
      </c>
      <c r="F1093" s="69" t="s">
        <v>63</v>
      </c>
      <c r="G1093" s="69" t="s">
        <v>54</v>
      </c>
      <c r="H1093" s="70">
        <v>2010</v>
      </c>
      <c r="I1093" s="69" t="s">
        <v>63</v>
      </c>
      <c r="J1093" s="69" t="s">
        <v>5700</v>
      </c>
      <c r="K1093" s="71" t="s">
        <v>5701</v>
      </c>
      <c r="L1093" s="71" t="s">
        <v>5702</v>
      </c>
      <c r="M1093" s="71" t="s">
        <v>5703</v>
      </c>
      <c r="N1093" s="69" t="s">
        <v>57</v>
      </c>
      <c r="O1093" s="64">
        <v>1</v>
      </c>
      <c r="P1093" s="72">
        <v>167500000</v>
      </c>
      <c r="Q1093" s="69" t="s">
        <v>5704</v>
      </c>
      <c r="R1093" s="69"/>
      <c r="S1093" s="121" t="s">
        <v>646</v>
      </c>
      <c r="T1093" s="56">
        <v>29</v>
      </c>
      <c r="U1093" s="56">
        <v>4</v>
      </c>
    </row>
    <row r="1094" spans="1:21" ht="14.25" customHeight="1" thickBot="1" x14ac:dyDescent="0.4">
      <c r="A1094" s="58">
        <v>1078</v>
      </c>
      <c r="B1094" s="69" t="s">
        <v>1806</v>
      </c>
      <c r="C1094" s="69" t="s">
        <v>1807</v>
      </c>
      <c r="D1094" s="70" t="s">
        <v>122</v>
      </c>
      <c r="E1094" s="69" t="s">
        <v>5705</v>
      </c>
      <c r="F1094" s="69" t="s">
        <v>1595</v>
      </c>
      <c r="G1094" s="69" t="s">
        <v>140</v>
      </c>
      <c r="H1094" s="70">
        <v>2023</v>
      </c>
      <c r="I1094" s="69" t="s">
        <v>63</v>
      </c>
      <c r="J1094" s="69" t="s">
        <v>5706</v>
      </c>
      <c r="K1094" s="71" t="s">
        <v>5707</v>
      </c>
      <c r="L1094" s="71" t="s">
        <v>5708</v>
      </c>
      <c r="M1094" s="71" t="s">
        <v>63</v>
      </c>
      <c r="N1094" s="69" t="s">
        <v>44</v>
      </c>
      <c r="O1094" s="64">
        <v>1</v>
      </c>
      <c r="P1094" s="72">
        <v>432800000</v>
      </c>
      <c r="Q1094" s="69" t="s">
        <v>5709</v>
      </c>
      <c r="R1094" s="69"/>
      <c r="S1094" s="121" t="s">
        <v>646</v>
      </c>
      <c r="T1094" s="56">
        <v>29</v>
      </c>
      <c r="U1094" s="56">
        <v>4</v>
      </c>
    </row>
    <row r="1095" spans="1:21" ht="14.25" customHeight="1" x14ac:dyDescent="0.35">
      <c r="A1095" s="47">
        <v>1079</v>
      </c>
      <c r="B1095" s="69" t="s">
        <v>1806</v>
      </c>
      <c r="C1095" s="69" t="s">
        <v>1807</v>
      </c>
      <c r="D1095" s="70" t="s">
        <v>126</v>
      </c>
      <c r="E1095" s="69" t="s">
        <v>5710</v>
      </c>
      <c r="F1095" s="69" t="s">
        <v>2936</v>
      </c>
      <c r="G1095" s="69" t="s">
        <v>140</v>
      </c>
      <c r="H1095" s="70">
        <v>2023</v>
      </c>
      <c r="I1095" s="69" t="s">
        <v>63</v>
      </c>
      <c r="J1095" s="69" t="s">
        <v>5711</v>
      </c>
      <c r="K1095" s="71" t="s">
        <v>5712</v>
      </c>
      <c r="L1095" s="71" t="s">
        <v>5713</v>
      </c>
      <c r="M1095" s="71" t="s">
        <v>5714</v>
      </c>
      <c r="N1095" s="69" t="s">
        <v>44</v>
      </c>
      <c r="O1095" s="64">
        <v>1</v>
      </c>
      <c r="P1095" s="72">
        <v>290000000</v>
      </c>
      <c r="Q1095" s="69" t="s">
        <v>5715</v>
      </c>
      <c r="R1095" s="69"/>
      <c r="S1095" s="121" t="s">
        <v>646</v>
      </c>
      <c r="T1095" s="56">
        <v>29</v>
      </c>
      <c r="U1095" s="56">
        <v>4</v>
      </c>
    </row>
    <row r="1096" spans="1:21" ht="14.25" customHeight="1" thickBot="1" x14ac:dyDescent="0.4">
      <c r="A1096" s="58">
        <v>1080</v>
      </c>
      <c r="B1096" s="69" t="s">
        <v>1806</v>
      </c>
      <c r="C1096" s="69" t="s">
        <v>1807</v>
      </c>
      <c r="D1096" s="70" t="s">
        <v>132</v>
      </c>
      <c r="E1096" s="69" t="s">
        <v>5710</v>
      </c>
      <c r="F1096" s="69" t="s">
        <v>2936</v>
      </c>
      <c r="G1096" s="69" t="s">
        <v>140</v>
      </c>
      <c r="H1096" s="70">
        <v>2023</v>
      </c>
      <c r="I1096" s="69" t="s">
        <v>63</v>
      </c>
      <c r="J1096" s="69" t="s">
        <v>5716</v>
      </c>
      <c r="K1096" s="71" t="s">
        <v>5717</v>
      </c>
      <c r="L1096" s="71" t="s">
        <v>5718</v>
      </c>
      <c r="M1096" s="71" t="s">
        <v>5719</v>
      </c>
      <c r="N1096" s="69" t="s">
        <v>44</v>
      </c>
      <c r="O1096" s="64">
        <v>1</v>
      </c>
      <c r="P1096" s="72">
        <v>290000000</v>
      </c>
      <c r="Q1096" s="69" t="s">
        <v>5720</v>
      </c>
      <c r="R1096" s="69"/>
      <c r="S1096" s="121" t="s">
        <v>646</v>
      </c>
      <c r="T1096" s="56">
        <v>29</v>
      </c>
      <c r="U1096" s="56">
        <v>4</v>
      </c>
    </row>
    <row r="1097" spans="1:21" ht="14.25" customHeight="1" x14ac:dyDescent="0.35">
      <c r="A1097" s="47">
        <v>1081</v>
      </c>
      <c r="B1097" s="69" t="s">
        <v>1806</v>
      </c>
      <c r="C1097" s="69" t="s">
        <v>1807</v>
      </c>
      <c r="D1097" s="70" t="s">
        <v>137</v>
      </c>
      <c r="E1097" s="69" t="s">
        <v>5710</v>
      </c>
      <c r="F1097" s="69" t="s">
        <v>2936</v>
      </c>
      <c r="G1097" s="69" t="s">
        <v>140</v>
      </c>
      <c r="H1097" s="70">
        <v>2023</v>
      </c>
      <c r="I1097" s="69" t="s">
        <v>63</v>
      </c>
      <c r="J1097" s="69" t="s">
        <v>5721</v>
      </c>
      <c r="K1097" s="71" t="s">
        <v>5722</v>
      </c>
      <c r="L1097" s="71" t="s">
        <v>5723</v>
      </c>
      <c r="M1097" s="71" t="s">
        <v>5724</v>
      </c>
      <c r="N1097" s="69" t="s">
        <v>44</v>
      </c>
      <c r="O1097" s="64">
        <v>1</v>
      </c>
      <c r="P1097" s="72">
        <v>290000000</v>
      </c>
      <c r="Q1097" s="69" t="s">
        <v>5725</v>
      </c>
      <c r="R1097" s="69"/>
      <c r="S1097" s="121" t="s">
        <v>646</v>
      </c>
      <c r="T1097" s="56">
        <v>29</v>
      </c>
      <c r="U1097" s="56">
        <v>4</v>
      </c>
    </row>
    <row r="1098" spans="1:21" ht="14.25" customHeight="1" thickBot="1" x14ac:dyDescent="0.4">
      <c r="A1098" s="58">
        <v>1082</v>
      </c>
      <c r="B1098" s="69" t="s">
        <v>1806</v>
      </c>
      <c r="C1098" s="69" t="s">
        <v>1807</v>
      </c>
      <c r="D1098" s="70" t="s">
        <v>146</v>
      </c>
      <c r="E1098" s="69" t="s">
        <v>2473</v>
      </c>
      <c r="F1098" s="69" t="s">
        <v>1595</v>
      </c>
      <c r="G1098" s="69" t="s">
        <v>140</v>
      </c>
      <c r="H1098" s="70">
        <v>2015</v>
      </c>
      <c r="I1098" s="69" t="s">
        <v>5726</v>
      </c>
      <c r="J1098" s="69" t="s">
        <v>5727</v>
      </c>
      <c r="K1098" s="71" t="s">
        <v>5728</v>
      </c>
      <c r="L1098" s="71" t="s">
        <v>5729</v>
      </c>
      <c r="M1098" s="71" t="s">
        <v>5730</v>
      </c>
      <c r="N1098" s="69" t="s">
        <v>57</v>
      </c>
      <c r="O1098" s="64">
        <v>1</v>
      </c>
      <c r="P1098" s="72">
        <v>270000000</v>
      </c>
      <c r="Q1098" s="69" t="s">
        <v>5731</v>
      </c>
      <c r="R1098" s="69"/>
      <c r="S1098" s="121" t="s">
        <v>646</v>
      </c>
      <c r="T1098" s="56">
        <v>29</v>
      </c>
      <c r="U1098" s="56">
        <v>4</v>
      </c>
    </row>
    <row r="1099" spans="1:21" ht="14.25" customHeight="1" x14ac:dyDescent="0.35">
      <c r="A1099" s="47">
        <v>1083</v>
      </c>
      <c r="B1099" s="69" t="s">
        <v>2064</v>
      </c>
      <c r="C1099" s="69" t="s">
        <v>2065</v>
      </c>
      <c r="D1099" s="70" t="s">
        <v>51</v>
      </c>
      <c r="E1099" s="69" t="s">
        <v>5732</v>
      </c>
      <c r="F1099" s="69"/>
      <c r="G1099" s="69" t="s">
        <v>140</v>
      </c>
      <c r="H1099" s="70">
        <v>2003</v>
      </c>
      <c r="I1099" s="69"/>
      <c r="J1099" s="69" t="s">
        <v>5733</v>
      </c>
      <c r="K1099" s="71" t="s">
        <v>5734</v>
      </c>
      <c r="L1099" s="71" t="s">
        <v>5735</v>
      </c>
      <c r="M1099" s="71" t="s">
        <v>5736</v>
      </c>
      <c r="N1099" s="69" t="s">
        <v>57</v>
      </c>
      <c r="O1099" s="64">
        <v>1</v>
      </c>
      <c r="P1099" s="72">
        <v>215000000</v>
      </c>
      <c r="Q1099" s="69" t="s">
        <v>5737</v>
      </c>
      <c r="R1099" s="69"/>
      <c r="S1099" s="121" t="s">
        <v>646</v>
      </c>
      <c r="T1099" s="56">
        <v>29</v>
      </c>
      <c r="U1099" s="56">
        <v>6</v>
      </c>
    </row>
    <row r="1100" spans="1:21" ht="14.25" customHeight="1" thickBot="1" x14ac:dyDescent="0.4">
      <c r="A1100" s="58">
        <v>1084</v>
      </c>
      <c r="B1100" s="69" t="s">
        <v>2064</v>
      </c>
      <c r="C1100" s="69" t="s">
        <v>2065</v>
      </c>
      <c r="D1100" s="70" t="s">
        <v>59</v>
      </c>
      <c r="E1100" s="69" t="s">
        <v>5738</v>
      </c>
      <c r="F1100" s="69" t="s">
        <v>5739</v>
      </c>
      <c r="G1100" s="69" t="s">
        <v>140</v>
      </c>
      <c r="H1100" s="70">
        <v>2017</v>
      </c>
      <c r="I1100" s="69" t="s">
        <v>63</v>
      </c>
      <c r="J1100" s="69" t="s">
        <v>5740</v>
      </c>
      <c r="K1100" s="71" t="s">
        <v>5741</v>
      </c>
      <c r="L1100" s="71" t="s">
        <v>5742</v>
      </c>
      <c r="M1100" s="71" t="s">
        <v>5743</v>
      </c>
      <c r="N1100" s="69" t="s">
        <v>57</v>
      </c>
      <c r="O1100" s="64">
        <v>1</v>
      </c>
      <c r="P1100" s="72">
        <v>330178000</v>
      </c>
      <c r="Q1100" s="69" t="s">
        <v>646</v>
      </c>
      <c r="R1100" s="69"/>
      <c r="S1100" s="121" t="s">
        <v>646</v>
      </c>
      <c r="T1100" s="56">
        <v>29</v>
      </c>
      <c r="U1100" s="56">
        <v>6</v>
      </c>
    </row>
    <row r="1101" spans="1:21" ht="14.25" customHeight="1" x14ac:dyDescent="0.35">
      <c r="A1101" s="47">
        <v>1085</v>
      </c>
      <c r="B1101" s="69" t="s">
        <v>70</v>
      </c>
      <c r="C1101" s="69" t="s">
        <v>71</v>
      </c>
      <c r="D1101" s="70" t="s">
        <v>97</v>
      </c>
      <c r="E1101" s="69" t="s">
        <v>2501</v>
      </c>
      <c r="F1101" s="69" t="s">
        <v>1683</v>
      </c>
      <c r="G1101" s="69" t="s">
        <v>140</v>
      </c>
      <c r="H1101" s="70">
        <v>2017</v>
      </c>
      <c r="I1101" s="69" t="s">
        <v>63</v>
      </c>
      <c r="J1101" s="69" t="s">
        <v>5744</v>
      </c>
      <c r="K1101" s="71" t="s">
        <v>5745</v>
      </c>
      <c r="L1101" s="71" t="s">
        <v>5746</v>
      </c>
      <c r="M1101" s="71" t="s">
        <v>5747</v>
      </c>
      <c r="N1101" s="69" t="s">
        <v>57</v>
      </c>
      <c r="O1101" s="64">
        <v>1</v>
      </c>
      <c r="P1101" s="72">
        <v>399250000</v>
      </c>
      <c r="Q1101" s="69" t="s">
        <v>5748</v>
      </c>
      <c r="R1101" s="69"/>
      <c r="S1101" s="121" t="s">
        <v>646</v>
      </c>
      <c r="T1101" s="56">
        <v>29</v>
      </c>
      <c r="U1101" s="56">
        <v>4</v>
      </c>
    </row>
    <row r="1102" spans="1:21" ht="14.25" customHeight="1" thickBot="1" x14ac:dyDescent="0.4">
      <c r="A1102" s="58">
        <v>1086</v>
      </c>
      <c r="B1102" s="69" t="s">
        <v>70</v>
      </c>
      <c r="C1102" s="69" t="s">
        <v>71</v>
      </c>
      <c r="D1102" s="70" t="s">
        <v>101</v>
      </c>
      <c r="E1102" s="69" t="s">
        <v>5749</v>
      </c>
      <c r="F1102" s="69" t="s">
        <v>1683</v>
      </c>
      <c r="G1102" s="69" t="s">
        <v>140</v>
      </c>
      <c r="H1102" s="70">
        <v>2017</v>
      </c>
      <c r="I1102" s="69" t="s">
        <v>63</v>
      </c>
      <c r="J1102" s="69" t="s">
        <v>5750</v>
      </c>
      <c r="K1102" s="71" t="s">
        <v>5751</v>
      </c>
      <c r="L1102" s="71" t="s">
        <v>5752</v>
      </c>
      <c r="M1102" s="71" t="s">
        <v>5753</v>
      </c>
      <c r="N1102" s="69" t="s">
        <v>57</v>
      </c>
      <c r="O1102" s="64">
        <v>1</v>
      </c>
      <c r="P1102" s="72">
        <v>421850000</v>
      </c>
      <c r="Q1102" s="69" t="s">
        <v>5664</v>
      </c>
      <c r="R1102" s="69"/>
      <c r="S1102" s="121" t="s">
        <v>646</v>
      </c>
      <c r="T1102" s="56">
        <v>29</v>
      </c>
      <c r="U1102" s="56">
        <v>4</v>
      </c>
    </row>
    <row r="1103" spans="1:21" ht="14.25" customHeight="1" x14ac:dyDescent="0.35">
      <c r="A1103" s="47">
        <v>1087</v>
      </c>
      <c r="B1103" s="69" t="s">
        <v>70</v>
      </c>
      <c r="C1103" s="69" t="s">
        <v>71</v>
      </c>
      <c r="D1103" s="70" t="s">
        <v>116</v>
      </c>
      <c r="E1103" s="69" t="s">
        <v>5754</v>
      </c>
      <c r="F1103" s="69" t="s">
        <v>63</v>
      </c>
      <c r="G1103" s="69" t="s">
        <v>140</v>
      </c>
      <c r="H1103" s="70">
        <v>2019</v>
      </c>
      <c r="I1103" s="69" t="s">
        <v>63</v>
      </c>
      <c r="J1103" s="69" t="s">
        <v>5755</v>
      </c>
      <c r="K1103" s="71" t="s">
        <v>5756</v>
      </c>
      <c r="L1103" s="71" t="s">
        <v>5757</v>
      </c>
      <c r="M1103" s="71" t="s">
        <v>63</v>
      </c>
      <c r="N1103" s="69" t="s">
        <v>57</v>
      </c>
      <c r="O1103" s="64">
        <v>1</v>
      </c>
      <c r="P1103" s="72">
        <v>413730000</v>
      </c>
      <c r="Q1103" s="69" t="s">
        <v>5758</v>
      </c>
      <c r="R1103" s="69"/>
      <c r="S1103" s="121" t="s">
        <v>646</v>
      </c>
      <c r="T1103" s="56">
        <v>29</v>
      </c>
      <c r="U1103" s="56">
        <v>4</v>
      </c>
    </row>
    <row r="1104" spans="1:21" ht="14.25" customHeight="1" thickBot="1" x14ac:dyDescent="0.4">
      <c r="A1104" s="58">
        <v>1088</v>
      </c>
      <c r="B1104" s="69" t="s">
        <v>70</v>
      </c>
      <c r="C1104" s="69" t="s">
        <v>71</v>
      </c>
      <c r="D1104" s="70" t="s">
        <v>841</v>
      </c>
      <c r="E1104" s="69" t="s">
        <v>5754</v>
      </c>
      <c r="F1104" s="69" t="s">
        <v>63</v>
      </c>
      <c r="G1104" s="69" t="s">
        <v>140</v>
      </c>
      <c r="H1104" s="70">
        <v>2019</v>
      </c>
      <c r="I1104" s="69" t="s">
        <v>63</v>
      </c>
      <c r="J1104" s="69" t="s">
        <v>5759</v>
      </c>
      <c r="K1104" s="71" t="s">
        <v>5760</v>
      </c>
      <c r="L1104" s="71" t="s">
        <v>5761</v>
      </c>
      <c r="M1104" s="71" t="s">
        <v>63</v>
      </c>
      <c r="N1104" s="69" t="s">
        <v>57</v>
      </c>
      <c r="O1104" s="64">
        <v>1</v>
      </c>
      <c r="P1104" s="72">
        <v>448690000</v>
      </c>
      <c r="Q1104" s="69" t="s">
        <v>5762</v>
      </c>
      <c r="R1104" s="69"/>
      <c r="S1104" s="121" t="s">
        <v>646</v>
      </c>
      <c r="T1104" s="56">
        <v>29</v>
      </c>
      <c r="U1104" s="56">
        <v>4</v>
      </c>
    </row>
    <row r="1105" spans="1:21" ht="14.25" customHeight="1" x14ac:dyDescent="0.35">
      <c r="A1105" s="47">
        <v>1089</v>
      </c>
      <c r="B1105" s="69" t="s">
        <v>70</v>
      </c>
      <c r="C1105" s="69" t="s">
        <v>71</v>
      </c>
      <c r="D1105" s="70" t="s">
        <v>904</v>
      </c>
      <c r="E1105" s="69" t="s">
        <v>5763</v>
      </c>
      <c r="F1105" s="69" t="s">
        <v>5764</v>
      </c>
      <c r="G1105" s="69" t="s">
        <v>54</v>
      </c>
      <c r="H1105" s="70">
        <v>2010</v>
      </c>
      <c r="I1105" s="69"/>
      <c r="J1105" s="69" t="s">
        <v>5765</v>
      </c>
      <c r="K1105" s="71" t="s">
        <v>5766</v>
      </c>
      <c r="L1105" s="71" t="s">
        <v>5767</v>
      </c>
      <c r="M1105" s="71"/>
      <c r="N1105" s="69" t="s">
        <v>57</v>
      </c>
      <c r="O1105" s="64">
        <v>1</v>
      </c>
      <c r="P1105" s="72">
        <v>160000000</v>
      </c>
      <c r="Q1105" s="69" t="s">
        <v>5768</v>
      </c>
      <c r="R1105" s="69"/>
      <c r="S1105" s="121" t="s">
        <v>646</v>
      </c>
      <c r="T1105" s="56">
        <v>29</v>
      </c>
      <c r="U1105" s="56">
        <v>4</v>
      </c>
    </row>
    <row r="1106" spans="1:21" ht="14.25" customHeight="1" thickBot="1" x14ac:dyDescent="0.4">
      <c r="A1106" s="58">
        <v>1090</v>
      </c>
      <c r="B1106" s="69" t="s">
        <v>70</v>
      </c>
      <c r="C1106" s="69" t="s">
        <v>71</v>
      </c>
      <c r="D1106" s="70" t="s">
        <v>122</v>
      </c>
      <c r="E1106" s="69" t="s">
        <v>5769</v>
      </c>
      <c r="F1106" s="69" t="s">
        <v>5770</v>
      </c>
      <c r="G1106" s="69" t="s">
        <v>54</v>
      </c>
      <c r="H1106" s="70">
        <v>2012</v>
      </c>
      <c r="I1106" s="69" t="s">
        <v>63</v>
      </c>
      <c r="J1106" s="69" t="s">
        <v>5771</v>
      </c>
      <c r="K1106" s="71" t="s">
        <v>5772</v>
      </c>
      <c r="L1106" s="71" t="s">
        <v>5773</v>
      </c>
      <c r="M1106" s="71" t="s">
        <v>63</v>
      </c>
      <c r="N1106" s="69" t="s">
        <v>57</v>
      </c>
      <c r="O1106" s="64">
        <v>1</v>
      </c>
      <c r="P1106" s="72">
        <v>274575000</v>
      </c>
      <c r="Q1106" s="69" t="s">
        <v>5774</v>
      </c>
      <c r="R1106" s="69"/>
      <c r="S1106" s="121" t="s">
        <v>646</v>
      </c>
      <c r="T1106" s="56">
        <v>29</v>
      </c>
      <c r="U1106" s="56">
        <v>4</v>
      </c>
    </row>
    <row r="1107" spans="1:21" ht="14.25" customHeight="1" x14ac:dyDescent="0.35">
      <c r="A1107" s="47">
        <v>1091</v>
      </c>
      <c r="B1107" s="69" t="s">
        <v>70</v>
      </c>
      <c r="C1107" s="69" t="s">
        <v>71</v>
      </c>
      <c r="D1107" s="70" t="s">
        <v>132</v>
      </c>
      <c r="E1107" s="69" t="s">
        <v>4579</v>
      </c>
      <c r="F1107" s="69" t="s">
        <v>2495</v>
      </c>
      <c r="G1107" s="69" t="s">
        <v>54</v>
      </c>
      <c r="H1107" s="70">
        <v>2014</v>
      </c>
      <c r="I1107" s="69" t="s">
        <v>63</v>
      </c>
      <c r="J1107" s="69" t="s">
        <v>5775</v>
      </c>
      <c r="K1107" s="71" t="s">
        <v>5776</v>
      </c>
      <c r="L1107" s="71" t="s">
        <v>5777</v>
      </c>
      <c r="M1107" s="71" t="s">
        <v>5778</v>
      </c>
      <c r="N1107" s="69" t="s">
        <v>57</v>
      </c>
      <c r="O1107" s="64">
        <v>1</v>
      </c>
      <c r="P1107" s="72">
        <v>375700000</v>
      </c>
      <c r="Q1107" s="69" t="s">
        <v>5779</v>
      </c>
      <c r="R1107" s="69"/>
      <c r="S1107" s="121" t="s">
        <v>646</v>
      </c>
      <c r="T1107" s="56">
        <v>29</v>
      </c>
      <c r="U1107" s="56">
        <v>4</v>
      </c>
    </row>
    <row r="1108" spans="1:21" ht="14.25" customHeight="1" thickBot="1" x14ac:dyDescent="0.4">
      <c r="A1108" s="58">
        <v>1092</v>
      </c>
      <c r="B1108" s="69" t="s">
        <v>70</v>
      </c>
      <c r="C1108" s="69" t="s">
        <v>71</v>
      </c>
      <c r="D1108" s="70" t="s">
        <v>137</v>
      </c>
      <c r="E1108" s="69" t="s">
        <v>2068</v>
      </c>
      <c r="F1108" s="69" t="s">
        <v>1683</v>
      </c>
      <c r="G1108" s="69" t="s">
        <v>140</v>
      </c>
      <c r="H1108" s="70">
        <v>2015</v>
      </c>
      <c r="I1108" s="69"/>
      <c r="J1108" s="69" t="s">
        <v>5780</v>
      </c>
      <c r="K1108" s="71" t="s">
        <v>5781</v>
      </c>
      <c r="L1108" s="71" t="s">
        <v>5782</v>
      </c>
      <c r="M1108" s="71" t="s">
        <v>5783</v>
      </c>
      <c r="N1108" s="69" t="s">
        <v>57</v>
      </c>
      <c r="O1108" s="64">
        <v>1</v>
      </c>
      <c r="P1108" s="72">
        <v>381520000</v>
      </c>
      <c r="Q1108" s="69" t="s">
        <v>4555</v>
      </c>
      <c r="R1108" s="69"/>
      <c r="S1108" s="121" t="s">
        <v>646</v>
      </c>
      <c r="T1108" s="56">
        <v>29</v>
      </c>
      <c r="U1108" s="56">
        <v>4</v>
      </c>
    </row>
    <row r="1109" spans="1:21" ht="14.25" customHeight="1" x14ac:dyDescent="0.35">
      <c r="A1109" s="47">
        <v>1093</v>
      </c>
      <c r="B1109" s="69" t="s">
        <v>70</v>
      </c>
      <c r="C1109" s="69" t="s">
        <v>71</v>
      </c>
      <c r="D1109" s="70" t="s">
        <v>146</v>
      </c>
      <c r="E1109" s="69" t="s">
        <v>3824</v>
      </c>
      <c r="F1109" s="69" t="s">
        <v>5784</v>
      </c>
      <c r="G1109" s="69" t="s">
        <v>140</v>
      </c>
      <c r="H1109" s="70">
        <v>2016</v>
      </c>
      <c r="I1109" s="69"/>
      <c r="J1109" s="69" t="s">
        <v>5785</v>
      </c>
      <c r="K1109" s="71" t="s">
        <v>5786</v>
      </c>
      <c r="L1109" s="71" t="s">
        <v>5787</v>
      </c>
      <c r="M1109" s="71" t="s">
        <v>5788</v>
      </c>
      <c r="N1109" s="69" t="s">
        <v>57</v>
      </c>
      <c r="O1109" s="64">
        <v>1</v>
      </c>
      <c r="P1109" s="72">
        <v>384520000</v>
      </c>
      <c r="Q1109" s="69" t="s">
        <v>4555</v>
      </c>
      <c r="R1109" s="69"/>
      <c r="S1109" s="121" t="s">
        <v>646</v>
      </c>
      <c r="T1109" s="56">
        <v>29</v>
      </c>
      <c r="U1109" s="56">
        <v>4</v>
      </c>
    </row>
    <row r="1110" spans="1:21" ht="14.25" customHeight="1" thickBot="1" x14ac:dyDescent="0.4">
      <c r="A1110" s="58">
        <v>1094</v>
      </c>
      <c r="B1110" s="69" t="s">
        <v>70</v>
      </c>
      <c r="C1110" s="69" t="s">
        <v>71</v>
      </c>
      <c r="D1110" s="70" t="s">
        <v>319</v>
      </c>
      <c r="E1110" s="69" t="s">
        <v>5789</v>
      </c>
      <c r="F1110" s="69" t="s">
        <v>5790</v>
      </c>
      <c r="G1110" s="69" t="s">
        <v>140</v>
      </c>
      <c r="H1110" s="70">
        <v>2018</v>
      </c>
      <c r="I1110" s="69" t="s">
        <v>63</v>
      </c>
      <c r="J1110" s="69" t="s">
        <v>5791</v>
      </c>
      <c r="K1110" s="71" t="s">
        <v>5792</v>
      </c>
      <c r="L1110" s="71" t="s">
        <v>5793</v>
      </c>
      <c r="M1110" s="71" t="s">
        <v>5794</v>
      </c>
      <c r="N1110" s="69" t="s">
        <v>57</v>
      </c>
      <c r="O1110" s="64">
        <v>1</v>
      </c>
      <c r="P1110" s="72">
        <v>223950000</v>
      </c>
      <c r="Q1110" s="69" t="s">
        <v>5795</v>
      </c>
      <c r="R1110" s="69"/>
      <c r="S1110" s="121" t="s">
        <v>646</v>
      </c>
      <c r="T1110" s="56">
        <v>29</v>
      </c>
      <c r="U1110" s="56">
        <v>4</v>
      </c>
    </row>
    <row r="1111" spans="1:21" ht="14.25" customHeight="1" x14ac:dyDescent="0.35">
      <c r="A1111" s="47">
        <v>1095</v>
      </c>
      <c r="B1111" s="69" t="s">
        <v>70</v>
      </c>
      <c r="C1111" s="69" t="s">
        <v>71</v>
      </c>
      <c r="D1111" s="70" t="s">
        <v>325</v>
      </c>
      <c r="E1111" s="69" t="s">
        <v>3705</v>
      </c>
      <c r="F1111" s="69"/>
      <c r="G1111" s="69" t="s">
        <v>63</v>
      </c>
      <c r="H1111" s="70">
        <v>2024</v>
      </c>
      <c r="I1111" s="69" t="s">
        <v>63</v>
      </c>
      <c r="J1111" s="69" t="s">
        <v>5796</v>
      </c>
      <c r="K1111" s="71" t="s">
        <v>5797</v>
      </c>
      <c r="L1111" s="71" t="s">
        <v>5798</v>
      </c>
      <c r="M1111" s="71" t="s">
        <v>5799</v>
      </c>
      <c r="N1111" s="69" t="s">
        <v>44</v>
      </c>
      <c r="O1111" s="64">
        <v>1</v>
      </c>
      <c r="P1111" s="72">
        <v>478300000</v>
      </c>
      <c r="Q1111" s="69" t="s">
        <v>3710</v>
      </c>
      <c r="R1111" s="69"/>
      <c r="S1111" s="121" t="s">
        <v>646</v>
      </c>
      <c r="T1111" s="56">
        <v>29</v>
      </c>
      <c r="U1111" s="56">
        <v>4</v>
      </c>
    </row>
    <row r="1112" spans="1:21" ht="14.25" customHeight="1" thickBot="1" x14ac:dyDescent="0.4">
      <c r="A1112" s="58">
        <v>1096</v>
      </c>
      <c r="B1112" s="69" t="s">
        <v>70</v>
      </c>
      <c r="C1112" s="69" t="s">
        <v>71</v>
      </c>
      <c r="D1112" s="70" t="s">
        <v>332</v>
      </c>
      <c r="E1112" s="69" t="s">
        <v>2501</v>
      </c>
      <c r="F1112" s="69" t="s">
        <v>1683</v>
      </c>
      <c r="G1112" s="69" t="s">
        <v>140</v>
      </c>
      <c r="H1112" s="70">
        <v>2017</v>
      </c>
      <c r="I1112" s="69" t="s">
        <v>63</v>
      </c>
      <c r="J1112" s="69" t="s">
        <v>5800</v>
      </c>
      <c r="K1112" s="71" t="s">
        <v>5801</v>
      </c>
      <c r="L1112" s="71" t="s">
        <v>5802</v>
      </c>
      <c r="M1112" s="71" t="s">
        <v>5803</v>
      </c>
      <c r="N1112" s="69" t="s">
        <v>57</v>
      </c>
      <c r="O1112" s="64">
        <v>1</v>
      </c>
      <c r="P1112" s="72">
        <v>399250000</v>
      </c>
      <c r="Q1112" s="69" t="s">
        <v>5804</v>
      </c>
      <c r="R1112" s="69"/>
      <c r="S1112" s="121" t="s">
        <v>646</v>
      </c>
      <c r="T1112" s="56">
        <v>29</v>
      </c>
      <c r="U1112" s="56">
        <v>4</v>
      </c>
    </row>
    <row r="1113" spans="1:21" ht="14.25" customHeight="1" x14ac:dyDescent="0.35">
      <c r="A1113" s="47">
        <v>1097</v>
      </c>
      <c r="B1113" s="69" t="s">
        <v>70</v>
      </c>
      <c r="C1113" s="69" t="s">
        <v>71</v>
      </c>
      <c r="D1113" s="70" t="s">
        <v>338</v>
      </c>
      <c r="E1113" s="69" t="s">
        <v>2501</v>
      </c>
      <c r="F1113" s="69" t="s">
        <v>1683</v>
      </c>
      <c r="G1113" s="69" t="s">
        <v>140</v>
      </c>
      <c r="H1113" s="70">
        <v>2017</v>
      </c>
      <c r="I1113" s="69" t="s">
        <v>63</v>
      </c>
      <c r="J1113" s="69" t="s">
        <v>5805</v>
      </c>
      <c r="K1113" s="71" t="s">
        <v>5806</v>
      </c>
      <c r="L1113" s="71" t="s">
        <v>5807</v>
      </c>
      <c r="M1113" s="71" t="s">
        <v>5808</v>
      </c>
      <c r="N1113" s="69" t="s">
        <v>57</v>
      </c>
      <c r="O1113" s="64">
        <v>1</v>
      </c>
      <c r="P1113" s="72">
        <v>399250000</v>
      </c>
      <c r="Q1113" s="69" t="s">
        <v>4555</v>
      </c>
      <c r="R1113" s="69"/>
      <c r="S1113" s="121" t="s">
        <v>646</v>
      </c>
      <c r="T1113" s="56">
        <v>29</v>
      </c>
      <c r="U1113" s="56">
        <v>4</v>
      </c>
    </row>
    <row r="1114" spans="1:21" ht="14.25" customHeight="1" thickBot="1" x14ac:dyDescent="0.4">
      <c r="A1114" s="58">
        <v>1098</v>
      </c>
      <c r="B1114" s="69" t="s">
        <v>79</v>
      </c>
      <c r="C1114" s="69" t="s">
        <v>80</v>
      </c>
      <c r="D1114" s="70" t="s">
        <v>51</v>
      </c>
      <c r="E1114" s="69" t="s">
        <v>2654</v>
      </c>
      <c r="F1114" s="69" t="s">
        <v>1906</v>
      </c>
      <c r="G1114" s="69" t="s">
        <v>54</v>
      </c>
      <c r="H1114" s="70">
        <v>2005</v>
      </c>
      <c r="I1114" s="69"/>
      <c r="J1114" s="69" t="s">
        <v>5809</v>
      </c>
      <c r="K1114" s="71" t="s">
        <v>5810</v>
      </c>
      <c r="L1114" s="71" t="s">
        <v>5811</v>
      </c>
      <c r="M1114" s="71" t="s">
        <v>5812</v>
      </c>
      <c r="N1114" s="69" t="s">
        <v>57</v>
      </c>
      <c r="O1114" s="64">
        <v>1</v>
      </c>
      <c r="P1114" s="72">
        <v>10500000</v>
      </c>
      <c r="Q1114" s="69" t="s">
        <v>5813</v>
      </c>
      <c r="R1114" s="69"/>
      <c r="S1114" s="121" t="s">
        <v>646</v>
      </c>
      <c r="T1114" s="56">
        <v>29</v>
      </c>
      <c r="U1114" s="56">
        <v>3</v>
      </c>
    </row>
    <row r="1115" spans="1:21" ht="14.25" customHeight="1" x14ac:dyDescent="0.35">
      <c r="A1115" s="47">
        <v>1099</v>
      </c>
      <c r="B1115" s="69" t="s">
        <v>79</v>
      </c>
      <c r="C1115" s="69" t="s">
        <v>80</v>
      </c>
      <c r="D1115" s="70" t="s">
        <v>97</v>
      </c>
      <c r="E1115" s="69" t="s">
        <v>2601</v>
      </c>
      <c r="F1115" s="69" t="s">
        <v>171</v>
      </c>
      <c r="G1115" s="69" t="s">
        <v>54</v>
      </c>
      <c r="H1115" s="70">
        <v>2005</v>
      </c>
      <c r="I1115" s="69"/>
      <c r="J1115" s="69" t="s">
        <v>5814</v>
      </c>
      <c r="K1115" s="71" t="s">
        <v>5815</v>
      </c>
      <c r="L1115" s="71" t="s">
        <v>5816</v>
      </c>
      <c r="M1115" s="71"/>
      <c r="N1115" s="69" t="s">
        <v>57</v>
      </c>
      <c r="O1115" s="64">
        <v>1</v>
      </c>
      <c r="P1115" s="72">
        <v>14350000</v>
      </c>
      <c r="Q1115" s="69" t="s">
        <v>5817</v>
      </c>
      <c r="R1115" s="69"/>
      <c r="S1115" s="121" t="s">
        <v>646</v>
      </c>
      <c r="T1115" s="56">
        <v>29</v>
      </c>
      <c r="U1115" s="56">
        <v>3</v>
      </c>
    </row>
    <row r="1116" spans="1:21" ht="14.25" customHeight="1" thickBot="1" x14ac:dyDescent="0.4">
      <c r="A1116" s="58">
        <v>1100</v>
      </c>
      <c r="B1116" s="69" t="s">
        <v>79</v>
      </c>
      <c r="C1116" s="69" t="s">
        <v>80</v>
      </c>
      <c r="D1116" s="70" t="s">
        <v>101</v>
      </c>
      <c r="E1116" s="69" t="s">
        <v>5818</v>
      </c>
      <c r="F1116" s="69" t="s">
        <v>1906</v>
      </c>
      <c r="G1116" s="69" t="s">
        <v>54</v>
      </c>
      <c r="H1116" s="70">
        <v>2005</v>
      </c>
      <c r="I1116" s="69" t="s">
        <v>63</v>
      </c>
      <c r="J1116" s="69" t="s">
        <v>5819</v>
      </c>
      <c r="K1116" s="71" t="s">
        <v>63</v>
      </c>
      <c r="L1116" s="71" t="s">
        <v>5820</v>
      </c>
      <c r="M1116" s="71" t="s">
        <v>63</v>
      </c>
      <c r="N1116" s="69" t="s">
        <v>57</v>
      </c>
      <c r="O1116" s="64">
        <v>1</v>
      </c>
      <c r="P1116" s="72">
        <v>14350000</v>
      </c>
      <c r="Q1116" s="69" t="s">
        <v>5817</v>
      </c>
      <c r="R1116" s="69"/>
      <c r="S1116" s="121" t="s">
        <v>646</v>
      </c>
      <c r="T1116" s="56">
        <v>29</v>
      </c>
      <c r="U1116" s="56">
        <v>3</v>
      </c>
    </row>
    <row r="1117" spans="1:21" ht="14.25" customHeight="1" x14ac:dyDescent="0.35">
      <c r="A1117" s="47">
        <v>1101</v>
      </c>
      <c r="B1117" s="69" t="s">
        <v>79</v>
      </c>
      <c r="C1117" s="69" t="s">
        <v>80</v>
      </c>
      <c r="D1117" s="70" t="s">
        <v>107</v>
      </c>
      <c r="E1117" s="69" t="s">
        <v>3767</v>
      </c>
      <c r="F1117" s="69" t="s">
        <v>148</v>
      </c>
      <c r="G1117" s="69" t="s">
        <v>140</v>
      </c>
      <c r="H1117" s="70">
        <v>2018</v>
      </c>
      <c r="I1117" s="69" t="s">
        <v>63</v>
      </c>
      <c r="J1117" s="69" t="s">
        <v>5821</v>
      </c>
      <c r="K1117" s="71" t="s">
        <v>5822</v>
      </c>
      <c r="L1117" s="71" t="s">
        <v>5823</v>
      </c>
      <c r="M1117" s="71" t="s">
        <v>5824</v>
      </c>
      <c r="N1117" s="69" t="s">
        <v>57</v>
      </c>
      <c r="O1117" s="64">
        <v>1</v>
      </c>
      <c r="P1117" s="72">
        <v>31708000</v>
      </c>
      <c r="Q1117" s="69" t="s">
        <v>168</v>
      </c>
      <c r="R1117" s="69"/>
      <c r="S1117" s="121" t="s">
        <v>646</v>
      </c>
      <c r="T1117" s="56">
        <v>29</v>
      </c>
      <c r="U1117" s="56">
        <v>3</v>
      </c>
    </row>
    <row r="1118" spans="1:21" ht="14.25" customHeight="1" thickBot="1" x14ac:dyDescent="0.4">
      <c r="A1118" s="58">
        <v>1102</v>
      </c>
      <c r="B1118" s="69" t="s">
        <v>79</v>
      </c>
      <c r="C1118" s="69" t="s">
        <v>80</v>
      </c>
      <c r="D1118" s="70" t="s">
        <v>116</v>
      </c>
      <c r="E1118" s="69" t="s">
        <v>594</v>
      </c>
      <c r="F1118" s="69" t="s">
        <v>246</v>
      </c>
      <c r="G1118" s="69" t="s">
        <v>54</v>
      </c>
      <c r="H1118" s="70">
        <v>2008</v>
      </c>
      <c r="I1118" s="69"/>
      <c r="J1118" s="69" t="s">
        <v>5825</v>
      </c>
      <c r="K1118" s="71" t="s">
        <v>5826</v>
      </c>
      <c r="L1118" s="71" t="s">
        <v>5827</v>
      </c>
      <c r="M1118" s="71" t="s">
        <v>5828</v>
      </c>
      <c r="N1118" s="69" t="s">
        <v>57</v>
      </c>
      <c r="O1118" s="64">
        <v>1</v>
      </c>
      <c r="P1118" s="72">
        <v>14200000</v>
      </c>
      <c r="Q1118" s="69" t="s">
        <v>5829</v>
      </c>
      <c r="R1118" s="69"/>
      <c r="S1118" s="121" t="s">
        <v>646</v>
      </c>
      <c r="T1118" s="56">
        <v>29</v>
      </c>
      <c r="U1118" s="56">
        <v>3</v>
      </c>
    </row>
    <row r="1119" spans="1:21" ht="14.25" customHeight="1" x14ac:dyDescent="0.35">
      <c r="A1119" s="47">
        <v>1103</v>
      </c>
      <c r="B1119" s="69" t="s">
        <v>79</v>
      </c>
      <c r="C1119" s="69" t="s">
        <v>80</v>
      </c>
      <c r="D1119" s="70" t="s">
        <v>841</v>
      </c>
      <c r="E1119" s="69" t="s">
        <v>594</v>
      </c>
      <c r="F1119" s="69" t="s">
        <v>246</v>
      </c>
      <c r="G1119" s="69" t="s">
        <v>54</v>
      </c>
      <c r="H1119" s="70">
        <v>2008</v>
      </c>
      <c r="I1119" s="69"/>
      <c r="J1119" s="69" t="s">
        <v>5830</v>
      </c>
      <c r="K1119" s="71" t="s">
        <v>5831</v>
      </c>
      <c r="L1119" s="71" t="s">
        <v>5832</v>
      </c>
      <c r="M1119" s="71" t="s">
        <v>5833</v>
      </c>
      <c r="N1119" s="69" t="s">
        <v>57</v>
      </c>
      <c r="O1119" s="64">
        <v>1</v>
      </c>
      <c r="P1119" s="72">
        <v>14200000</v>
      </c>
      <c r="Q1119" s="69" t="s">
        <v>5829</v>
      </c>
      <c r="R1119" s="69"/>
      <c r="S1119" s="121" t="s">
        <v>646</v>
      </c>
      <c r="T1119" s="56">
        <v>29</v>
      </c>
      <c r="U1119" s="56">
        <v>3</v>
      </c>
    </row>
    <row r="1120" spans="1:21" ht="14.25" customHeight="1" thickBot="1" x14ac:dyDescent="0.4">
      <c r="A1120" s="58">
        <v>1104</v>
      </c>
      <c r="B1120" s="69" t="s">
        <v>79</v>
      </c>
      <c r="C1120" s="69" t="s">
        <v>80</v>
      </c>
      <c r="D1120" s="70" t="s">
        <v>904</v>
      </c>
      <c r="E1120" s="69" t="s">
        <v>594</v>
      </c>
      <c r="F1120" s="69" t="s">
        <v>246</v>
      </c>
      <c r="G1120" s="69" t="s">
        <v>54</v>
      </c>
      <c r="H1120" s="70">
        <v>2008</v>
      </c>
      <c r="I1120" s="69"/>
      <c r="J1120" s="69" t="s">
        <v>5834</v>
      </c>
      <c r="K1120" s="71" t="s">
        <v>5835</v>
      </c>
      <c r="L1120" s="71" t="s">
        <v>5836</v>
      </c>
      <c r="M1120" s="71" t="s">
        <v>5837</v>
      </c>
      <c r="N1120" s="69" t="s">
        <v>57</v>
      </c>
      <c r="O1120" s="64">
        <v>1</v>
      </c>
      <c r="P1120" s="72">
        <v>14200000</v>
      </c>
      <c r="Q1120" s="69" t="s">
        <v>5829</v>
      </c>
      <c r="R1120" s="69"/>
      <c r="S1120" s="121" t="s">
        <v>646</v>
      </c>
      <c r="T1120" s="56">
        <v>29</v>
      </c>
      <c r="U1120" s="56">
        <v>3</v>
      </c>
    </row>
    <row r="1121" spans="1:21" ht="14.25" customHeight="1" x14ac:dyDescent="0.35">
      <c r="A1121" s="47">
        <v>1105</v>
      </c>
      <c r="B1121" s="69" t="s">
        <v>79</v>
      </c>
      <c r="C1121" s="69" t="s">
        <v>80</v>
      </c>
      <c r="D1121" s="70" t="s">
        <v>122</v>
      </c>
      <c r="E1121" s="69" t="s">
        <v>594</v>
      </c>
      <c r="F1121" s="69" t="s">
        <v>246</v>
      </c>
      <c r="G1121" s="69" t="s">
        <v>54</v>
      </c>
      <c r="H1121" s="70">
        <v>2008</v>
      </c>
      <c r="I1121" s="69"/>
      <c r="J1121" s="69" t="s">
        <v>5838</v>
      </c>
      <c r="K1121" s="71" t="s">
        <v>5839</v>
      </c>
      <c r="L1121" s="71" t="s">
        <v>5840</v>
      </c>
      <c r="M1121" s="71" t="s">
        <v>5841</v>
      </c>
      <c r="N1121" s="69" t="s">
        <v>57</v>
      </c>
      <c r="O1121" s="64">
        <v>1</v>
      </c>
      <c r="P1121" s="72">
        <v>14200000</v>
      </c>
      <c r="Q1121" s="69" t="s">
        <v>5842</v>
      </c>
      <c r="R1121" s="69"/>
      <c r="S1121" s="121" t="s">
        <v>646</v>
      </c>
      <c r="T1121" s="56">
        <v>29</v>
      </c>
      <c r="U1121" s="56">
        <v>3</v>
      </c>
    </row>
    <row r="1122" spans="1:21" ht="14.25" customHeight="1" thickBot="1" x14ac:dyDescent="0.4">
      <c r="A1122" s="58">
        <v>1106</v>
      </c>
      <c r="B1122" s="69" t="s">
        <v>79</v>
      </c>
      <c r="C1122" s="69" t="s">
        <v>80</v>
      </c>
      <c r="D1122" s="70" t="s">
        <v>132</v>
      </c>
      <c r="E1122" s="69" t="s">
        <v>5843</v>
      </c>
      <c r="F1122" s="69" t="s">
        <v>483</v>
      </c>
      <c r="G1122" s="69" t="s">
        <v>54</v>
      </c>
      <c r="H1122" s="70">
        <v>2008</v>
      </c>
      <c r="I1122" s="69"/>
      <c r="J1122" s="69" t="s">
        <v>5844</v>
      </c>
      <c r="K1122" s="71" t="s">
        <v>5845</v>
      </c>
      <c r="L1122" s="71" t="s">
        <v>5846</v>
      </c>
      <c r="M1122" s="71" t="s">
        <v>5847</v>
      </c>
      <c r="N1122" s="69" t="s">
        <v>57</v>
      </c>
      <c r="O1122" s="64">
        <v>1</v>
      </c>
      <c r="P1122" s="72">
        <v>19302000</v>
      </c>
      <c r="Q1122" s="69" t="s">
        <v>5848</v>
      </c>
      <c r="R1122" s="69"/>
      <c r="S1122" s="121" t="s">
        <v>646</v>
      </c>
      <c r="T1122" s="56">
        <v>29</v>
      </c>
      <c r="U1122" s="56">
        <v>3</v>
      </c>
    </row>
    <row r="1123" spans="1:21" ht="14.25" customHeight="1" x14ac:dyDescent="0.35">
      <c r="A1123" s="47">
        <v>1107</v>
      </c>
      <c r="B1123" s="69" t="s">
        <v>79</v>
      </c>
      <c r="C1123" s="69" t="s">
        <v>80</v>
      </c>
      <c r="D1123" s="70" t="s">
        <v>137</v>
      </c>
      <c r="E1123" s="69" t="s">
        <v>5843</v>
      </c>
      <c r="F1123" s="69" t="s">
        <v>483</v>
      </c>
      <c r="G1123" s="69" t="s">
        <v>54</v>
      </c>
      <c r="H1123" s="70">
        <v>2008</v>
      </c>
      <c r="I1123" s="69"/>
      <c r="J1123" s="69" t="s">
        <v>5849</v>
      </c>
      <c r="K1123" s="71" t="s">
        <v>5850</v>
      </c>
      <c r="L1123" s="71" t="s">
        <v>5851</v>
      </c>
      <c r="M1123" s="71" t="s">
        <v>5852</v>
      </c>
      <c r="N1123" s="69" t="s">
        <v>57</v>
      </c>
      <c r="O1123" s="64">
        <v>1</v>
      </c>
      <c r="P1123" s="72">
        <v>19302000</v>
      </c>
      <c r="Q1123" s="69" t="s">
        <v>5853</v>
      </c>
      <c r="R1123" s="69"/>
      <c r="S1123" s="121" t="s">
        <v>646</v>
      </c>
      <c r="T1123" s="56">
        <v>29</v>
      </c>
      <c r="U1123" s="56">
        <v>3</v>
      </c>
    </row>
    <row r="1124" spans="1:21" ht="14.25" customHeight="1" thickBot="1" x14ac:dyDescent="0.4">
      <c r="A1124" s="58">
        <v>1108</v>
      </c>
      <c r="B1124" s="69" t="s">
        <v>79</v>
      </c>
      <c r="C1124" s="69" t="s">
        <v>80</v>
      </c>
      <c r="D1124" s="70" t="s">
        <v>146</v>
      </c>
      <c r="E1124" s="69" t="s">
        <v>5843</v>
      </c>
      <c r="F1124" s="69" t="s">
        <v>483</v>
      </c>
      <c r="G1124" s="69" t="s">
        <v>54</v>
      </c>
      <c r="H1124" s="70">
        <v>2008</v>
      </c>
      <c r="I1124" s="69"/>
      <c r="J1124" s="69" t="s">
        <v>5854</v>
      </c>
      <c r="K1124" s="71" t="s">
        <v>5855</v>
      </c>
      <c r="L1124" s="71" t="s">
        <v>5856</v>
      </c>
      <c r="M1124" s="71" t="s">
        <v>5857</v>
      </c>
      <c r="N1124" s="69" t="s">
        <v>57</v>
      </c>
      <c r="O1124" s="64">
        <v>1</v>
      </c>
      <c r="P1124" s="72">
        <v>19302000</v>
      </c>
      <c r="Q1124" s="69" t="s">
        <v>5858</v>
      </c>
      <c r="R1124" s="69"/>
      <c r="S1124" s="121" t="s">
        <v>646</v>
      </c>
      <c r="T1124" s="56">
        <v>29</v>
      </c>
      <c r="U1124" s="56">
        <v>3</v>
      </c>
    </row>
    <row r="1125" spans="1:21" ht="14.25" customHeight="1" x14ac:dyDescent="0.35">
      <c r="A1125" s="47">
        <v>1109</v>
      </c>
      <c r="B1125" s="69" t="s">
        <v>79</v>
      </c>
      <c r="C1125" s="69" t="s">
        <v>80</v>
      </c>
      <c r="D1125" s="70" t="s">
        <v>154</v>
      </c>
      <c r="E1125" s="69" t="s">
        <v>5843</v>
      </c>
      <c r="F1125" s="69" t="s">
        <v>483</v>
      </c>
      <c r="G1125" s="69" t="s">
        <v>54</v>
      </c>
      <c r="H1125" s="70">
        <v>2008</v>
      </c>
      <c r="I1125" s="69"/>
      <c r="J1125" s="69" t="s">
        <v>5859</v>
      </c>
      <c r="K1125" s="71" t="s">
        <v>5860</v>
      </c>
      <c r="L1125" s="71" t="s">
        <v>5861</v>
      </c>
      <c r="M1125" s="71" t="s">
        <v>5862</v>
      </c>
      <c r="N1125" s="69" t="s">
        <v>57</v>
      </c>
      <c r="O1125" s="64">
        <v>1</v>
      </c>
      <c r="P1125" s="72">
        <v>19302000</v>
      </c>
      <c r="Q1125" s="69" t="s">
        <v>5863</v>
      </c>
      <c r="R1125" s="69"/>
      <c r="S1125" s="121" t="s">
        <v>646</v>
      </c>
      <c r="T1125" s="56">
        <v>29</v>
      </c>
      <c r="U1125" s="56">
        <v>3</v>
      </c>
    </row>
    <row r="1126" spans="1:21" ht="14.25" customHeight="1" thickBot="1" x14ac:dyDescent="0.4">
      <c r="A1126" s="58">
        <v>1110</v>
      </c>
      <c r="B1126" s="69" t="s">
        <v>79</v>
      </c>
      <c r="C1126" s="69" t="s">
        <v>80</v>
      </c>
      <c r="D1126" s="70" t="s">
        <v>161</v>
      </c>
      <c r="E1126" s="69" t="s">
        <v>5843</v>
      </c>
      <c r="F1126" s="69" t="s">
        <v>483</v>
      </c>
      <c r="G1126" s="69" t="s">
        <v>54</v>
      </c>
      <c r="H1126" s="70">
        <v>2008</v>
      </c>
      <c r="I1126" s="69"/>
      <c r="J1126" s="69" t="s">
        <v>5864</v>
      </c>
      <c r="K1126" s="71" t="s">
        <v>5865</v>
      </c>
      <c r="L1126" s="71" t="s">
        <v>5866</v>
      </c>
      <c r="M1126" s="71" t="s">
        <v>5867</v>
      </c>
      <c r="N1126" s="69" t="s">
        <v>57</v>
      </c>
      <c r="O1126" s="64">
        <v>1</v>
      </c>
      <c r="P1126" s="72">
        <v>19302000</v>
      </c>
      <c r="Q1126" s="69" t="s">
        <v>5868</v>
      </c>
      <c r="R1126" s="69"/>
      <c r="S1126" s="121" t="s">
        <v>646</v>
      </c>
      <c r="T1126" s="56">
        <v>29</v>
      </c>
      <c r="U1126" s="56">
        <v>3</v>
      </c>
    </row>
    <row r="1127" spans="1:21" ht="14.25" customHeight="1" x14ac:dyDescent="0.35">
      <c r="A1127" s="47">
        <v>1111</v>
      </c>
      <c r="B1127" s="69" t="s">
        <v>79</v>
      </c>
      <c r="C1127" s="69" t="s">
        <v>80</v>
      </c>
      <c r="D1127" s="70" t="s">
        <v>176</v>
      </c>
      <c r="E1127" s="69" t="s">
        <v>5843</v>
      </c>
      <c r="F1127" s="69" t="s">
        <v>483</v>
      </c>
      <c r="G1127" s="69" t="s">
        <v>54</v>
      </c>
      <c r="H1127" s="70">
        <v>2008</v>
      </c>
      <c r="I1127" s="69"/>
      <c r="J1127" s="69" t="s">
        <v>5869</v>
      </c>
      <c r="K1127" s="71" t="s">
        <v>5855</v>
      </c>
      <c r="L1127" s="71" t="s">
        <v>5870</v>
      </c>
      <c r="M1127" s="71" t="s">
        <v>5871</v>
      </c>
      <c r="N1127" s="69" t="s">
        <v>57</v>
      </c>
      <c r="O1127" s="64">
        <v>1</v>
      </c>
      <c r="P1127" s="72">
        <v>19302000</v>
      </c>
      <c r="Q1127" s="69" t="s">
        <v>5872</v>
      </c>
      <c r="R1127" s="69"/>
      <c r="S1127" s="121" t="s">
        <v>646</v>
      </c>
      <c r="T1127" s="56">
        <v>29</v>
      </c>
      <c r="U1127" s="56">
        <v>3</v>
      </c>
    </row>
    <row r="1128" spans="1:21" ht="14.25" customHeight="1" thickBot="1" x14ac:dyDescent="0.4">
      <c r="A1128" s="58">
        <v>1112</v>
      </c>
      <c r="B1128" s="69" t="s">
        <v>79</v>
      </c>
      <c r="C1128" s="69" t="s">
        <v>80</v>
      </c>
      <c r="D1128" s="70" t="s">
        <v>1236</v>
      </c>
      <c r="E1128" s="69" t="s">
        <v>5843</v>
      </c>
      <c r="F1128" s="69" t="s">
        <v>483</v>
      </c>
      <c r="G1128" s="69" t="s">
        <v>54</v>
      </c>
      <c r="H1128" s="70">
        <v>2008</v>
      </c>
      <c r="I1128" s="69"/>
      <c r="J1128" s="69" t="s">
        <v>5873</v>
      </c>
      <c r="K1128" s="71" t="s">
        <v>5874</v>
      </c>
      <c r="L1128" s="71" t="s">
        <v>5875</v>
      </c>
      <c r="M1128" s="71" t="s">
        <v>5876</v>
      </c>
      <c r="N1128" s="69" t="s">
        <v>57</v>
      </c>
      <c r="O1128" s="64">
        <v>1</v>
      </c>
      <c r="P1128" s="72">
        <v>19302000</v>
      </c>
      <c r="Q1128" s="69" t="s">
        <v>5877</v>
      </c>
      <c r="R1128" s="69"/>
      <c r="S1128" s="121" t="s">
        <v>646</v>
      </c>
      <c r="T1128" s="56">
        <v>29</v>
      </c>
      <c r="U1128" s="56">
        <v>3</v>
      </c>
    </row>
    <row r="1129" spans="1:21" ht="14.25" customHeight="1" x14ac:dyDescent="0.35">
      <c r="A1129" s="47">
        <v>1113</v>
      </c>
      <c r="B1129" s="69" t="s">
        <v>79</v>
      </c>
      <c r="C1129" s="69" t="s">
        <v>80</v>
      </c>
      <c r="D1129" s="70" t="s">
        <v>181</v>
      </c>
      <c r="E1129" s="69" t="s">
        <v>5843</v>
      </c>
      <c r="F1129" s="69" t="s">
        <v>483</v>
      </c>
      <c r="G1129" s="69" t="s">
        <v>54</v>
      </c>
      <c r="H1129" s="70">
        <v>2008</v>
      </c>
      <c r="I1129" s="69"/>
      <c r="J1129" s="69" t="s">
        <v>5878</v>
      </c>
      <c r="K1129" s="71" t="s">
        <v>5879</v>
      </c>
      <c r="L1129" s="71" t="s">
        <v>5880</v>
      </c>
      <c r="M1129" s="71" t="s">
        <v>5881</v>
      </c>
      <c r="N1129" s="69" t="s">
        <v>57</v>
      </c>
      <c r="O1129" s="64">
        <v>1</v>
      </c>
      <c r="P1129" s="72">
        <v>19302000</v>
      </c>
      <c r="Q1129" s="69" t="s">
        <v>5882</v>
      </c>
      <c r="R1129" s="69"/>
      <c r="S1129" s="121" t="s">
        <v>646</v>
      </c>
      <c r="T1129" s="56">
        <v>29</v>
      </c>
      <c r="U1129" s="56">
        <v>3</v>
      </c>
    </row>
    <row r="1130" spans="1:21" ht="14.25" customHeight="1" thickBot="1" x14ac:dyDescent="0.4">
      <c r="A1130" s="58">
        <v>1114</v>
      </c>
      <c r="B1130" s="69" t="s">
        <v>79</v>
      </c>
      <c r="C1130" s="69" t="s">
        <v>80</v>
      </c>
      <c r="D1130" s="70" t="s">
        <v>187</v>
      </c>
      <c r="E1130" s="69" t="s">
        <v>5843</v>
      </c>
      <c r="F1130" s="69" t="s">
        <v>483</v>
      </c>
      <c r="G1130" s="69" t="s">
        <v>54</v>
      </c>
      <c r="H1130" s="70">
        <v>2008</v>
      </c>
      <c r="I1130" s="69"/>
      <c r="J1130" s="69" t="s">
        <v>5883</v>
      </c>
      <c r="K1130" s="71" t="s">
        <v>5884</v>
      </c>
      <c r="L1130" s="71" t="s">
        <v>5885</v>
      </c>
      <c r="M1130" s="71" t="s">
        <v>5886</v>
      </c>
      <c r="N1130" s="69" t="s">
        <v>57</v>
      </c>
      <c r="O1130" s="64">
        <v>1</v>
      </c>
      <c r="P1130" s="72">
        <v>19302000</v>
      </c>
      <c r="Q1130" s="69" t="s">
        <v>5887</v>
      </c>
      <c r="R1130" s="69"/>
      <c r="S1130" s="121" t="s">
        <v>646</v>
      </c>
      <c r="T1130" s="56">
        <v>29</v>
      </c>
      <c r="U1130" s="56">
        <v>3</v>
      </c>
    </row>
    <row r="1131" spans="1:21" ht="14.25" customHeight="1" x14ac:dyDescent="0.35">
      <c r="A1131" s="47">
        <v>1115</v>
      </c>
      <c r="B1131" s="69" t="s">
        <v>79</v>
      </c>
      <c r="C1131" s="69" t="s">
        <v>80</v>
      </c>
      <c r="D1131" s="70" t="s">
        <v>190</v>
      </c>
      <c r="E1131" s="69" t="s">
        <v>5843</v>
      </c>
      <c r="F1131" s="69" t="s">
        <v>483</v>
      </c>
      <c r="G1131" s="69" t="s">
        <v>54</v>
      </c>
      <c r="H1131" s="70">
        <v>2008</v>
      </c>
      <c r="I1131" s="69"/>
      <c r="J1131" s="69" t="s">
        <v>5888</v>
      </c>
      <c r="K1131" s="71" t="s">
        <v>5889</v>
      </c>
      <c r="L1131" s="71" t="s">
        <v>5890</v>
      </c>
      <c r="M1131" s="71" t="s">
        <v>5891</v>
      </c>
      <c r="N1131" s="69" t="s">
        <v>57</v>
      </c>
      <c r="O1131" s="64">
        <v>1</v>
      </c>
      <c r="P1131" s="72">
        <v>19302000</v>
      </c>
      <c r="Q1131" s="69" t="s">
        <v>5892</v>
      </c>
      <c r="R1131" s="69"/>
      <c r="S1131" s="121" t="s">
        <v>646</v>
      </c>
      <c r="T1131" s="56">
        <v>29</v>
      </c>
      <c r="U1131" s="56">
        <v>3</v>
      </c>
    </row>
    <row r="1132" spans="1:21" ht="14.25" customHeight="1" thickBot="1" x14ac:dyDescent="0.4">
      <c r="A1132" s="58">
        <v>1116</v>
      </c>
      <c r="B1132" s="69" t="s">
        <v>79</v>
      </c>
      <c r="C1132" s="69" t="s">
        <v>80</v>
      </c>
      <c r="D1132" s="70" t="s">
        <v>192</v>
      </c>
      <c r="E1132" s="69" t="s">
        <v>5843</v>
      </c>
      <c r="F1132" s="69" t="s">
        <v>483</v>
      </c>
      <c r="G1132" s="69" t="s">
        <v>54</v>
      </c>
      <c r="H1132" s="70">
        <v>2008</v>
      </c>
      <c r="I1132" s="69"/>
      <c r="J1132" s="69" t="s">
        <v>5893</v>
      </c>
      <c r="K1132" s="71" t="s">
        <v>5894</v>
      </c>
      <c r="L1132" s="71" t="s">
        <v>5895</v>
      </c>
      <c r="M1132" s="71" t="s">
        <v>5896</v>
      </c>
      <c r="N1132" s="69" t="s">
        <v>57</v>
      </c>
      <c r="O1132" s="64">
        <v>1</v>
      </c>
      <c r="P1132" s="72">
        <v>19302000</v>
      </c>
      <c r="Q1132" s="69" t="s">
        <v>5897</v>
      </c>
      <c r="R1132" s="69"/>
      <c r="S1132" s="121" t="s">
        <v>646</v>
      </c>
      <c r="T1132" s="56">
        <v>29</v>
      </c>
      <c r="U1132" s="56">
        <v>3</v>
      </c>
    </row>
    <row r="1133" spans="1:21" ht="14.25" customHeight="1" x14ac:dyDescent="0.35">
      <c r="A1133" s="47">
        <v>1117</v>
      </c>
      <c r="B1133" s="69" t="s">
        <v>79</v>
      </c>
      <c r="C1133" s="69" t="s">
        <v>80</v>
      </c>
      <c r="D1133" s="70" t="s">
        <v>194</v>
      </c>
      <c r="E1133" s="69" t="s">
        <v>5843</v>
      </c>
      <c r="F1133" s="69" t="s">
        <v>483</v>
      </c>
      <c r="G1133" s="69" t="s">
        <v>54</v>
      </c>
      <c r="H1133" s="70">
        <v>2008</v>
      </c>
      <c r="I1133" s="69"/>
      <c r="J1133" s="69" t="s">
        <v>5898</v>
      </c>
      <c r="K1133" s="71" t="s">
        <v>5899</v>
      </c>
      <c r="L1133" s="71" t="s">
        <v>5900</v>
      </c>
      <c r="M1133" s="71" t="s">
        <v>5901</v>
      </c>
      <c r="N1133" s="69" t="s">
        <v>57</v>
      </c>
      <c r="O1133" s="64">
        <v>1</v>
      </c>
      <c r="P1133" s="72">
        <v>19302000</v>
      </c>
      <c r="Q1133" s="69" t="s">
        <v>5902</v>
      </c>
      <c r="R1133" s="69"/>
      <c r="S1133" s="121" t="s">
        <v>646</v>
      </c>
      <c r="T1133" s="56">
        <v>29</v>
      </c>
      <c r="U1133" s="56">
        <v>3</v>
      </c>
    </row>
    <row r="1134" spans="1:21" ht="14.25" customHeight="1" thickBot="1" x14ac:dyDescent="0.4">
      <c r="A1134" s="58">
        <v>1118</v>
      </c>
      <c r="B1134" s="69" t="s">
        <v>79</v>
      </c>
      <c r="C1134" s="69" t="s">
        <v>80</v>
      </c>
      <c r="D1134" s="70" t="s">
        <v>195</v>
      </c>
      <c r="E1134" s="69" t="s">
        <v>5843</v>
      </c>
      <c r="F1134" s="69" t="s">
        <v>483</v>
      </c>
      <c r="G1134" s="69" t="s">
        <v>54</v>
      </c>
      <c r="H1134" s="70">
        <v>2008</v>
      </c>
      <c r="I1134" s="69"/>
      <c r="J1134" s="69" t="s">
        <v>5903</v>
      </c>
      <c r="K1134" s="71" t="s">
        <v>5904</v>
      </c>
      <c r="L1134" s="71" t="s">
        <v>5905</v>
      </c>
      <c r="M1134" s="71" t="s">
        <v>5906</v>
      </c>
      <c r="N1134" s="69" t="s">
        <v>57</v>
      </c>
      <c r="O1134" s="64">
        <v>1</v>
      </c>
      <c r="P1134" s="72">
        <v>19302000</v>
      </c>
      <c r="Q1134" s="69" t="s">
        <v>5907</v>
      </c>
      <c r="R1134" s="69"/>
      <c r="S1134" s="121" t="s">
        <v>646</v>
      </c>
      <c r="T1134" s="56">
        <v>29</v>
      </c>
      <c r="U1134" s="56">
        <v>3</v>
      </c>
    </row>
    <row r="1135" spans="1:21" ht="14.25" customHeight="1" x14ac:dyDescent="0.35">
      <c r="A1135" s="47">
        <v>1119</v>
      </c>
      <c r="B1135" s="69" t="s">
        <v>79</v>
      </c>
      <c r="C1135" s="69" t="s">
        <v>80</v>
      </c>
      <c r="D1135" s="70" t="s">
        <v>199</v>
      </c>
      <c r="E1135" s="69" t="s">
        <v>5843</v>
      </c>
      <c r="F1135" s="69" t="s">
        <v>483</v>
      </c>
      <c r="G1135" s="69" t="s">
        <v>54</v>
      </c>
      <c r="H1135" s="70">
        <v>2008</v>
      </c>
      <c r="I1135" s="69"/>
      <c r="J1135" s="69" t="s">
        <v>5908</v>
      </c>
      <c r="K1135" s="71" t="s">
        <v>5909</v>
      </c>
      <c r="L1135" s="71" t="s">
        <v>5910</v>
      </c>
      <c r="M1135" s="71" t="s">
        <v>5911</v>
      </c>
      <c r="N1135" s="69" t="s">
        <v>57</v>
      </c>
      <c r="O1135" s="64">
        <v>1</v>
      </c>
      <c r="P1135" s="72">
        <v>19302000</v>
      </c>
      <c r="Q1135" s="69" t="s">
        <v>5912</v>
      </c>
      <c r="R1135" s="69"/>
      <c r="S1135" s="121" t="s">
        <v>646</v>
      </c>
      <c r="T1135" s="56">
        <v>29</v>
      </c>
      <c r="U1135" s="56">
        <v>3</v>
      </c>
    </row>
    <row r="1136" spans="1:21" ht="14.25" customHeight="1" thickBot="1" x14ac:dyDescent="0.4">
      <c r="A1136" s="58">
        <v>1120</v>
      </c>
      <c r="B1136" s="69" t="s">
        <v>79</v>
      </c>
      <c r="C1136" s="69" t="s">
        <v>80</v>
      </c>
      <c r="D1136" s="70" t="s">
        <v>200</v>
      </c>
      <c r="E1136" s="69" t="s">
        <v>5843</v>
      </c>
      <c r="F1136" s="69" t="s">
        <v>483</v>
      </c>
      <c r="G1136" s="69" t="s">
        <v>54</v>
      </c>
      <c r="H1136" s="70">
        <v>2008</v>
      </c>
      <c r="I1136" s="69"/>
      <c r="J1136" s="69" t="s">
        <v>5913</v>
      </c>
      <c r="K1136" s="71" t="s">
        <v>5914</v>
      </c>
      <c r="L1136" s="71" t="s">
        <v>5915</v>
      </c>
      <c r="M1136" s="71" t="s">
        <v>5916</v>
      </c>
      <c r="N1136" s="69" t="s">
        <v>57</v>
      </c>
      <c r="O1136" s="64">
        <v>1</v>
      </c>
      <c r="P1136" s="72">
        <v>19302000</v>
      </c>
      <c r="Q1136" s="69" t="s">
        <v>5917</v>
      </c>
      <c r="R1136" s="69"/>
      <c r="S1136" s="121" t="s">
        <v>646</v>
      </c>
      <c r="T1136" s="56">
        <v>29</v>
      </c>
      <c r="U1136" s="56">
        <v>3</v>
      </c>
    </row>
    <row r="1137" spans="1:21" ht="14.25" customHeight="1" x14ac:dyDescent="0.35">
      <c r="A1137" s="47">
        <v>1121</v>
      </c>
      <c r="B1137" s="69" t="s">
        <v>79</v>
      </c>
      <c r="C1137" s="69" t="s">
        <v>80</v>
      </c>
      <c r="D1137" s="70" t="s">
        <v>209</v>
      </c>
      <c r="E1137" s="69" t="s">
        <v>5843</v>
      </c>
      <c r="F1137" s="69" t="s">
        <v>483</v>
      </c>
      <c r="G1137" s="69" t="s">
        <v>54</v>
      </c>
      <c r="H1137" s="70">
        <v>2008</v>
      </c>
      <c r="I1137" s="69"/>
      <c r="J1137" s="69" t="s">
        <v>5918</v>
      </c>
      <c r="K1137" s="71" t="s">
        <v>5919</v>
      </c>
      <c r="L1137" s="71" t="s">
        <v>5920</v>
      </c>
      <c r="M1137" s="71" t="s">
        <v>5921</v>
      </c>
      <c r="N1137" s="69" t="s">
        <v>57</v>
      </c>
      <c r="O1137" s="64">
        <v>1</v>
      </c>
      <c r="P1137" s="72">
        <v>19302000</v>
      </c>
      <c r="Q1137" s="69" t="s">
        <v>5922</v>
      </c>
      <c r="R1137" s="69"/>
      <c r="S1137" s="121" t="s">
        <v>646</v>
      </c>
      <c r="T1137" s="56">
        <v>29</v>
      </c>
      <c r="U1137" s="56">
        <v>3</v>
      </c>
    </row>
    <row r="1138" spans="1:21" ht="14.25" customHeight="1" thickBot="1" x14ac:dyDescent="0.4">
      <c r="A1138" s="58">
        <v>1122</v>
      </c>
      <c r="B1138" s="69" t="s">
        <v>79</v>
      </c>
      <c r="C1138" s="69" t="s">
        <v>80</v>
      </c>
      <c r="D1138" s="70" t="s">
        <v>215</v>
      </c>
      <c r="E1138" s="69" t="s">
        <v>5843</v>
      </c>
      <c r="F1138" s="69" t="s">
        <v>483</v>
      </c>
      <c r="G1138" s="69" t="s">
        <v>54</v>
      </c>
      <c r="H1138" s="70">
        <v>2008</v>
      </c>
      <c r="I1138" s="69"/>
      <c r="J1138" s="69" t="s">
        <v>5923</v>
      </c>
      <c r="K1138" s="71" t="s">
        <v>5924</v>
      </c>
      <c r="L1138" s="71" t="s">
        <v>5925</v>
      </c>
      <c r="M1138" s="71" t="s">
        <v>5926</v>
      </c>
      <c r="N1138" s="69" t="s">
        <v>57</v>
      </c>
      <c r="O1138" s="64">
        <v>1</v>
      </c>
      <c r="P1138" s="72">
        <v>19302000</v>
      </c>
      <c r="Q1138" s="69" t="s">
        <v>5927</v>
      </c>
      <c r="R1138" s="69"/>
      <c r="S1138" s="121" t="s">
        <v>646</v>
      </c>
      <c r="T1138" s="56">
        <v>29</v>
      </c>
      <c r="U1138" s="56">
        <v>3</v>
      </c>
    </row>
    <row r="1139" spans="1:21" ht="14.25" customHeight="1" x14ac:dyDescent="0.35">
      <c r="A1139" s="47">
        <v>1123</v>
      </c>
      <c r="B1139" s="69" t="s">
        <v>79</v>
      </c>
      <c r="C1139" s="69" t="s">
        <v>80</v>
      </c>
      <c r="D1139" s="70" t="s">
        <v>223</v>
      </c>
      <c r="E1139" s="69" t="s">
        <v>5843</v>
      </c>
      <c r="F1139" s="69" t="s">
        <v>483</v>
      </c>
      <c r="G1139" s="69" t="s">
        <v>54</v>
      </c>
      <c r="H1139" s="70">
        <v>2008</v>
      </c>
      <c r="I1139" s="69"/>
      <c r="J1139" s="69" t="s">
        <v>5928</v>
      </c>
      <c r="K1139" s="71" t="s">
        <v>5929</v>
      </c>
      <c r="L1139" s="71" t="s">
        <v>5930</v>
      </c>
      <c r="M1139" s="71" t="s">
        <v>5931</v>
      </c>
      <c r="N1139" s="69" t="s">
        <v>57</v>
      </c>
      <c r="O1139" s="64">
        <v>1</v>
      </c>
      <c r="P1139" s="72">
        <v>19302000</v>
      </c>
      <c r="Q1139" s="69" t="s">
        <v>5932</v>
      </c>
      <c r="R1139" s="69"/>
      <c r="S1139" s="121" t="s">
        <v>646</v>
      </c>
      <c r="T1139" s="56">
        <v>29</v>
      </c>
      <c r="U1139" s="56">
        <v>3</v>
      </c>
    </row>
    <row r="1140" spans="1:21" ht="14.25" customHeight="1" thickBot="1" x14ac:dyDescent="0.4">
      <c r="A1140" s="58">
        <v>1124</v>
      </c>
      <c r="B1140" s="69" t="s">
        <v>79</v>
      </c>
      <c r="C1140" s="69" t="s">
        <v>80</v>
      </c>
      <c r="D1140" s="70" t="s">
        <v>253</v>
      </c>
      <c r="E1140" s="69" t="s">
        <v>2574</v>
      </c>
      <c r="F1140" s="69" t="s">
        <v>88</v>
      </c>
      <c r="G1140" s="69" t="s">
        <v>140</v>
      </c>
      <c r="H1140" s="70">
        <v>2015</v>
      </c>
      <c r="I1140" s="69"/>
      <c r="J1140" s="69" t="s">
        <v>5933</v>
      </c>
      <c r="K1140" s="71" t="s">
        <v>5934</v>
      </c>
      <c r="L1140" s="71" t="s">
        <v>5935</v>
      </c>
      <c r="M1140" s="71" t="s">
        <v>5936</v>
      </c>
      <c r="N1140" s="69" t="s">
        <v>57</v>
      </c>
      <c r="O1140" s="64">
        <v>1</v>
      </c>
      <c r="P1140" s="72">
        <v>16898000</v>
      </c>
      <c r="Q1140" s="69" t="s">
        <v>5937</v>
      </c>
      <c r="R1140" s="69"/>
      <c r="S1140" s="121" t="s">
        <v>646</v>
      </c>
      <c r="T1140" s="56">
        <v>29</v>
      </c>
      <c r="U1140" s="56">
        <v>3</v>
      </c>
    </row>
    <row r="1141" spans="1:21" ht="14.25" customHeight="1" x14ac:dyDescent="0.35">
      <c r="A1141" s="47">
        <v>1125</v>
      </c>
      <c r="B1141" s="69" t="s">
        <v>79</v>
      </c>
      <c r="C1141" s="69" t="s">
        <v>80</v>
      </c>
      <c r="D1141" s="70" t="s">
        <v>259</v>
      </c>
      <c r="E1141" s="69" t="s">
        <v>2574</v>
      </c>
      <c r="F1141" s="69" t="s">
        <v>88</v>
      </c>
      <c r="G1141" s="69" t="s">
        <v>140</v>
      </c>
      <c r="H1141" s="70">
        <v>2015</v>
      </c>
      <c r="I1141" s="69"/>
      <c r="J1141" s="69" t="s">
        <v>5938</v>
      </c>
      <c r="K1141" s="71" t="s">
        <v>5939</v>
      </c>
      <c r="L1141" s="71" t="s">
        <v>5940</v>
      </c>
      <c r="M1141" s="71" t="s">
        <v>5941</v>
      </c>
      <c r="N1141" s="69" t="s">
        <v>57</v>
      </c>
      <c r="O1141" s="64">
        <v>1</v>
      </c>
      <c r="P1141" s="72">
        <v>16898000</v>
      </c>
      <c r="Q1141" s="69" t="s">
        <v>5942</v>
      </c>
      <c r="R1141" s="69"/>
      <c r="S1141" s="121" t="s">
        <v>646</v>
      </c>
      <c r="T1141" s="56">
        <v>29</v>
      </c>
      <c r="U1141" s="56">
        <v>3</v>
      </c>
    </row>
    <row r="1142" spans="1:21" ht="14.25" customHeight="1" thickBot="1" x14ac:dyDescent="0.4">
      <c r="A1142" s="58">
        <v>1126</v>
      </c>
      <c r="B1142" s="69" t="s">
        <v>79</v>
      </c>
      <c r="C1142" s="69" t="s">
        <v>80</v>
      </c>
      <c r="D1142" s="70" t="s">
        <v>264</v>
      </c>
      <c r="E1142" s="69" t="s">
        <v>4038</v>
      </c>
      <c r="F1142" s="69" t="s">
        <v>4039</v>
      </c>
      <c r="G1142" s="69" t="s">
        <v>140</v>
      </c>
      <c r="H1142" s="70">
        <v>2015</v>
      </c>
      <c r="I1142" s="69"/>
      <c r="J1142" s="69" t="s">
        <v>5943</v>
      </c>
      <c r="K1142" s="71" t="s">
        <v>5944</v>
      </c>
      <c r="L1142" s="71" t="s">
        <v>5945</v>
      </c>
      <c r="M1142" s="71" t="s">
        <v>5946</v>
      </c>
      <c r="N1142" s="69" t="s">
        <v>57</v>
      </c>
      <c r="O1142" s="64">
        <v>1</v>
      </c>
      <c r="P1142" s="72">
        <v>18976000</v>
      </c>
      <c r="Q1142" s="69" t="s">
        <v>5947</v>
      </c>
      <c r="R1142" s="69"/>
      <c r="S1142" s="121" t="s">
        <v>646</v>
      </c>
      <c r="T1142" s="56">
        <v>29</v>
      </c>
      <c r="U1142" s="56">
        <v>3</v>
      </c>
    </row>
    <row r="1143" spans="1:21" ht="14.25" customHeight="1" x14ac:dyDescent="0.35">
      <c r="A1143" s="47">
        <v>1127</v>
      </c>
      <c r="B1143" s="69" t="s">
        <v>79</v>
      </c>
      <c r="C1143" s="69" t="s">
        <v>80</v>
      </c>
      <c r="D1143" s="70" t="s">
        <v>269</v>
      </c>
      <c r="E1143" s="69" t="s">
        <v>3779</v>
      </c>
      <c r="F1143" s="69" t="s">
        <v>88</v>
      </c>
      <c r="G1143" s="69" t="s">
        <v>140</v>
      </c>
      <c r="H1143" s="70">
        <v>2018</v>
      </c>
      <c r="I1143" s="69" t="s">
        <v>63</v>
      </c>
      <c r="J1143" s="69" t="s">
        <v>5948</v>
      </c>
      <c r="K1143" s="71" t="s">
        <v>5949</v>
      </c>
      <c r="L1143" s="71" t="s">
        <v>5950</v>
      </c>
      <c r="M1143" s="71" t="s">
        <v>5951</v>
      </c>
      <c r="N1143" s="69" t="s">
        <v>57</v>
      </c>
      <c r="O1143" s="64">
        <v>1</v>
      </c>
      <c r="P1143" s="72">
        <v>19471200</v>
      </c>
      <c r="Q1143" s="69" t="s">
        <v>168</v>
      </c>
      <c r="R1143" s="69"/>
      <c r="S1143" s="121" t="s">
        <v>646</v>
      </c>
      <c r="T1143" s="56">
        <v>29</v>
      </c>
      <c r="U1143" s="56">
        <v>3</v>
      </c>
    </row>
    <row r="1144" spans="1:21" ht="14.25" customHeight="1" thickBot="1" x14ac:dyDescent="0.4">
      <c r="A1144" s="58">
        <v>1128</v>
      </c>
      <c r="B1144" s="69" t="s">
        <v>79</v>
      </c>
      <c r="C1144" s="69" t="s">
        <v>80</v>
      </c>
      <c r="D1144" s="70" t="s">
        <v>274</v>
      </c>
      <c r="E1144" s="69" t="s">
        <v>3779</v>
      </c>
      <c r="F1144" s="69" t="s">
        <v>88</v>
      </c>
      <c r="G1144" s="69" t="s">
        <v>140</v>
      </c>
      <c r="H1144" s="70">
        <v>2018</v>
      </c>
      <c r="I1144" s="69" t="s">
        <v>63</v>
      </c>
      <c r="J1144" s="69" t="s">
        <v>5952</v>
      </c>
      <c r="K1144" s="71" t="s">
        <v>5953</v>
      </c>
      <c r="L1144" s="71" t="s">
        <v>5954</v>
      </c>
      <c r="M1144" s="71" t="s">
        <v>5955</v>
      </c>
      <c r="N1144" s="69" t="s">
        <v>57</v>
      </c>
      <c r="O1144" s="64">
        <v>1</v>
      </c>
      <c r="P1144" s="72">
        <v>19471200</v>
      </c>
      <c r="Q1144" s="69" t="s">
        <v>168</v>
      </c>
      <c r="R1144" s="69"/>
      <c r="S1144" s="121" t="s">
        <v>646</v>
      </c>
      <c r="T1144" s="56">
        <v>29</v>
      </c>
      <c r="U1144" s="56">
        <v>3</v>
      </c>
    </row>
    <row r="1145" spans="1:21" ht="14.25" customHeight="1" x14ac:dyDescent="0.35">
      <c r="A1145" s="47">
        <v>1129</v>
      </c>
      <c r="B1145" s="69" t="s">
        <v>79</v>
      </c>
      <c r="C1145" s="69" t="s">
        <v>80</v>
      </c>
      <c r="D1145" s="70" t="s">
        <v>280</v>
      </c>
      <c r="E1145" s="69" t="s">
        <v>3779</v>
      </c>
      <c r="F1145" s="69" t="s">
        <v>88</v>
      </c>
      <c r="G1145" s="69" t="s">
        <v>140</v>
      </c>
      <c r="H1145" s="70">
        <v>2018</v>
      </c>
      <c r="I1145" s="69" t="s">
        <v>63</v>
      </c>
      <c r="J1145" s="69" t="s">
        <v>5956</v>
      </c>
      <c r="K1145" s="71" t="s">
        <v>5957</v>
      </c>
      <c r="L1145" s="71" t="s">
        <v>5958</v>
      </c>
      <c r="M1145" s="71" t="s">
        <v>63</v>
      </c>
      <c r="N1145" s="69" t="s">
        <v>57</v>
      </c>
      <c r="O1145" s="64">
        <v>1</v>
      </c>
      <c r="P1145" s="72">
        <v>19471200</v>
      </c>
      <c r="Q1145" s="69" t="s">
        <v>168</v>
      </c>
      <c r="R1145" s="69"/>
      <c r="S1145" s="121" t="s">
        <v>646</v>
      </c>
      <c r="T1145" s="56">
        <v>29</v>
      </c>
      <c r="U1145" s="56">
        <v>3</v>
      </c>
    </row>
    <row r="1146" spans="1:21" ht="14.25" customHeight="1" thickBot="1" x14ac:dyDescent="0.4">
      <c r="A1146" s="58">
        <v>1130</v>
      </c>
      <c r="B1146" s="69" t="s">
        <v>79</v>
      </c>
      <c r="C1146" s="69" t="s">
        <v>80</v>
      </c>
      <c r="D1146" s="70" t="s">
        <v>286</v>
      </c>
      <c r="E1146" s="69" t="s">
        <v>3779</v>
      </c>
      <c r="F1146" s="69" t="s">
        <v>88</v>
      </c>
      <c r="G1146" s="69" t="s">
        <v>140</v>
      </c>
      <c r="H1146" s="70">
        <v>2018</v>
      </c>
      <c r="I1146" s="69" t="s">
        <v>63</v>
      </c>
      <c r="J1146" s="69" t="s">
        <v>5959</v>
      </c>
      <c r="K1146" s="71" t="s">
        <v>5960</v>
      </c>
      <c r="L1146" s="71" t="s">
        <v>5961</v>
      </c>
      <c r="M1146" s="71" t="s">
        <v>63</v>
      </c>
      <c r="N1146" s="69" t="s">
        <v>57</v>
      </c>
      <c r="O1146" s="64">
        <v>1</v>
      </c>
      <c r="P1146" s="72">
        <v>19471200</v>
      </c>
      <c r="Q1146" s="69" t="s">
        <v>168</v>
      </c>
      <c r="R1146" s="69"/>
      <c r="S1146" s="121" t="s">
        <v>646</v>
      </c>
      <c r="T1146" s="56">
        <v>29</v>
      </c>
      <c r="U1146" s="56">
        <v>3</v>
      </c>
    </row>
    <row r="1147" spans="1:21" ht="14.25" customHeight="1" x14ac:dyDescent="0.35">
      <c r="A1147" s="47">
        <v>1131</v>
      </c>
      <c r="B1147" s="69" t="s">
        <v>79</v>
      </c>
      <c r="C1147" s="69" t="s">
        <v>80</v>
      </c>
      <c r="D1147" s="70" t="s">
        <v>291</v>
      </c>
      <c r="E1147" s="69" t="s">
        <v>4665</v>
      </c>
      <c r="F1147" s="69" t="s">
        <v>148</v>
      </c>
      <c r="G1147" s="69" t="s">
        <v>140</v>
      </c>
      <c r="H1147" s="70">
        <v>2018</v>
      </c>
      <c r="I1147" s="69" t="s">
        <v>63</v>
      </c>
      <c r="J1147" s="69" t="s">
        <v>5962</v>
      </c>
      <c r="K1147" s="71" t="s">
        <v>5963</v>
      </c>
      <c r="L1147" s="71" t="s">
        <v>5964</v>
      </c>
      <c r="M1147" s="71" t="s">
        <v>5965</v>
      </c>
      <c r="N1147" s="69" t="s">
        <v>57</v>
      </c>
      <c r="O1147" s="64">
        <v>1</v>
      </c>
      <c r="P1147" s="72">
        <v>22623000</v>
      </c>
      <c r="Q1147" s="69" t="s">
        <v>168</v>
      </c>
      <c r="R1147" s="69"/>
      <c r="S1147" s="121" t="s">
        <v>646</v>
      </c>
      <c r="T1147" s="56">
        <v>29</v>
      </c>
      <c r="U1147" s="56">
        <v>3</v>
      </c>
    </row>
    <row r="1148" spans="1:21" ht="14.25" customHeight="1" thickBot="1" x14ac:dyDescent="0.4">
      <c r="A1148" s="58">
        <v>1132</v>
      </c>
      <c r="B1148" s="69" t="s">
        <v>79</v>
      </c>
      <c r="C1148" s="69" t="s">
        <v>80</v>
      </c>
      <c r="D1148" s="70" t="s">
        <v>298</v>
      </c>
      <c r="E1148" s="69" t="s">
        <v>3767</v>
      </c>
      <c r="F1148" s="69" t="s">
        <v>148</v>
      </c>
      <c r="G1148" s="69" t="s">
        <v>140</v>
      </c>
      <c r="H1148" s="70">
        <v>2018</v>
      </c>
      <c r="I1148" s="69" t="s">
        <v>63</v>
      </c>
      <c r="J1148" s="69" t="s">
        <v>5966</v>
      </c>
      <c r="K1148" s="71" t="s">
        <v>5967</v>
      </c>
      <c r="L1148" s="71" t="s">
        <v>5968</v>
      </c>
      <c r="M1148" s="71" t="s">
        <v>5969</v>
      </c>
      <c r="N1148" s="69" t="s">
        <v>57</v>
      </c>
      <c r="O1148" s="64">
        <v>1</v>
      </c>
      <c r="P1148" s="72">
        <v>31708000</v>
      </c>
      <c r="Q1148" s="69" t="s">
        <v>168</v>
      </c>
      <c r="R1148" s="69"/>
      <c r="S1148" s="121" t="s">
        <v>646</v>
      </c>
      <c r="T1148" s="56">
        <v>29</v>
      </c>
      <c r="U1148" s="56">
        <v>3</v>
      </c>
    </row>
    <row r="1149" spans="1:21" ht="14.25" customHeight="1" x14ac:dyDescent="0.35">
      <c r="A1149" s="47">
        <v>1133</v>
      </c>
      <c r="B1149" s="69" t="s">
        <v>79</v>
      </c>
      <c r="C1149" s="69" t="s">
        <v>80</v>
      </c>
      <c r="D1149" s="70" t="s">
        <v>319</v>
      </c>
      <c r="E1149" s="69" t="s">
        <v>3304</v>
      </c>
      <c r="F1149" s="69" t="s">
        <v>443</v>
      </c>
      <c r="G1149" s="69" t="s">
        <v>54</v>
      </c>
      <c r="H1149" s="70">
        <v>2013</v>
      </c>
      <c r="I1149" s="69" t="s">
        <v>63</v>
      </c>
      <c r="J1149" s="69" t="s">
        <v>5970</v>
      </c>
      <c r="K1149" s="71" t="s">
        <v>5971</v>
      </c>
      <c r="L1149" s="71" t="s">
        <v>5972</v>
      </c>
      <c r="M1149" s="71" t="s">
        <v>5973</v>
      </c>
      <c r="N1149" s="69" t="s">
        <v>57</v>
      </c>
      <c r="O1149" s="64">
        <v>1</v>
      </c>
      <c r="P1149" s="72">
        <v>13055500</v>
      </c>
      <c r="Q1149" s="69" t="s">
        <v>5974</v>
      </c>
      <c r="R1149" s="69"/>
      <c r="S1149" s="121" t="s">
        <v>646</v>
      </c>
      <c r="T1149" s="56">
        <v>29</v>
      </c>
      <c r="U1149" s="56">
        <v>3</v>
      </c>
    </row>
    <row r="1150" spans="1:21" ht="14.25" customHeight="1" thickBot="1" x14ac:dyDescent="0.4">
      <c r="A1150" s="58">
        <v>1134</v>
      </c>
      <c r="B1150" s="69" t="s">
        <v>79</v>
      </c>
      <c r="C1150" s="69" t="s">
        <v>80</v>
      </c>
      <c r="D1150" s="70" t="s">
        <v>325</v>
      </c>
      <c r="E1150" s="69" t="s">
        <v>5511</v>
      </c>
      <c r="F1150" s="69" t="s">
        <v>5975</v>
      </c>
      <c r="G1150" s="69" t="s">
        <v>140</v>
      </c>
      <c r="H1150" s="70">
        <v>2014</v>
      </c>
      <c r="I1150" s="69"/>
      <c r="J1150" s="69" t="s">
        <v>5976</v>
      </c>
      <c r="K1150" s="71" t="s">
        <v>5977</v>
      </c>
      <c r="L1150" s="71" t="s">
        <v>5978</v>
      </c>
      <c r="M1150" s="71" t="s">
        <v>5979</v>
      </c>
      <c r="N1150" s="69" t="s">
        <v>57</v>
      </c>
      <c r="O1150" s="64">
        <v>1</v>
      </c>
      <c r="P1150" s="72">
        <v>16488000</v>
      </c>
      <c r="Q1150" s="69" t="s">
        <v>5980</v>
      </c>
      <c r="R1150" s="69"/>
      <c r="S1150" s="121" t="s">
        <v>646</v>
      </c>
      <c r="T1150" s="56">
        <v>29</v>
      </c>
      <c r="U1150" s="56">
        <v>3</v>
      </c>
    </row>
    <row r="1151" spans="1:21" ht="14.25" customHeight="1" x14ac:dyDescent="0.35">
      <c r="A1151" s="47">
        <v>1135</v>
      </c>
      <c r="B1151" s="69" t="s">
        <v>79</v>
      </c>
      <c r="C1151" s="69" t="s">
        <v>80</v>
      </c>
      <c r="D1151" s="70" t="s">
        <v>332</v>
      </c>
      <c r="E1151" s="69" t="s">
        <v>2807</v>
      </c>
      <c r="F1151" s="69" t="s">
        <v>2808</v>
      </c>
      <c r="G1151" s="69" t="s">
        <v>140</v>
      </c>
      <c r="H1151" s="70">
        <v>2014</v>
      </c>
      <c r="I1151" s="69"/>
      <c r="J1151" s="69" t="s">
        <v>5981</v>
      </c>
      <c r="K1151" s="71" t="s">
        <v>5982</v>
      </c>
      <c r="L1151" s="71" t="s">
        <v>5983</v>
      </c>
      <c r="M1151" s="71" t="s">
        <v>5984</v>
      </c>
      <c r="N1151" s="69" t="s">
        <v>57</v>
      </c>
      <c r="O1151" s="64">
        <v>1</v>
      </c>
      <c r="P1151" s="72">
        <v>13816000</v>
      </c>
      <c r="Q1151" s="69" t="s">
        <v>5985</v>
      </c>
      <c r="R1151" s="69"/>
      <c r="S1151" s="121" t="s">
        <v>646</v>
      </c>
      <c r="T1151" s="56">
        <v>29</v>
      </c>
      <c r="U1151" s="56">
        <v>3</v>
      </c>
    </row>
    <row r="1152" spans="1:21" ht="14.25" customHeight="1" thickBot="1" x14ac:dyDescent="0.4">
      <c r="A1152" s="58">
        <v>1136</v>
      </c>
      <c r="B1152" s="69" t="s">
        <v>79</v>
      </c>
      <c r="C1152" s="69" t="s">
        <v>80</v>
      </c>
      <c r="D1152" s="70" t="s">
        <v>338</v>
      </c>
      <c r="E1152" s="69" t="s">
        <v>3309</v>
      </c>
      <c r="F1152" s="69" t="s">
        <v>163</v>
      </c>
      <c r="G1152" s="69" t="s">
        <v>140</v>
      </c>
      <c r="H1152" s="70">
        <v>2014</v>
      </c>
      <c r="I1152" s="69"/>
      <c r="J1152" s="69" t="s">
        <v>5986</v>
      </c>
      <c r="K1152" s="71" t="s">
        <v>5987</v>
      </c>
      <c r="L1152" s="71" t="s">
        <v>5988</v>
      </c>
      <c r="M1152" s="71" t="s">
        <v>5989</v>
      </c>
      <c r="N1152" s="69" t="s">
        <v>57</v>
      </c>
      <c r="O1152" s="64">
        <v>1</v>
      </c>
      <c r="P1152" s="72">
        <v>14403120</v>
      </c>
      <c r="Q1152" s="69" t="s">
        <v>5990</v>
      </c>
      <c r="R1152" s="69"/>
      <c r="S1152" s="121" t="s">
        <v>646</v>
      </c>
      <c r="T1152" s="56">
        <v>29</v>
      </c>
      <c r="U1152" s="56">
        <v>3</v>
      </c>
    </row>
    <row r="1153" spans="1:21" ht="14.25" customHeight="1" x14ac:dyDescent="0.35">
      <c r="A1153" s="47">
        <v>1137</v>
      </c>
      <c r="B1153" s="69" t="s">
        <v>79</v>
      </c>
      <c r="C1153" s="69" t="s">
        <v>80</v>
      </c>
      <c r="D1153" s="70" t="s">
        <v>343</v>
      </c>
      <c r="E1153" s="69" t="s">
        <v>3304</v>
      </c>
      <c r="F1153" s="69" t="s">
        <v>443</v>
      </c>
      <c r="G1153" s="69" t="s">
        <v>54</v>
      </c>
      <c r="H1153" s="70">
        <v>2013</v>
      </c>
      <c r="I1153" s="69" t="s">
        <v>63</v>
      </c>
      <c r="J1153" s="69" t="s">
        <v>5991</v>
      </c>
      <c r="K1153" s="71" t="s">
        <v>5992</v>
      </c>
      <c r="L1153" s="71" t="s">
        <v>5993</v>
      </c>
      <c r="M1153" s="71" t="s">
        <v>5994</v>
      </c>
      <c r="N1153" s="69" t="s">
        <v>57</v>
      </c>
      <c r="O1153" s="64">
        <v>1</v>
      </c>
      <c r="P1153" s="72">
        <v>13055500</v>
      </c>
      <c r="Q1153" s="69" t="s">
        <v>5995</v>
      </c>
      <c r="R1153" s="69"/>
      <c r="S1153" s="121" t="s">
        <v>646</v>
      </c>
      <c r="T1153" s="56">
        <v>29</v>
      </c>
      <c r="U1153" s="56">
        <v>3</v>
      </c>
    </row>
    <row r="1154" spans="1:21" ht="14.25" customHeight="1" thickBot="1" x14ac:dyDescent="0.4">
      <c r="A1154" s="58">
        <v>1138</v>
      </c>
      <c r="B1154" s="69" t="s">
        <v>79</v>
      </c>
      <c r="C1154" s="69" t="s">
        <v>80</v>
      </c>
      <c r="D1154" s="70" t="s">
        <v>348</v>
      </c>
      <c r="E1154" s="69" t="s">
        <v>3304</v>
      </c>
      <c r="F1154" s="69" t="s">
        <v>443</v>
      </c>
      <c r="G1154" s="69" t="s">
        <v>54</v>
      </c>
      <c r="H1154" s="70">
        <v>2013</v>
      </c>
      <c r="I1154" s="69" t="s">
        <v>63</v>
      </c>
      <c r="J1154" s="69" t="s">
        <v>5996</v>
      </c>
      <c r="K1154" s="71" t="s">
        <v>5997</v>
      </c>
      <c r="L1154" s="71" t="s">
        <v>5998</v>
      </c>
      <c r="M1154" s="71" t="s">
        <v>5999</v>
      </c>
      <c r="N1154" s="69" t="s">
        <v>57</v>
      </c>
      <c r="O1154" s="64">
        <v>1</v>
      </c>
      <c r="P1154" s="72">
        <v>13055500</v>
      </c>
      <c r="Q1154" s="69" t="s">
        <v>6000</v>
      </c>
      <c r="R1154" s="69"/>
      <c r="S1154" s="121" t="s">
        <v>646</v>
      </c>
      <c r="T1154" s="56">
        <v>29</v>
      </c>
      <c r="U1154" s="56">
        <v>3</v>
      </c>
    </row>
    <row r="1155" spans="1:21" ht="14.25" customHeight="1" x14ac:dyDescent="0.35">
      <c r="A1155" s="47">
        <v>1139</v>
      </c>
      <c r="B1155" s="69" t="s">
        <v>79</v>
      </c>
      <c r="C1155" s="69" t="s">
        <v>80</v>
      </c>
      <c r="D1155" s="70" t="s">
        <v>353</v>
      </c>
      <c r="E1155" s="69" t="s">
        <v>1888</v>
      </c>
      <c r="F1155" s="69" t="s">
        <v>443</v>
      </c>
      <c r="G1155" s="69" t="s">
        <v>54</v>
      </c>
      <c r="H1155" s="70">
        <v>2013</v>
      </c>
      <c r="I1155" s="69" t="s">
        <v>63</v>
      </c>
      <c r="J1155" s="69" t="s">
        <v>6001</v>
      </c>
      <c r="K1155" s="71" t="s">
        <v>6002</v>
      </c>
      <c r="L1155" s="71" t="s">
        <v>6003</v>
      </c>
      <c r="M1155" s="71" t="s">
        <v>6004</v>
      </c>
      <c r="N1155" s="69" t="s">
        <v>57</v>
      </c>
      <c r="O1155" s="64">
        <v>1</v>
      </c>
      <c r="P1155" s="72">
        <v>14108500</v>
      </c>
      <c r="Q1155" s="69" t="s">
        <v>6005</v>
      </c>
      <c r="R1155" s="69"/>
      <c r="S1155" s="121" t="s">
        <v>646</v>
      </c>
      <c r="T1155" s="56">
        <v>29</v>
      </c>
      <c r="U1155" s="56">
        <v>3</v>
      </c>
    </row>
    <row r="1156" spans="1:21" ht="14.25" customHeight="1" thickBot="1" x14ac:dyDescent="0.4">
      <c r="A1156" s="58">
        <v>1140</v>
      </c>
      <c r="B1156" s="69" t="s">
        <v>79</v>
      </c>
      <c r="C1156" s="69" t="s">
        <v>80</v>
      </c>
      <c r="D1156" s="70" t="s">
        <v>359</v>
      </c>
      <c r="E1156" s="69" t="s">
        <v>230</v>
      </c>
      <c r="F1156" s="69" t="s">
        <v>231</v>
      </c>
      <c r="G1156" s="69" t="s">
        <v>54</v>
      </c>
      <c r="H1156" s="70">
        <v>2013</v>
      </c>
      <c r="I1156" s="69" t="s">
        <v>63</v>
      </c>
      <c r="J1156" s="69" t="s">
        <v>6006</v>
      </c>
      <c r="K1156" s="71" t="s">
        <v>6007</v>
      </c>
      <c r="L1156" s="71" t="s">
        <v>6008</v>
      </c>
      <c r="M1156" s="71" t="s">
        <v>6009</v>
      </c>
      <c r="N1156" s="69" t="s">
        <v>57</v>
      </c>
      <c r="O1156" s="64">
        <v>1</v>
      </c>
      <c r="P1156" s="72">
        <v>18004100</v>
      </c>
      <c r="Q1156" s="69" t="s">
        <v>6010</v>
      </c>
      <c r="R1156" s="69"/>
      <c r="S1156" s="121" t="s">
        <v>646</v>
      </c>
      <c r="T1156" s="56">
        <v>29</v>
      </c>
      <c r="U1156" s="56">
        <v>3</v>
      </c>
    </row>
    <row r="1157" spans="1:21" ht="14.25" customHeight="1" x14ac:dyDescent="0.35">
      <c r="A1157" s="47">
        <v>1141</v>
      </c>
      <c r="B1157" s="69" t="s">
        <v>79</v>
      </c>
      <c r="C1157" s="69" t="s">
        <v>80</v>
      </c>
      <c r="D1157" s="70" t="s">
        <v>366</v>
      </c>
      <c r="E1157" s="69" t="s">
        <v>230</v>
      </c>
      <c r="F1157" s="69" t="s">
        <v>231</v>
      </c>
      <c r="G1157" s="69" t="s">
        <v>54</v>
      </c>
      <c r="H1157" s="70">
        <v>2013</v>
      </c>
      <c r="I1157" s="69" t="s">
        <v>63</v>
      </c>
      <c r="J1157" s="69" t="s">
        <v>6011</v>
      </c>
      <c r="K1157" s="71" t="s">
        <v>6012</v>
      </c>
      <c r="L1157" s="71" t="s">
        <v>6013</v>
      </c>
      <c r="M1157" s="71" t="s">
        <v>6014</v>
      </c>
      <c r="N1157" s="69" t="s">
        <v>57</v>
      </c>
      <c r="O1157" s="64">
        <v>1</v>
      </c>
      <c r="P1157" s="72">
        <v>18381100</v>
      </c>
      <c r="Q1157" s="69" t="s">
        <v>6015</v>
      </c>
      <c r="R1157" s="69"/>
      <c r="S1157" s="121" t="s">
        <v>646</v>
      </c>
      <c r="T1157" s="56">
        <v>29</v>
      </c>
      <c r="U1157" s="56">
        <v>3</v>
      </c>
    </row>
    <row r="1158" spans="1:21" ht="14.25" customHeight="1" thickBot="1" x14ac:dyDescent="0.4">
      <c r="A1158" s="58">
        <v>1142</v>
      </c>
      <c r="B1158" s="69" t="s">
        <v>79</v>
      </c>
      <c r="C1158" s="69" t="s">
        <v>80</v>
      </c>
      <c r="D1158" s="70" t="s">
        <v>371</v>
      </c>
      <c r="E1158" s="69" t="s">
        <v>138</v>
      </c>
      <c r="F1158" s="69" t="s">
        <v>139</v>
      </c>
      <c r="G1158" s="69" t="s">
        <v>140</v>
      </c>
      <c r="H1158" s="70">
        <v>2014</v>
      </c>
      <c r="I1158" s="69"/>
      <c r="J1158" s="69" t="s">
        <v>6016</v>
      </c>
      <c r="K1158" s="71" t="s">
        <v>6017</v>
      </c>
      <c r="L1158" s="71" t="s">
        <v>6018</v>
      </c>
      <c r="M1158" s="71" t="s">
        <v>6019</v>
      </c>
      <c r="N1158" s="69" t="s">
        <v>57</v>
      </c>
      <c r="O1158" s="64">
        <v>1</v>
      </c>
      <c r="P1158" s="72">
        <v>17194000</v>
      </c>
      <c r="Q1158" s="69" t="s">
        <v>6020</v>
      </c>
      <c r="R1158" s="69"/>
      <c r="S1158" s="121" t="s">
        <v>646</v>
      </c>
      <c r="T1158" s="56">
        <v>29</v>
      </c>
      <c r="U1158" s="56">
        <v>3</v>
      </c>
    </row>
    <row r="1159" spans="1:21" ht="14.25" customHeight="1" x14ac:dyDescent="0.35">
      <c r="A1159" s="47">
        <v>1143</v>
      </c>
      <c r="B1159" s="69" t="s">
        <v>79</v>
      </c>
      <c r="C1159" s="69" t="s">
        <v>80</v>
      </c>
      <c r="D1159" s="70" t="s">
        <v>376</v>
      </c>
      <c r="E1159" s="69" t="s">
        <v>138</v>
      </c>
      <c r="F1159" s="69" t="s">
        <v>139</v>
      </c>
      <c r="G1159" s="69" t="s">
        <v>140</v>
      </c>
      <c r="H1159" s="70">
        <v>2014</v>
      </c>
      <c r="I1159" s="69"/>
      <c r="J1159" s="69" t="s">
        <v>6021</v>
      </c>
      <c r="K1159" s="71" t="s">
        <v>6022</v>
      </c>
      <c r="L1159" s="71" t="s">
        <v>6023</v>
      </c>
      <c r="M1159" s="71" t="s">
        <v>6024</v>
      </c>
      <c r="N1159" s="69" t="s">
        <v>57</v>
      </c>
      <c r="O1159" s="64">
        <v>1</v>
      </c>
      <c r="P1159" s="72">
        <v>17194000</v>
      </c>
      <c r="Q1159" s="69" t="s">
        <v>168</v>
      </c>
      <c r="R1159" s="69"/>
      <c r="S1159" s="121" t="s">
        <v>646</v>
      </c>
      <c r="T1159" s="56">
        <v>29</v>
      </c>
      <c r="U1159" s="56">
        <v>3</v>
      </c>
    </row>
    <row r="1160" spans="1:21" ht="14.25" customHeight="1" thickBot="1" x14ac:dyDescent="0.4">
      <c r="A1160" s="58">
        <v>1144</v>
      </c>
      <c r="B1160" s="69" t="s">
        <v>79</v>
      </c>
      <c r="C1160" s="69" t="s">
        <v>80</v>
      </c>
      <c r="D1160" s="70" t="s">
        <v>382</v>
      </c>
      <c r="E1160" s="69" t="s">
        <v>1377</v>
      </c>
      <c r="F1160" s="69" t="s">
        <v>1378</v>
      </c>
      <c r="G1160" s="69" t="s">
        <v>140</v>
      </c>
      <c r="H1160" s="70">
        <v>2014</v>
      </c>
      <c r="I1160" s="69"/>
      <c r="J1160" s="69" t="s">
        <v>6025</v>
      </c>
      <c r="K1160" s="71" t="s">
        <v>6026</v>
      </c>
      <c r="L1160" s="71" t="s">
        <v>6027</v>
      </c>
      <c r="M1160" s="71" t="s">
        <v>6028</v>
      </c>
      <c r="N1160" s="69" t="s">
        <v>57</v>
      </c>
      <c r="O1160" s="64">
        <v>1</v>
      </c>
      <c r="P1160" s="72">
        <v>19189533</v>
      </c>
      <c r="Q1160" s="69" t="s">
        <v>5990</v>
      </c>
      <c r="R1160" s="69"/>
      <c r="S1160" s="121" t="s">
        <v>646</v>
      </c>
      <c r="T1160" s="56">
        <v>29</v>
      </c>
      <c r="U1160" s="56">
        <v>3</v>
      </c>
    </row>
    <row r="1161" spans="1:21" ht="14.25" customHeight="1" x14ac:dyDescent="0.35">
      <c r="A1161" s="47">
        <v>1145</v>
      </c>
      <c r="B1161" s="69" t="s">
        <v>79</v>
      </c>
      <c r="C1161" s="69" t="s">
        <v>80</v>
      </c>
      <c r="D1161" s="70" t="s">
        <v>387</v>
      </c>
      <c r="E1161" s="69" t="s">
        <v>6029</v>
      </c>
      <c r="F1161" s="69" t="s">
        <v>4141</v>
      </c>
      <c r="G1161" s="69" t="s">
        <v>140</v>
      </c>
      <c r="H1161" s="70">
        <v>2015</v>
      </c>
      <c r="I1161" s="69"/>
      <c r="J1161" s="69" t="s">
        <v>6030</v>
      </c>
      <c r="K1161" s="71" t="s">
        <v>6031</v>
      </c>
      <c r="L1161" s="71" t="s">
        <v>6032</v>
      </c>
      <c r="M1161" s="71" t="s">
        <v>6033</v>
      </c>
      <c r="N1161" s="69" t="s">
        <v>57</v>
      </c>
      <c r="O1161" s="64">
        <v>1</v>
      </c>
      <c r="P1161" s="72">
        <v>16858000</v>
      </c>
      <c r="Q1161" s="69" t="s">
        <v>6034</v>
      </c>
      <c r="R1161" s="69"/>
      <c r="S1161" s="121" t="s">
        <v>646</v>
      </c>
      <c r="T1161" s="56">
        <v>29</v>
      </c>
      <c r="U1161" s="56">
        <v>3</v>
      </c>
    </row>
    <row r="1162" spans="1:21" ht="14.25" customHeight="1" thickBot="1" x14ac:dyDescent="0.4">
      <c r="A1162" s="58">
        <v>1146</v>
      </c>
      <c r="B1162" s="69" t="s">
        <v>79</v>
      </c>
      <c r="C1162" s="69" t="s">
        <v>80</v>
      </c>
      <c r="D1162" s="70" t="s">
        <v>392</v>
      </c>
      <c r="E1162" s="69" t="s">
        <v>1860</v>
      </c>
      <c r="F1162" s="69" t="s">
        <v>202</v>
      </c>
      <c r="G1162" s="69" t="s">
        <v>54</v>
      </c>
      <c r="H1162" s="70">
        <v>2012</v>
      </c>
      <c r="I1162" s="69"/>
      <c r="J1162" s="69" t="s">
        <v>6035</v>
      </c>
      <c r="K1162" s="71" t="s">
        <v>6036</v>
      </c>
      <c r="L1162" s="71" t="s">
        <v>6037</v>
      </c>
      <c r="M1162" s="71" t="s">
        <v>6038</v>
      </c>
      <c r="N1162" s="69" t="s">
        <v>57</v>
      </c>
      <c r="O1162" s="64">
        <v>1</v>
      </c>
      <c r="P1162" s="72">
        <v>13177550</v>
      </c>
      <c r="Q1162" s="69" t="s">
        <v>6039</v>
      </c>
      <c r="R1162" s="69"/>
      <c r="S1162" s="121" t="s">
        <v>646</v>
      </c>
      <c r="T1162" s="56">
        <v>29</v>
      </c>
      <c r="U1162" s="56">
        <v>3</v>
      </c>
    </row>
    <row r="1163" spans="1:21" ht="14.25" customHeight="1" x14ac:dyDescent="0.35">
      <c r="A1163" s="47">
        <v>1147</v>
      </c>
      <c r="B1163" s="69" t="s">
        <v>79</v>
      </c>
      <c r="C1163" s="69" t="s">
        <v>80</v>
      </c>
      <c r="D1163" s="70" t="s">
        <v>403</v>
      </c>
      <c r="E1163" s="69" t="s">
        <v>6040</v>
      </c>
      <c r="F1163" s="69" t="s">
        <v>171</v>
      </c>
      <c r="G1163" s="69" t="s">
        <v>54</v>
      </c>
      <c r="H1163" s="70">
        <v>2010</v>
      </c>
      <c r="I1163" s="69"/>
      <c r="J1163" s="69" t="s">
        <v>6041</v>
      </c>
      <c r="K1163" s="71" t="s">
        <v>6042</v>
      </c>
      <c r="L1163" s="71" t="s">
        <v>6043</v>
      </c>
      <c r="M1163" s="71"/>
      <c r="N1163" s="69" t="s">
        <v>57</v>
      </c>
      <c r="O1163" s="64">
        <v>1</v>
      </c>
      <c r="P1163" s="72">
        <v>16025000</v>
      </c>
      <c r="Q1163" s="69"/>
      <c r="R1163" s="69"/>
      <c r="S1163" s="121" t="s">
        <v>646</v>
      </c>
      <c r="T1163" s="56">
        <v>29</v>
      </c>
      <c r="U1163" s="56">
        <v>3</v>
      </c>
    </row>
    <row r="1164" spans="1:21" ht="14.25" customHeight="1" thickBot="1" x14ac:dyDescent="0.4">
      <c r="A1164" s="58">
        <v>1148</v>
      </c>
      <c r="B1164" s="69" t="s">
        <v>79</v>
      </c>
      <c r="C1164" s="69" t="s">
        <v>80</v>
      </c>
      <c r="D1164" s="70" t="s">
        <v>408</v>
      </c>
      <c r="E1164" s="69" t="s">
        <v>6044</v>
      </c>
      <c r="F1164" s="69" t="s">
        <v>171</v>
      </c>
      <c r="G1164" s="69" t="s">
        <v>54</v>
      </c>
      <c r="H1164" s="70">
        <v>2010</v>
      </c>
      <c r="I1164" s="69"/>
      <c r="J1164" s="69" t="s">
        <v>6045</v>
      </c>
      <c r="K1164" s="71" t="s">
        <v>6046</v>
      </c>
      <c r="L1164" s="71" t="s">
        <v>6047</v>
      </c>
      <c r="M1164" s="71"/>
      <c r="N1164" s="69" t="s">
        <v>57</v>
      </c>
      <c r="O1164" s="64">
        <v>1</v>
      </c>
      <c r="P1164" s="72">
        <v>16025000</v>
      </c>
      <c r="Q1164" s="69"/>
      <c r="R1164" s="69"/>
      <c r="S1164" s="121" t="s">
        <v>646</v>
      </c>
      <c r="T1164" s="56">
        <v>29</v>
      </c>
      <c r="U1164" s="56">
        <v>3</v>
      </c>
    </row>
    <row r="1165" spans="1:21" ht="14.25" customHeight="1" x14ac:dyDescent="0.35">
      <c r="A1165" s="47">
        <v>1149</v>
      </c>
      <c r="B1165" s="69" t="s">
        <v>79</v>
      </c>
      <c r="C1165" s="69" t="s">
        <v>80</v>
      </c>
      <c r="D1165" s="70" t="s">
        <v>413</v>
      </c>
      <c r="E1165" s="69" t="s">
        <v>6044</v>
      </c>
      <c r="F1165" s="69" t="s">
        <v>171</v>
      </c>
      <c r="G1165" s="69" t="s">
        <v>54</v>
      </c>
      <c r="H1165" s="70">
        <v>2010</v>
      </c>
      <c r="I1165" s="69"/>
      <c r="J1165" s="69" t="s">
        <v>6048</v>
      </c>
      <c r="K1165" s="71" t="s">
        <v>6049</v>
      </c>
      <c r="L1165" s="71" t="s">
        <v>6050</v>
      </c>
      <c r="M1165" s="71"/>
      <c r="N1165" s="69" t="s">
        <v>57</v>
      </c>
      <c r="O1165" s="64">
        <v>1</v>
      </c>
      <c r="P1165" s="72">
        <v>16025000</v>
      </c>
      <c r="Q1165" s="69"/>
      <c r="R1165" s="69"/>
      <c r="S1165" s="121" t="s">
        <v>646</v>
      </c>
      <c r="T1165" s="56">
        <v>29</v>
      </c>
      <c r="U1165" s="56">
        <v>3</v>
      </c>
    </row>
    <row r="1166" spans="1:21" ht="14.25" customHeight="1" thickBot="1" x14ac:dyDescent="0.4">
      <c r="A1166" s="58">
        <v>1150</v>
      </c>
      <c r="B1166" s="69" t="s">
        <v>79</v>
      </c>
      <c r="C1166" s="69" t="s">
        <v>80</v>
      </c>
      <c r="D1166" s="70" t="s">
        <v>3141</v>
      </c>
      <c r="E1166" s="69" t="s">
        <v>6044</v>
      </c>
      <c r="F1166" s="69" t="s">
        <v>171</v>
      </c>
      <c r="G1166" s="69" t="s">
        <v>54</v>
      </c>
      <c r="H1166" s="70">
        <v>2010</v>
      </c>
      <c r="I1166" s="69"/>
      <c r="J1166" s="69" t="s">
        <v>6051</v>
      </c>
      <c r="K1166" s="71" t="s">
        <v>6052</v>
      </c>
      <c r="L1166" s="71" t="s">
        <v>6053</v>
      </c>
      <c r="M1166" s="71"/>
      <c r="N1166" s="69" t="s">
        <v>57</v>
      </c>
      <c r="O1166" s="64">
        <v>1</v>
      </c>
      <c r="P1166" s="72">
        <v>16025000</v>
      </c>
      <c r="Q1166" s="69"/>
      <c r="R1166" s="69"/>
      <c r="S1166" s="121" t="s">
        <v>646</v>
      </c>
      <c r="T1166" s="56">
        <v>29</v>
      </c>
      <c r="U1166" s="56">
        <v>3</v>
      </c>
    </row>
    <row r="1167" spans="1:21" ht="14.25" customHeight="1" x14ac:dyDescent="0.35">
      <c r="A1167" s="47">
        <v>1151</v>
      </c>
      <c r="B1167" s="69" t="s">
        <v>79</v>
      </c>
      <c r="C1167" s="69" t="s">
        <v>80</v>
      </c>
      <c r="D1167" s="70" t="s">
        <v>1450</v>
      </c>
      <c r="E1167" s="69" t="s">
        <v>6044</v>
      </c>
      <c r="F1167" s="69" t="s">
        <v>171</v>
      </c>
      <c r="G1167" s="69" t="s">
        <v>54</v>
      </c>
      <c r="H1167" s="70">
        <v>2010</v>
      </c>
      <c r="I1167" s="69"/>
      <c r="J1167" s="69" t="s">
        <v>6054</v>
      </c>
      <c r="K1167" s="71" t="s">
        <v>6055</v>
      </c>
      <c r="L1167" s="71" t="s">
        <v>6056</v>
      </c>
      <c r="M1167" s="71"/>
      <c r="N1167" s="69" t="s">
        <v>57</v>
      </c>
      <c r="O1167" s="64">
        <v>1</v>
      </c>
      <c r="P1167" s="72">
        <v>16025000</v>
      </c>
      <c r="Q1167" s="69"/>
      <c r="R1167" s="69"/>
      <c r="S1167" s="121" t="s">
        <v>646</v>
      </c>
      <c r="T1167" s="56">
        <v>29</v>
      </c>
      <c r="U1167" s="56">
        <v>3</v>
      </c>
    </row>
    <row r="1168" spans="1:21" ht="14.25" customHeight="1" thickBot="1" x14ac:dyDescent="0.4">
      <c r="A1168" s="58">
        <v>1152</v>
      </c>
      <c r="B1168" s="69" t="s">
        <v>79</v>
      </c>
      <c r="C1168" s="69" t="s">
        <v>80</v>
      </c>
      <c r="D1168" s="70" t="s">
        <v>1456</v>
      </c>
      <c r="E1168" s="69" t="s">
        <v>6044</v>
      </c>
      <c r="F1168" s="69" t="s">
        <v>171</v>
      </c>
      <c r="G1168" s="69" t="s">
        <v>54</v>
      </c>
      <c r="H1168" s="70">
        <v>2010</v>
      </c>
      <c r="I1168" s="69"/>
      <c r="J1168" s="69" t="s">
        <v>6057</v>
      </c>
      <c r="K1168" s="71" t="s">
        <v>6058</v>
      </c>
      <c r="L1168" s="71" t="s">
        <v>6059</v>
      </c>
      <c r="M1168" s="71"/>
      <c r="N1168" s="69" t="s">
        <v>57</v>
      </c>
      <c r="O1168" s="64">
        <v>1</v>
      </c>
      <c r="P1168" s="72">
        <v>16025000</v>
      </c>
      <c r="Q1168" s="69"/>
      <c r="R1168" s="69"/>
      <c r="S1168" s="121" t="s">
        <v>646</v>
      </c>
      <c r="T1168" s="56">
        <v>29</v>
      </c>
      <c r="U1168" s="56">
        <v>3</v>
      </c>
    </row>
    <row r="1169" spans="1:21" ht="14.25" customHeight="1" x14ac:dyDescent="0.35">
      <c r="A1169" s="47">
        <v>1153</v>
      </c>
      <c r="B1169" s="69" t="s">
        <v>79</v>
      </c>
      <c r="C1169" s="69" t="s">
        <v>80</v>
      </c>
      <c r="D1169" s="70" t="s">
        <v>1462</v>
      </c>
      <c r="E1169" s="69" t="s">
        <v>6044</v>
      </c>
      <c r="F1169" s="69" t="s">
        <v>171</v>
      </c>
      <c r="G1169" s="69" t="s">
        <v>54</v>
      </c>
      <c r="H1169" s="70">
        <v>2010</v>
      </c>
      <c r="I1169" s="69"/>
      <c r="J1169" s="69" t="s">
        <v>6060</v>
      </c>
      <c r="K1169" s="71" t="s">
        <v>6061</v>
      </c>
      <c r="L1169" s="71" t="s">
        <v>6062</v>
      </c>
      <c r="M1169" s="71"/>
      <c r="N1169" s="69" t="s">
        <v>57</v>
      </c>
      <c r="O1169" s="64">
        <v>1</v>
      </c>
      <c r="P1169" s="72">
        <v>16025000</v>
      </c>
      <c r="Q1169" s="69"/>
      <c r="R1169" s="69"/>
      <c r="S1169" s="121" t="s">
        <v>646</v>
      </c>
      <c r="T1169" s="56">
        <v>29</v>
      </c>
      <c r="U1169" s="56">
        <v>3</v>
      </c>
    </row>
    <row r="1170" spans="1:21" ht="14.25" customHeight="1" thickBot="1" x14ac:dyDescent="0.4">
      <c r="A1170" s="58">
        <v>1154</v>
      </c>
      <c r="B1170" s="69" t="s">
        <v>79</v>
      </c>
      <c r="C1170" s="69" t="s">
        <v>80</v>
      </c>
      <c r="D1170" s="70" t="s">
        <v>1469</v>
      </c>
      <c r="E1170" s="69" t="s">
        <v>6044</v>
      </c>
      <c r="F1170" s="69" t="s">
        <v>171</v>
      </c>
      <c r="G1170" s="69" t="s">
        <v>54</v>
      </c>
      <c r="H1170" s="70">
        <v>2010</v>
      </c>
      <c r="I1170" s="69"/>
      <c r="J1170" s="69" t="s">
        <v>6063</v>
      </c>
      <c r="K1170" s="71" t="s">
        <v>6064</v>
      </c>
      <c r="L1170" s="71" t="s">
        <v>6065</v>
      </c>
      <c r="M1170" s="71"/>
      <c r="N1170" s="69" t="s">
        <v>57</v>
      </c>
      <c r="O1170" s="64">
        <v>1</v>
      </c>
      <c r="P1170" s="72">
        <v>16025000</v>
      </c>
      <c r="Q1170" s="69"/>
      <c r="R1170" s="69"/>
      <c r="S1170" s="121" t="s">
        <v>646</v>
      </c>
      <c r="T1170" s="56">
        <v>29</v>
      </c>
      <c r="U1170" s="56">
        <v>3</v>
      </c>
    </row>
    <row r="1171" spans="1:21" ht="14.25" customHeight="1" x14ac:dyDescent="0.35">
      <c r="A1171" s="47">
        <v>1155</v>
      </c>
      <c r="B1171" s="69" t="s">
        <v>79</v>
      </c>
      <c r="C1171" s="69" t="s">
        <v>80</v>
      </c>
      <c r="D1171" s="70" t="s">
        <v>1475</v>
      </c>
      <c r="E1171" s="69" t="s">
        <v>6044</v>
      </c>
      <c r="F1171" s="69" t="s">
        <v>171</v>
      </c>
      <c r="G1171" s="69" t="s">
        <v>54</v>
      </c>
      <c r="H1171" s="70">
        <v>2010</v>
      </c>
      <c r="I1171" s="69"/>
      <c r="J1171" s="69" t="s">
        <v>6066</v>
      </c>
      <c r="K1171" s="71" t="s">
        <v>6067</v>
      </c>
      <c r="L1171" s="71" t="s">
        <v>6068</v>
      </c>
      <c r="M1171" s="71"/>
      <c r="N1171" s="69" t="s">
        <v>57</v>
      </c>
      <c r="O1171" s="64">
        <v>1</v>
      </c>
      <c r="P1171" s="72">
        <v>16025000</v>
      </c>
      <c r="Q1171" s="69"/>
      <c r="R1171" s="69"/>
      <c r="S1171" s="121" t="s">
        <v>646</v>
      </c>
      <c r="T1171" s="56">
        <v>29</v>
      </c>
      <c r="U1171" s="56">
        <v>3</v>
      </c>
    </row>
    <row r="1172" spans="1:21" ht="14.25" customHeight="1" thickBot="1" x14ac:dyDescent="0.4">
      <c r="A1172" s="58">
        <v>1156</v>
      </c>
      <c r="B1172" s="69" t="s">
        <v>79</v>
      </c>
      <c r="C1172" s="69" t="s">
        <v>80</v>
      </c>
      <c r="D1172" s="70" t="s">
        <v>1480</v>
      </c>
      <c r="E1172" s="69" t="s">
        <v>6044</v>
      </c>
      <c r="F1172" s="69" t="s">
        <v>171</v>
      </c>
      <c r="G1172" s="69" t="s">
        <v>54</v>
      </c>
      <c r="H1172" s="70">
        <v>2010</v>
      </c>
      <c r="I1172" s="69"/>
      <c r="J1172" s="69" t="s">
        <v>6069</v>
      </c>
      <c r="K1172" s="71" t="s">
        <v>6070</v>
      </c>
      <c r="L1172" s="71" t="s">
        <v>6071</v>
      </c>
      <c r="M1172" s="71"/>
      <c r="N1172" s="69" t="s">
        <v>57</v>
      </c>
      <c r="O1172" s="64">
        <v>1</v>
      </c>
      <c r="P1172" s="72">
        <v>16025000</v>
      </c>
      <c r="Q1172" s="69"/>
      <c r="R1172" s="69"/>
      <c r="S1172" s="121" t="s">
        <v>646</v>
      </c>
      <c r="T1172" s="56">
        <v>29</v>
      </c>
      <c r="U1172" s="56">
        <v>3</v>
      </c>
    </row>
    <row r="1173" spans="1:21" ht="14.25" customHeight="1" x14ac:dyDescent="0.35">
      <c r="A1173" s="47">
        <v>1157</v>
      </c>
      <c r="B1173" s="69" t="s">
        <v>79</v>
      </c>
      <c r="C1173" s="69" t="s">
        <v>80</v>
      </c>
      <c r="D1173" s="70" t="s">
        <v>1485</v>
      </c>
      <c r="E1173" s="69" t="s">
        <v>6044</v>
      </c>
      <c r="F1173" s="69" t="s">
        <v>171</v>
      </c>
      <c r="G1173" s="69" t="s">
        <v>54</v>
      </c>
      <c r="H1173" s="70">
        <v>2010</v>
      </c>
      <c r="I1173" s="69"/>
      <c r="J1173" s="69" t="s">
        <v>6072</v>
      </c>
      <c r="K1173" s="71" t="s">
        <v>6073</v>
      </c>
      <c r="L1173" s="71" t="s">
        <v>6074</v>
      </c>
      <c r="M1173" s="71"/>
      <c r="N1173" s="69" t="s">
        <v>57</v>
      </c>
      <c r="O1173" s="64">
        <v>1</v>
      </c>
      <c r="P1173" s="72">
        <v>16025000</v>
      </c>
      <c r="Q1173" s="69"/>
      <c r="R1173" s="69"/>
      <c r="S1173" s="121" t="s">
        <v>646</v>
      </c>
      <c r="T1173" s="56">
        <v>29</v>
      </c>
      <c r="U1173" s="56">
        <v>3</v>
      </c>
    </row>
    <row r="1174" spans="1:21" ht="14.25" customHeight="1" thickBot="1" x14ac:dyDescent="0.4">
      <c r="A1174" s="58">
        <v>1158</v>
      </c>
      <c r="B1174" s="69" t="s">
        <v>79</v>
      </c>
      <c r="C1174" s="69" t="s">
        <v>80</v>
      </c>
      <c r="D1174" s="70" t="s">
        <v>1490</v>
      </c>
      <c r="E1174" s="69" t="s">
        <v>6044</v>
      </c>
      <c r="F1174" s="69" t="s">
        <v>171</v>
      </c>
      <c r="G1174" s="69" t="s">
        <v>54</v>
      </c>
      <c r="H1174" s="70">
        <v>2010</v>
      </c>
      <c r="I1174" s="69"/>
      <c r="J1174" s="69" t="s">
        <v>6075</v>
      </c>
      <c r="K1174" s="71" t="s">
        <v>6076</v>
      </c>
      <c r="L1174" s="71" t="s">
        <v>6077</v>
      </c>
      <c r="M1174" s="71"/>
      <c r="N1174" s="69" t="s">
        <v>57</v>
      </c>
      <c r="O1174" s="64">
        <v>1</v>
      </c>
      <c r="P1174" s="72">
        <v>16025000</v>
      </c>
      <c r="Q1174" s="69"/>
      <c r="R1174" s="69"/>
      <c r="S1174" s="121" t="s">
        <v>646</v>
      </c>
      <c r="T1174" s="56">
        <v>29</v>
      </c>
      <c r="U1174" s="56">
        <v>3</v>
      </c>
    </row>
    <row r="1175" spans="1:21" ht="14.25" customHeight="1" x14ac:dyDescent="0.35">
      <c r="A1175" s="47">
        <v>1159</v>
      </c>
      <c r="B1175" s="69" t="s">
        <v>79</v>
      </c>
      <c r="C1175" s="69" t="s">
        <v>80</v>
      </c>
      <c r="D1175" s="70" t="s">
        <v>1498</v>
      </c>
      <c r="E1175" s="69" t="s">
        <v>6044</v>
      </c>
      <c r="F1175" s="69" t="s">
        <v>171</v>
      </c>
      <c r="G1175" s="69" t="s">
        <v>54</v>
      </c>
      <c r="H1175" s="70">
        <v>2010</v>
      </c>
      <c r="I1175" s="69"/>
      <c r="J1175" s="69" t="s">
        <v>6078</v>
      </c>
      <c r="K1175" s="71" t="s">
        <v>6079</v>
      </c>
      <c r="L1175" s="71" t="s">
        <v>6080</v>
      </c>
      <c r="M1175" s="71"/>
      <c r="N1175" s="69" t="s">
        <v>57</v>
      </c>
      <c r="O1175" s="64">
        <v>1</v>
      </c>
      <c r="P1175" s="72">
        <v>16025000</v>
      </c>
      <c r="Q1175" s="69"/>
      <c r="R1175" s="69"/>
      <c r="S1175" s="121" t="s">
        <v>646</v>
      </c>
      <c r="T1175" s="56">
        <v>29</v>
      </c>
      <c r="U1175" s="56">
        <v>3</v>
      </c>
    </row>
    <row r="1176" spans="1:21" ht="14.25" customHeight="1" thickBot="1" x14ac:dyDescent="0.4">
      <c r="A1176" s="58">
        <v>1160</v>
      </c>
      <c r="B1176" s="69" t="s">
        <v>79</v>
      </c>
      <c r="C1176" s="69" t="s">
        <v>80</v>
      </c>
      <c r="D1176" s="70" t="s">
        <v>1520</v>
      </c>
      <c r="E1176" s="69" t="s">
        <v>6044</v>
      </c>
      <c r="F1176" s="69" t="s">
        <v>171</v>
      </c>
      <c r="G1176" s="69" t="s">
        <v>54</v>
      </c>
      <c r="H1176" s="70">
        <v>2010</v>
      </c>
      <c r="I1176" s="69"/>
      <c r="J1176" s="69" t="s">
        <v>6081</v>
      </c>
      <c r="K1176" s="71" t="s">
        <v>6082</v>
      </c>
      <c r="L1176" s="71" t="s">
        <v>6083</v>
      </c>
      <c r="M1176" s="71"/>
      <c r="N1176" s="69" t="s">
        <v>57</v>
      </c>
      <c r="O1176" s="64">
        <v>1</v>
      </c>
      <c r="P1176" s="72">
        <v>16025000</v>
      </c>
      <c r="Q1176" s="69"/>
      <c r="R1176" s="69"/>
      <c r="S1176" s="121" t="s">
        <v>646</v>
      </c>
      <c r="T1176" s="56">
        <v>29</v>
      </c>
      <c r="U1176" s="56">
        <v>3</v>
      </c>
    </row>
    <row r="1177" spans="1:21" ht="14.25" customHeight="1" x14ac:dyDescent="0.35">
      <c r="A1177" s="47">
        <v>1161</v>
      </c>
      <c r="B1177" s="69" t="s">
        <v>79</v>
      </c>
      <c r="C1177" s="69" t="s">
        <v>80</v>
      </c>
      <c r="D1177" s="70" t="s">
        <v>1526</v>
      </c>
      <c r="E1177" s="69" t="s">
        <v>6044</v>
      </c>
      <c r="F1177" s="69" t="s">
        <v>171</v>
      </c>
      <c r="G1177" s="69" t="s">
        <v>54</v>
      </c>
      <c r="H1177" s="70">
        <v>2010</v>
      </c>
      <c r="I1177" s="69"/>
      <c r="J1177" s="69" t="s">
        <v>6084</v>
      </c>
      <c r="K1177" s="71" t="s">
        <v>6085</v>
      </c>
      <c r="L1177" s="71" t="s">
        <v>6086</v>
      </c>
      <c r="M1177" s="71"/>
      <c r="N1177" s="69" t="s">
        <v>57</v>
      </c>
      <c r="O1177" s="64">
        <v>1</v>
      </c>
      <c r="P1177" s="72">
        <v>16025000</v>
      </c>
      <c r="Q1177" s="69"/>
      <c r="R1177" s="69"/>
      <c r="S1177" s="121" t="s">
        <v>646</v>
      </c>
      <c r="T1177" s="56">
        <v>29</v>
      </c>
      <c r="U1177" s="56">
        <v>3</v>
      </c>
    </row>
    <row r="1178" spans="1:21" ht="14.25" customHeight="1" thickBot="1" x14ac:dyDescent="0.4">
      <c r="A1178" s="58">
        <v>1162</v>
      </c>
      <c r="B1178" s="69" t="s">
        <v>79</v>
      </c>
      <c r="C1178" s="69" t="s">
        <v>80</v>
      </c>
      <c r="D1178" s="70" t="s">
        <v>1537</v>
      </c>
      <c r="E1178" s="69" t="s">
        <v>6044</v>
      </c>
      <c r="F1178" s="69" t="s">
        <v>171</v>
      </c>
      <c r="G1178" s="69" t="s">
        <v>54</v>
      </c>
      <c r="H1178" s="70">
        <v>2010</v>
      </c>
      <c r="I1178" s="69"/>
      <c r="J1178" s="69" t="s">
        <v>6087</v>
      </c>
      <c r="K1178" s="71" t="s">
        <v>6088</v>
      </c>
      <c r="L1178" s="71" t="s">
        <v>6089</v>
      </c>
      <c r="M1178" s="71"/>
      <c r="N1178" s="69" t="s">
        <v>57</v>
      </c>
      <c r="O1178" s="64">
        <v>1</v>
      </c>
      <c r="P1178" s="72">
        <v>16025000</v>
      </c>
      <c r="Q1178" s="69"/>
      <c r="R1178" s="69"/>
      <c r="S1178" s="121" t="s">
        <v>646</v>
      </c>
      <c r="T1178" s="56">
        <v>29</v>
      </c>
      <c r="U1178" s="56">
        <v>3</v>
      </c>
    </row>
    <row r="1179" spans="1:21" ht="14.25" customHeight="1" x14ac:dyDescent="0.35">
      <c r="A1179" s="47">
        <v>1163</v>
      </c>
      <c r="B1179" s="69" t="s">
        <v>79</v>
      </c>
      <c r="C1179" s="69" t="s">
        <v>80</v>
      </c>
      <c r="D1179" s="70" t="s">
        <v>1543</v>
      </c>
      <c r="E1179" s="69" t="s">
        <v>6044</v>
      </c>
      <c r="F1179" s="69" t="s">
        <v>171</v>
      </c>
      <c r="G1179" s="69" t="s">
        <v>54</v>
      </c>
      <c r="H1179" s="70">
        <v>2010</v>
      </c>
      <c r="I1179" s="69"/>
      <c r="J1179" s="69" t="s">
        <v>6090</v>
      </c>
      <c r="K1179" s="71" t="s">
        <v>6091</v>
      </c>
      <c r="L1179" s="71" t="s">
        <v>6092</v>
      </c>
      <c r="M1179" s="71"/>
      <c r="N1179" s="69" t="s">
        <v>57</v>
      </c>
      <c r="O1179" s="64">
        <v>1</v>
      </c>
      <c r="P1179" s="72">
        <v>16025000</v>
      </c>
      <c r="Q1179" s="69"/>
      <c r="R1179" s="69"/>
      <c r="S1179" s="121" t="s">
        <v>646</v>
      </c>
      <c r="T1179" s="56">
        <v>29</v>
      </c>
      <c r="U1179" s="56">
        <v>3</v>
      </c>
    </row>
    <row r="1180" spans="1:21" ht="14.25" customHeight="1" thickBot="1" x14ac:dyDescent="0.4">
      <c r="A1180" s="58">
        <v>1164</v>
      </c>
      <c r="B1180" s="69" t="s">
        <v>79</v>
      </c>
      <c r="C1180" s="69" t="s">
        <v>80</v>
      </c>
      <c r="D1180" s="70" t="s">
        <v>1548</v>
      </c>
      <c r="E1180" s="69" t="s">
        <v>2513</v>
      </c>
      <c r="F1180" s="69" t="s">
        <v>202</v>
      </c>
      <c r="G1180" s="69" t="s">
        <v>54</v>
      </c>
      <c r="H1180" s="70">
        <v>2010</v>
      </c>
      <c r="I1180" s="69"/>
      <c r="J1180" s="69" t="s">
        <v>6093</v>
      </c>
      <c r="K1180" s="71" t="s">
        <v>6094</v>
      </c>
      <c r="L1180" s="71" t="s">
        <v>6095</v>
      </c>
      <c r="M1180" s="71" t="s">
        <v>6096</v>
      </c>
      <c r="N1180" s="69" t="s">
        <v>57</v>
      </c>
      <c r="O1180" s="64">
        <v>1</v>
      </c>
      <c r="P1180" s="72">
        <v>16050000</v>
      </c>
      <c r="Q1180" s="69" t="s">
        <v>6097</v>
      </c>
      <c r="R1180" s="69"/>
      <c r="S1180" s="121" t="s">
        <v>646</v>
      </c>
      <c r="T1180" s="56">
        <v>29</v>
      </c>
      <c r="U1180" s="56">
        <v>3</v>
      </c>
    </row>
    <row r="1181" spans="1:21" ht="14.25" customHeight="1" x14ac:dyDescent="0.35">
      <c r="A1181" s="47">
        <v>1165</v>
      </c>
      <c r="B1181" s="69" t="s">
        <v>79</v>
      </c>
      <c r="C1181" s="69" t="s">
        <v>80</v>
      </c>
      <c r="D1181" s="70" t="s">
        <v>6098</v>
      </c>
      <c r="E1181" s="69" t="s">
        <v>6099</v>
      </c>
      <c r="F1181" s="69" t="s">
        <v>171</v>
      </c>
      <c r="G1181" s="69" t="s">
        <v>54</v>
      </c>
      <c r="H1181" s="70">
        <v>2010</v>
      </c>
      <c r="I1181" s="69"/>
      <c r="J1181" s="69" t="s">
        <v>6100</v>
      </c>
      <c r="K1181" s="71" t="s">
        <v>6101</v>
      </c>
      <c r="L1181" s="71" t="s">
        <v>6102</v>
      </c>
      <c r="M1181" s="71"/>
      <c r="N1181" s="69" t="s">
        <v>57</v>
      </c>
      <c r="O1181" s="64">
        <v>1</v>
      </c>
      <c r="P1181" s="72">
        <v>16840000</v>
      </c>
      <c r="Q1181" s="69"/>
      <c r="R1181" s="69"/>
      <c r="S1181" s="121" t="s">
        <v>646</v>
      </c>
      <c r="T1181" s="56">
        <v>29</v>
      </c>
      <c r="U1181" s="56">
        <v>3</v>
      </c>
    </row>
    <row r="1182" spans="1:21" ht="14.25" customHeight="1" thickBot="1" x14ac:dyDescent="0.4">
      <c r="A1182" s="58">
        <v>1166</v>
      </c>
      <c r="B1182" s="69" t="s">
        <v>79</v>
      </c>
      <c r="C1182" s="69" t="s">
        <v>80</v>
      </c>
      <c r="D1182" s="70" t="s">
        <v>6103</v>
      </c>
      <c r="E1182" s="69" t="s">
        <v>6099</v>
      </c>
      <c r="F1182" s="69" t="s">
        <v>171</v>
      </c>
      <c r="G1182" s="69" t="s">
        <v>54</v>
      </c>
      <c r="H1182" s="70">
        <v>2010</v>
      </c>
      <c r="I1182" s="69"/>
      <c r="J1182" s="69" t="s">
        <v>6104</v>
      </c>
      <c r="K1182" s="71" t="s">
        <v>6105</v>
      </c>
      <c r="L1182" s="71" t="s">
        <v>6106</v>
      </c>
      <c r="M1182" s="71"/>
      <c r="N1182" s="69" t="s">
        <v>57</v>
      </c>
      <c r="O1182" s="64">
        <v>1</v>
      </c>
      <c r="P1182" s="72">
        <v>16840000</v>
      </c>
      <c r="Q1182" s="69"/>
      <c r="R1182" s="69"/>
      <c r="S1182" s="121" t="s">
        <v>646</v>
      </c>
      <c r="T1182" s="56">
        <v>29</v>
      </c>
      <c r="U1182" s="56">
        <v>3</v>
      </c>
    </row>
    <row r="1183" spans="1:21" ht="14.25" customHeight="1" x14ac:dyDescent="0.35">
      <c r="A1183" s="47">
        <v>1167</v>
      </c>
      <c r="B1183" s="69" t="s">
        <v>79</v>
      </c>
      <c r="C1183" s="69" t="s">
        <v>80</v>
      </c>
      <c r="D1183" s="70" t="s">
        <v>6107</v>
      </c>
      <c r="E1183" s="69" t="s">
        <v>6099</v>
      </c>
      <c r="F1183" s="69" t="s">
        <v>171</v>
      </c>
      <c r="G1183" s="69" t="s">
        <v>54</v>
      </c>
      <c r="H1183" s="70">
        <v>2010</v>
      </c>
      <c r="I1183" s="69"/>
      <c r="J1183" s="69" t="s">
        <v>6108</v>
      </c>
      <c r="K1183" s="71" t="s">
        <v>6109</v>
      </c>
      <c r="L1183" s="71" t="s">
        <v>6110</v>
      </c>
      <c r="M1183" s="71"/>
      <c r="N1183" s="69" t="s">
        <v>57</v>
      </c>
      <c r="O1183" s="64">
        <v>1</v>
      </c>
      <c r="P1183" s="72">
        <v>16840000</v>
      </c>
      <c r="Q1183" s="69"/>
      <c r="R1183" s="69"/>
      <c r="S1183" s="121" t="s">
        <v>646</v>
      </c>
      <c r="T1183" s="56">
        <v>29</v>
      </c>
      <c r="U1183" s="56">
        <v>3</v>
      </c>
    </row>
    <row r="1184" spans="1:21" ht="14.25" customHeight="1" thickBot="1" x14ac:dyDescent="0.4">
      <c r="A1184" s="58">
        <v>1168</v>
      </c>
      <c r="B1184" s="69" t="s">
        <v>79</v>
      </c>
      <c r="C1184" s="69" t="s">
        <v>80</v>
      </c>
      <c r="D1184" s="70" t="s">
        <v>6111</v>
      </c>
      <c r="E1184" s="69" t="s">
        <v>6099</v>
      </c>
      <c r="F1184" s="69" t="s">
        <v>171</v>
      </c>
      <c r="G1184" s="69" t="s">
        <v>54</v>
      </c>
      <c r="H1184" s="70">
        <v>2010</v>
      </c>
      <c r="I1184" s="69"/>
      <c r="J1184" s="69" t="s">
        <v>6112</v>
      </c>
      <c r="K1184" s="71" t="s">
        <v>6109</v>
      </c>
      <c r="L1184" s="71" t="s">
        <v>6113</v>
      </c>
      <c r="M1184" s="71"/>
      <c r="N1184" s="69" t="s">
        <v>57</v>
      </c>
      <c r="O1184" s="64">
        <v>1</v>
      </c>
      <c r="P1184" s="72">
        <v>16840000</v>
      </c>
      <c r="Q1184" s="69"/>
      <c r="R1184" s="69"/>
      <c r="S1184" s="121" t="s">
        <v>646</v>
      </c>
      <c r="T1184" s="56">
        <v>29</v>
      </c>
      <c r="U1184" s="56">
        <v>3</v>
      </c>
    </row>
    <row r="1185" spans="1:21" ht="14.25" customHeight="1" x14ac:dyDescent="0.35">
      <c r="A1185" s="47">
        <v>1169</v>
      </c>
      <c r="B1185" s="69" t="s">
        <v>79</v>
      </c>
      <c r="C1185" s="69" t="s">
        <v>80</v>
      </c>
      <c r="D1185" s="70" t="s">
        <v>6114</v>
      </c>
      <c r="E1185" s="69" t="s">
        <v>6115</v>
      </c>
      <c r="F1185" s="69" t="s">
        <v>171</v>
      </c>
      <c r="G1185" s="69" t="s">
        <v>54</v>
      </c>
      <c r="H1185" s="70">
        <v>2010</v>
      </c>
      <c r="I1185" s="69"/>
      <c r="J1185" s="69" t="s">
        <v>6116</v>
      </c>
      <c r="K1185" s="71" t="s">
        <v>6117</v>
      </c>
      <c r="L1185" s="71" t="s">
        <v>6118</v>
      </c>
      <c r="M1185" s="71"/>
      <c r="N1185" s="69" t="s">
        <v>57</v>
      </c>
      <c r="O1185" s="64">
        <v>1</v>
      </c>
      <c r="P1185" s="72">
        <v>17800000</v>
      </c>
      <c r="Q1185" s="69"/>
      <c r="R1185" s="69"/>
      <c r="S1185" s="121" t="s">
        <v>646</v>
      </c>
      <c r="T1185" s="56">
        <v>29</v>
      </c>
      <c r="U1185" s="56">
        <v>3</v>
      </c>
    </row>
    <row r="1186" spans="1:21" ht="14.25" customHeight="1" thickBot="1" x14ac:dyDescent="0.4">
      <c r="A1186" s="58">
        <v>1170</v>
      </c>
      <c r="B1186" s="69" t="s">
        <v>79</v>
      </c>
      <c r="C1186" s="69" t="s">
        <v>80</v>
      </c>
      <c r="D1186" s="70" t="s">
        <v>6119</v>
      </c>
      <c r="E1186" s="69" t="s">
        <v>6120</v>
      </c>
      <c r="F1186" s="69" t="s">
        <v>1988</v>
      </c>
      <c r="G1186" s="69" t="s">
        <v>54</v>
      </c>
      <c r="H1186" s="70">
        <v>2010</v>
      </c>
      <c r="I1186" s="69"/>
      <c r="J1186" s="69" t="s">
        <v>6121</v>
      </c>
      <c r="K1186" s="71" t="s">
        <v>6122</v>
      </c>
      <c r="L1186" s="71" t="s">
        <v>6123</v>
      </c>
      <c r="M1186" s="71"/>
      <c r="N1186" s="69" t="s">
        <v>57</v>
      </c>
      <c r="O1186" s="64">
        <v>1</v>
      </c>
      <c r="P1186" s="72">
        <v>20261000</v>
      </c>
      <c r="Q1186" s="69"/>
      <c r="R1186" s="69"/>
      <c r="S1186" s="121" t="s">
        <v>646</v>
      </c>
      <c r="T1186" s="56">
        <v>29</v>
      </c>
      <c r="U1186" s="56">
        <v>3</v>
      </c>
    </row>
    <row r="1187" spans="1:21" ht="14.25" customHeight="1" x14ac:dyDescent="0.35">
      <c r="A1187" s="47">
        <v>1171</v>
      </c>
      <c r="B1187" s="69" t="s">
        <v>79</v>
      </c>
      <c r="C1187" s="69" t="s">
        <v>80</v>
      </c>
      <c r="D1187" s="70" t="s">
        <v>6124</v>
      </c>
      <c r="E1187" s="69" t="s">
        <v>594</v>
      </c>
      <c r="F1187" s="69" t="s">
        <v>246</v>
      </c>
      <c r="G1187" s="69" t="s">
        <v>54</v>
      </c>
      <c r="H1187" s="70">
        <v>2008</v>
      </c>
      <c r="I1187" s="69"/>
      <c r="J1187" s="69" t="s">
        <v>6125</v>
      </c>
      <c r="K1187" s="71" t="s">
        <v>6126</v>
      </c>
      <c r="L1187" s="71" t="s">
        <v>6127</v>
      </c>
      <c r="M1187" s="71" t="s">
        <v>6128</v>
      </c>
      <c r="N1187" s="69" t="s">
        <v>57</v>
      </c>
      <c r="O1187" s="64">
        <v>1</v>
      </c>
      <c r="P1187" s="72">
        <v>14200000</v>
      </c>
      <c r="Q1187" s="69" t="s">
        <v>6129</v>
      </c>
      <c r="R1187" s="69"/>
      <c r="S1187" s="121" t="s">
        <v>646</v>
      </c>
      <c r="T1187" s="56">
        <v>29</v>
      </c>
      <c r="U1187" s="56">
        <v>3</v>
      </c>
    </row>
    <row r="1188" spans="1:21" ht="14.25" customHeight="1" thickBot="1" x14ac:dyDescent="0.4">
      <c r="A1188" s="58">
        <v>1172</v>
      </c>
      <c r="B1188" s="69" t="s">
        <v>79</v>
      </c>
      <c r="C1188" s="69" t="s">
        <v>80</v>
      </c>
      <c r="D1188" s="70" t="s">
        <v>6130</v>
      </c>
      <c r="E1188" s="69" t="s">
        <v>594</v>
      </c>
      <c r="F1188" s="69" t="s">
        <v>246</v>
      </c>
      <c r="G1188" s="69" t="s">
        <v>54</v>
      </c>
      <c r="H1188" s="70">
        <v>2008</v>
      </c>
      <c r="I1188" s="69"/>
      <c r="J1188" s="69" t="s">
        <v>6131</v>
      </c>
      <c r="K1188" s="71" t="s">
        <v>6132</v>
      </c>
      <c r="L1188" s="71" t="s">
        <v>6133</v>
      </c>
      <c r="M1188" s="71" t="s">
        <v>6134</v>
      </c>
      <c r="N1188" s="69" t="s">
        <v>57</v>
      </c>
      <c r="O1188" s="64">
        <v>1</v>
      </c>
      <c r="P1188" s="72">
        <v>14200000</v>
      </c>
      <c r="Q1188" s="69" t="s">
        <v>6135</v>
      </c>
      <c r="R1188" s="69"/>
      <c r="S1188" s="121" t="s">
        <v>646</v>
      </c>
      <c r="T1188" s="56">
        <v>29</v>
      </c>
      <c r="U1188" s="56">
        <v>3</v>
      </c>
    </row>
    <row r="1189" spans="1:21" ht="14.25" customHeight="1" x14ac:dyDescent="0.35">
      <c r="A1189" s="47">
        <v>1173</v>
      </c>
      <c r="B1189" s="69" t="s">
        <v>79</v>
      </c>
      <c r="C1189" s="69" t="s">
        <v>80</v>
      </c>
      <c r="D1189" s="70" t="s">
        <v>6136</v>
      </c>
      <c r="E1189" s="69" t="s">
        <v>594</v>
      </c>
      <c r="F1189" s="69" t="s">
        <v>246</v>
      </c>
      <c r="G1189" s="69" t="s">
        <v>54</v>
      </c>
      <c r="H1189" s="70">
        <v>2008</v>
      </c>
      <c r="I1189" s="69"/>
      <c r="J1189" s="69" t="s">
        <v>6137</v>
      </c>
      <c r="K1189" s="71" t="s">
        <v>6138</v>
      </c>
      <c r="L1189" s="71" t="s">
        <v>6139</v>
      </c>
      <c r="M1189" s="71" t="s">
        <v>6140</v>
      </c>
      <c r="N1189" s="69" t="s">
        <v>57</v>
      </c>
      <c r="O1189" s="64">
        <v>1</v>
      </c>
      <c r="P1189" s="72">
        <v>14200000</v>
      </c>
      <c r="Q1189" s="69" t="s">
        <v>6141</v>
      </c>
      <c r="R1189" s="69"/>
      <c r="S1189" s="121" t="s">
        <v>646</v>
      </c>
      <c r="T1189" s="56">
        <v>29</v>
      </c>
      <c r="U1189" s="56">
        <v>3</v>
      </c>
    </row>
    <row r="1190" spans="1:21" ht="14.25" customHeight="1" thickBot="1" x14ac:dyDescent="0.4">
      <c r="A1190" s="58">
        <v>1174</v>
      </c>
      <c r="B1190" s="69" t="s">
        <v>79</v>
      </c>
      <c r="C1190" s="69" t="s">
        <v>80</v>
      </c>
      <c r="D1190" s="70" t="s">
        <v>6142</v>
      </c>
      <c r="E1190" s="69" t="s">
        <v>594</v>
      </c>
      <c r="F1190" s="69" t="s">
        <v>246</v>
      </c>
      <c r="G1190" s="69" t="s">
        <v>54</v>
      </c>
      <c r="H1190" s="70">
        <v>2008</v>
      </c>
      <c r="I1190" s="69"/>
      <c r="J1190" s="69" t="s">
        <v>6143</v>
      </c>
      <c r="K1190" s="71" t="s">
        <v>6144</v>
      </c>
      <c r="L1190" s="71" t="s">
        <v>6145</v>
      </c>
      <c r="M1190" s="71" t="s">
        <v>6146</v>
      </c>
      <c r="N1190" s="69" t="s">
        <v>57</v>
      </c>
      <c r="O1190" s="64">
        <v>1</v>
      </c>
      <c r="P1190" s="72">
        <v>14200000</v>
      </c>
      <c r="Q1190" s="69" t="s">
        <v>6147</v>
      </c>
      <c r="R1190" s="69"/>
      <c r="S1190" s="121" t="s">
        <v>646</v>
      </c>
      <c r="T1190" s="56">
        <v>29</v>
      </c>
      <c r="U1190" s="56">
        <v>3</v>
      </c>
    </row>
    <row r="1191" spans="1:21" ht="14.25" customHeight="1" x14ac:dyDescent="0.35">
      <c r="A1191" s="47">
        <v>1175</v>
      </c>
      <c r="B1191" s="69" t="s">
        <v>79</v>
      </c>
      <c r="C1191" s="69" t="s">
        <v>80</v>
      </c>
      <c r="D1191" s="70" t="s">
        <v>6148</v>
      </c>
      <c r="E1191" s="69" t="s">
        <v>594</v>
      </c>
      <c r="F1191" s="69" t="s">
        <v>246</v>
      </c>
      <c r="G1191" s="69" t="s">
        <v>54</v>
      </c>
      <c r="H1191" s="70">
        <v>2008</v>
      </c>
      <c r="I1191" s="69"/>
      <c r="J1191" s="69" t="s">
        <v>6149</v>
      </c>
      <c r="K1191" s="71" t="s">
        <v>6150</v>
      </c>
      <c r="L1191" s="71" t="s">
        <v>6151</v>
      </c>
      <c r="M1191" s="71" t="s">
        <v>6152</v>
      </c>
      <c r="N1191" s="69" t="s">
        <v>57</v>
      </c>
      <c r="O1191" s="64">
        <v>1</v>
      </c>
      <c r="P1191" s="72">
        <v>14200000</v>
      </c>
      <c r="Q1191" s="69" t="s">
        <v>6153</v>
      </c>
      <c r="R1191" s="69"/>
      <c r="S1191" s="121" t="s">
        <v>646</v>
      </c>
      <c r="T1191" s="56">
        <v>29</v>
      </c>
      <c r="U1191" s="56">
        <v>3</v>
      </c>
    </row>
    <row r="1192" spans="1:21" ht="14.25" customHeight="1" thickBot="1" x14ac:dyDescent="0.4">
      <c r="A1192" s="58">
        <v>1176</v>
      </c>
      <c r="B1192" s="69" t="s">
        <v>79</v>
      </c>
      <c r="C1192" s="69" t="s">
        <v>80</v>
      </c>
      <c r="D1192" s="70" t="s">
        <v>6154</v>
      </c>
      <c r="E1192" s="69" t="s">
        <v>594</v>
      </c>
      <c r="F1192" s="69" t="s">
        <v>246</v>
      </c>
      <c r="G1192" s="69" t="s">
        <v>54</v>
      </c>
      <c r="H1192" s="70">
        <v>2008</v>
      </c>
      <c r="I1192" s="69"/>
      <c r="J1192" s="69" t="s">
        <v>6155</v>
      </c>
      <c r="K1192" s="71" t="s">
        <v>6156</v>
      </c>
      <c r="L1192" s="71" t="s">
        <v>6157</v>
      </c>
      <c r="M1192" s="71" t="s">
        <v>6158</v>
      </c>
      <c r="N1192" s="69" t="s">
        <v>57</v>
      </c>
      <c r="O1192" s="64">
        <v>1</v>
      </c>
      <c r="P1192" s="72">
        <v>14200000</v>
      </c>
      <c r="Q1192" s="69" t="s">
        <v>6159</v>
      </c>
      <c r="R1192" s="69"/>
      <c r="S1192" s="121" t="s">
        <v>646</v>
      </c>
      <c r="T1192" s="56">
        <v>29</v>
      </c>
      <c r="U1192" s="56">
        <v>3</v>
      </c>
    </row>
    <row r="1193" spans="1:21" ht="14.25" customHeight="1" x14ac:dyDescent="0.35">
      <c r="A1193" s="47">
        <v>1177</v>
      </c>
      <c r="B1193" s="69" t="s">
        <v>79</v>
      </c>
      <c r="C1193" s="69" t="s">
        <v>80</v>
      </c>
      <c r="D1193" s="70" t="s">
        <v>6160</v>
      </c>
      <c r="E1193" s="69" t="s">
        <v>594</v>
      </c>
      <c r="F1193" s="69" t="s">
        <v>246</v>
      </c>
      <c r="G1193" s="69" t="s">
        <v>54</v>
      </c>
      <c r="H1193" s="70">
        <v>2008</v>
      </c>
      <c r="I1193" s="69"/>
      <c r="J1193" s="69" t="s">
        <v>6161</v>
      </c>
      <c r="K1193" s="71" t="s">
        <v>6162</v>
      </c>
      <c r="L1193" s="71" t="s">
        <v>6163</v>
      </c>
      <c r="M1193" s="71" t="s">
        <v>6164</v>
      </c>
      <c r="N1193" s="69" t="s">
        <v>57</v>
      </c>
      <c r="O1193" s="64">
        <v>1</v>
      </c>
      <c r="P1193" s="72">
        <v>14200000</v>
      </c>
      <c r="Q1193" s="69" t="s">
        <v>6165</v>
      </c>
      <c r="R1193" s="69"/>
      <c r="S1193" s="121" t="s">
        <v>646</v>
      </c>
      <c r="T1193" s="56">
        <v>29</v>
      </c>
      <c r="U1193" s="56">
        <v>3</v>
      </c>
    </row>
    <row r="1194" spans="1:21" ht="14.25" customHeight="1" thickBot="1" x14ac:dyDescent="0.4">
      <c r="A1194" s="58">
        <v>1178</v>
      </c>
      <c r="B1194" s="69" t="s">
        <v>79</v>
      </c>
      <c r="C1194" s="69" t="s">
        <v>80</v>
      </c>
      <c r="D1194" s="70" t="s">
        <v>6166</v>
      </c>
      <c r="E1194" s="69" t="s">
        <v>594</v>
      </c>
      <c r="F1194" s="69" t="s">
        <v>246</v>
      </c>
      <c r="G1194" s="69" t="s">
        <v>54</v>
      </c>
      <c r="H1194" s="70">
        <v>2008</v>
      </c>
      <c r="I1194" s="69"/>
      <c r="J1194" s="69" t="s">
        <v>6167</v>
      </c>
      <c r="K1194" s="71" t="s">
        <v>6168</v>
      </c>
      <c r="L1194" s="71" t="s">
        <v>6169</v>
      </c>
      <c r="M1194" s="71" t="s">
        <v>6170</v>
      </c>
      <c r="N1194" s="69" t="s">
        <v>57</v>
      </c>
      <c r="O1194" s="64">
        <v>1</v>
      </c>
      <c r="P1194" s="72">
        <v>14200000</v>
      </c>
      <c r="Q1194" s="69" t="s">
        <v>6171</v>
      </c>
      <c r="R1194" s="69"/>
      <c r="S1194" s="121" t="s">
        <v>646</v>
      </c>
      <c r="T1194" s="56">
        <v>29</v>
      </c>
      <c r="U1194" s="56">
        <v>3</v>
      </c>
    </row>
    <row r="1195" spans="1:21" ht="14.25" customHeight="1" x14ac:dyDescent="0.35">
      <c r="A1195" s="47">
        <v>1179</v>
      </c>
      <c r="B1195" s="69" t="s">
        <v>79</v>
      </c>
      <c r="C1195" s="69" t="s">
        <v>80</v>
      </c>
      <c r="D1195" s="70" t="s">
        <v>6172</v>
      </c>
      <c r="E1195" s="69" t="s">
        <v>594</v>
      </c>
      <c r="F1195" s="69" t="s">
        <v>246</v>
      </c>
      <c r="G1195" s="69" t="s">
        <v>54</v>
      </c>
      <c r="H1195" s="70">
        <v>2008</v>
      </c>
      <c r="I1195" s="69"/>
      <c r="J1195" s="69" t="s">
        <v>6173</v>
      </c>
      <c r="K1195" s="71" t="s">
        <v>6174</v>
      </c>
      <c r="L1195" s="71" t="s">
        <v>6175</v>
      </c>
      <c r="M1195" s="71" t="s">
        <v>6176</v>
      </c>
      <c r="N1195" s="69" t="s">
        <v>57</v>
      </c>
      <c r="O1195" s="64">
        <v>1</v>
      </c>
      <c r="P1195" s="72">
        <v>14200000</v>
      </c>
      <c r="Q1195" s="69" t="s">
        <v>6177</v>
      </c>
      <c r="R1195" s="69"/>
      <c r="S1195" s="121" t="s">
        <v>646</v>
      </c>
      <c r="T1195" s="56">
        <v>29</v>
      </c>
      <c r="U1195" s="56">
        <v>3</v>
      </c>
    </row>
    <row r="1196" spans="1:21" ht="14.25" customHeight="1" thickBot="1" x14ac:dyDescent="0.4">
      <c r="A1196" s="58">
        <v>1180</v>
      </c>
      <c r="B1196" s="69" t="s">
        <v>79</v>
      </c>
      <c r="C1196" s="69" t="s">
        <v>80</v>
      </c>
      <c r="D1196" s="70" t="s">
        <v>6178</v>
      </c>
      <c r="E1196" s="69" t="s">
        <v>594</v>
      </c>
      <c r="F1196" s="69" t="s">
        <v>246</v>
      </c>
      <c r="G1196" s="69" t="s">
        <v>54</v>
      </c>
      <c r="H1196" s="70">
        <v>2008</v>
      </c>
      <c r="I1196" s="69"/>
      <c r="J1196" s="69" t="s">
        <v>6179</v>
      </c>
      <c r="K1196" s="71" t="s">
        <v>6180</v>
      </c>
      <c r="L1196" s="71" t="s">
        <v>6181</v>
      </c>
      <c r="M1196" s="71" t="s">
        <v>6182</v>
      </c>
      <c r="N1196" s="69" t="s">
        <v>57</v>
      </c>
      <c r="O1196" s="64">
        <v>1</v>
      </c>
      <c r="P1196" s="72">
        <v>14200000</v>
      </c>
      <c r="Q1196" s="69" t="s">
        <v>6183</v>
      </c>
      <c r="R1196" s="69"/>
      <c r="S1196" s="121" t="s">
        <v>646</v>
      </c>
      <c r="T1196" s="56">
        <v>29</v>
      </c>
      <c r="U1196" s="56">
        <v>3</v>
      </c>
    </row>
    <row r="1197" spans="1:21" ht="14.25" customHeight="1" x14ac:dyDescent="0.35">
      <c r="A1197" s="47">
        <v>1181</v>
      </c>
      <c r="B1197" s="69" t="s">
        <v>79</v>
      </c>
      <c r="C1197" s="69" t="s">
        <v>80</v>
      </c>
      <c r="D1197" s="70" t="s">
        <v>6184</v>
      </c>
      <c r="E1197" s="69" t="s">
        <v>594</v>
      </c>
      <c r="F1197" s="69" t="s">
        <v>246</v>
      </c>
      <c r="G1197" s="69" t="s">
        <v>54</v>
      </c>
      <c r="H1197" s="70">
        <v>2008</v>
      </c>
      <c r="I1197" s="69"/>
      <c r="J1197" s="69" t="s">
        <v>6185</v>
      </c>
      <c r="K1197" s="71" t="s">
        <v>6186</v>
      </c>
      <c r="L1197" s="71" t="s">
        <v>6187</v>
      </c>
      <c r="M1197" s="71" t="s">
        <v>6188</v>
      </c>
      <c r="N1197" s="69" t="s">
        <v>57</v>
      </c>
      <c r="O1197" s="64">
        <v>1</v>
      </c>
      <c r="P1197" s="72">
        <v>14200000</v>
      </c>
      <c r="Q1197" s="69" t="s">
        <v>6189</v>
      </c>
      <c r="R1197" s="69"/>
      <c r="S1197" s="121" t="s">
        <v>646</v>
      </c>
      <c r="T1197" s="56">
        <v>29</v>
      </c>
      <c r="U1197" s="56">
        <v>3</v>
      </c>
    </row>
    <row r="1198" spans="1:21" ht="14.25" customHeight="1" thickBot="1" x14ac:dyDescent="0.4">
      <c r="A1198" s="58">
        <v>1182</v>
      </c>
      <c r="B1198" s="69" t="s">
        <v>79</v>
      </c>
      <c r="C1198" s="69" t="s">
        <v>80</v>
      </c>
      <c r="D1198" s="70" t="s">
        <v>6190</v>
      </c>
      <c r="E1198" s="69" t="s">
        <v>594</v>
      </c>
      <c r="F1198" s="69" t="s">
        <v>246</v>
      </c>
      <c r="G1198" s="69" t="s">
        <v>54</v>
      </c>
      <c r="H1198" s="70">
        <v>2008</v>
      </c>
      <c r="I1198" s="69"/>
      <c r="J1198" s="69" t="s">
        <v>6191</v>
      </c>
      <c r="K1198" s="71" t="s">
        <v>6192</v>
      </c>
      <c r="L1198" s="71" t="s">
        <v>6193</v>
      </c>
      <c r="M1198" s="71" t="s">
        <v>6194</v>
      </c>
      <c r="N1198" s="69" t="s">
        <v>57</v>
      </c>
      <c r="O1198" s="64">
        <v>1</v>
      </c>
      <c r="P1198" s="72">
        <v>14200000</v>
      </c>
      <c r="Q1198" s="69" t="s">
        <v>6195</v>
      </c>
      <c r="R1198" s="69"/>
      <c r="S1198" s="121" t="s">
        <v>646</v>
      </c>
      <c r="T1198" s="56">
        <v>29</v>
      </c>
      <c r="U1198" s="56">
        <v>3</v>
      </c>
    </row>
    <row r="1199" spans="1:21" ht="14.25" customHeight="1" x14ac:dyDescent="0.35">
      <c r="A1199" s="47">
        <v>1183</v>
      </c>
      <c r="B1199" s="69" t="s">
        <v>79</v>
      </c>
      <c r="C1199" s="69" t="s">
        <v>80</v>
      </c>
      <c r="D1199" s="70" t="s">
        <v>6196</v>
      </c>
      <c r="E1199" s="69" t="s">
        <v>594</v>
      </c>
      <c r="F1199" s="69" t="s">
        <v>246</v>
      </c>
      <c r="G1199" s="69" t="s">
        <v>54</v>
      </c>
      <c r="H1199" s="70">
        <v>2008</v>
      </c>
      <c r="I1199" s="69"/>
      <c r="J1199" s="69" t="s">
        <v>6197</v>
      </c>
      <c r="K1199" s="71" t="s">
        <v>6198</v>
      </c>
      <c r="L1199" s="71" t="s">
        <v>6199</v>
      </c>
      <c r="M1199" s="71" t="s">
        <v>6200</v>
      </c>
      <c r="N1199" s="69" t="s">
        <v>57</v>
      </c>
      <c r="O1199" s="64">
        <v>1</v>
      </c>
      <c r="P1199" s="72">
        <v>14200000</v>
      </c>
      <c r="Q1199" s="69" t="s">
        <v>6201</v>
      </c>
      <c r="R1199" s="69"/>
      <c r="S1199" s="121" t="s">
        <v>646</v>
      </c>
      <c r="T1199" s="56">
        <v>29</v>
      </c>
      <c r="U1199" s="56">
        <v>3</v>
      </c>
    </row>
    <row r="1200" spans="1:21" ht="14.25" customHeight="1" thickBot="1" x14ac:dyDescent="0.4">
      <c r="A1200" s="58">
        <v>1184</v>
      </c>
      <c r="B1200" s="69" t="s">
        <v>79</v>
      </c>
      <c r="C1200" s="69" t="s">
        <v>80</v>
      </c>
      <c r="D1200" s="70" t="s">
        <v>6202</v>
      </c>
      <c r="E1200" s="69" t="s">
        <v>594</v>
      </c>
      <c r="F1200" s="69" t="s">
        <v>246</v>
      </c>
      <c r="G1200" s="69" t="s">
        <v>54</v>
      </c>
      <c r="H1200" s="70">
        <v>2008</v>
      </c>
      <c r="I1200" s="69"/>
      <c r="J1200" s="69" t="s">
        <v>6203</v>
      </c>
      <c r="K1200" s="71" t="s">
        <v>6204</v>
      </c>
      <c r="L1200" s="71" t="s">
        <v>6205</v>
      </c>
      <c r="M1200" s="71" t="s">
        <v>6206</v>
      </c>
      <c r="N1200" s="69" t="s">
        <v>57</v>
      </c>
      <c r="O1200" s="64">
        <v>1</v>
      </c>
      <c r="P1200" s="72">
        <v>14200000</v>
      </c>
      <c r="Q1200" s="69" t="s">
        <v>6207</v>
      </c>
      <c r="R1200" s="69"/>
      <c r="S1200" s="121" t="s">
        <v>646</v>
      </c>
      <c r="T1200" s="56">
        <v>29</v>
      </c>
      <c r="U1200" s="56">
        <v>3</v>
      </c>
    </row>
    <row r="1201" spans="1:21" ht="14.25" customHeight="1" x14ac:dyDescent="0.35">
      <c r="A1201" s="47">
        <v>1185</v>
      </c>
      <c r="B1201" s="69" t="s">
        <v>79</v>
      </c>
      <c r="C1201" s="69" t="s">
        <v>80</v>
      </c>
      <c r="D1201" s="70" t="s">
        <v>6208</v>
      </c>
      <c r="E1201" s="69" t="s">
        <v>594</v>
      </c>
      <c r="F1201" s="69" t="s">
        <v>246</v>
      </c>
      <c r="G1201" s="69" t="s">
        <v>54</v>
      </c>
      <c r="H1201" s="70">
        <v>2008</v>
      </c>
      <c r="I1201" s="69"/>
      <c r="J1201" s="69" t="s">
        <v>6209</v>
      </c>
      <c r="K1201" s="71" t="s">
        <v>6210</v>
      </c>
      <c r="L1201" s="71" t="s">
        <v>6211</v>
      </c>
      <c r="M1201" s="71" t="s">
        <v>6212</v>
      </c>
      <c r="N1201" s="69" t="s">
        <v>57</v>
      </c>
      <c r="O1201" s="64">
        <v>1</v>
      </c>
      <c r="P1201" s="72">
        <v>14200000</v>
      </c>
      <c r="Q1201" s="69" t="s">
        <v>6213</v>
      </c>
      <c r="R1201" s="69"/>
      <c r="S1201" s="121" t="s">
        <v>646</v>
      </c>
      <c r="T1201" s="56">
        <v>29</v>
      </c>
      <c r="U1201" s="56">
        <v>3</v>
      </c>
    </row>
    <row r="1202" spans="1:21" ht="14.25" customHeight="1" thickBot="1" x14ac:dyDescent="0.4">
      <c r="A1202" s="58">
        <v>1186</v>
      </c>
      <c r="B1202" s="69" t="s">
        <v>79</v>
      </c>
      <c r="C1202" s="69" t="s">
        <v>80</v>
      </c>
      <c r="D1202" s="70" t="s">
        <v>6214</v>
      </c>
      <c r="E1202" s="69" t="s">
        <v>594</v>
      </c>
      <c r="F1202" s="69" t="s">
        <v>246</v>
      </c>
      <c r="G1202" s="69" t="s">
        <v>54</v>
      </c>
      <c r="H1202" s="70">
        <v>2008</v>
      </c>
      <c r="I1202" s="69"/>
      <c r="J1202" s="69" t="s">
        <v>6215</v>
      </c>
      <c r="K1202" s="71" t="s">
        <v>6216</v>
      </c>
      <c r="L1202" s="71" t="s">
        <v>6217</v>
      </c>
      <c r="M1202" s="71" t="s">
        <v>6218</v>
      </c>
      <c r="N1202" s="69" t="s">
        <v>57</v>
      </c>
      <c r="O1202" s="64">
        <v>1</v>
      </c>
      <c r="P1202" s="72">
        <v>14200000</v>
      </c>
      <c r="Q1202" s="69" t="s">
        <v>6219</v>
      </c>
      <c r="R1202" s="69"/>
      <c r="S1202" s="121" t="s">
        <v>646</v>
      </c>
      <c r="T1202" s="56">
        <v>29</v>
      </c>
      <c r="U1202" s="56">
        <v>3</v>
      </c>
    </row>
    <row r="1203" spans="1:21" ht="14.25" customHeight="1" x14ac:dyDescent="0.35">
      <c r="A1203" s="47">
        <v>1187</v>
      </c>
      <c r="B1203" s="69" t="s">
        <v>79</v>
      </c>
      <c r="C1203" s="69" t="s">
        <v>80</v>
      </c>
      <c r="D1203" s="70" t="s">
        <v>6220</v>
      </c>
      <c r="E1203" s="69" t="s">
        <v>5843</v>
      </c>
      <c r="F1203" s="69" t="s">
        <v>483</v>
      </c>
      <c r="G1203" s="69" t="s">
        <v>54</v>
      </c>
      <c r="H1203" s="70">
        <v>2008</v>
      </c>
      <c r="I1203" s="69"/>
      <c r="J1203" s="69" t="s">
        <v>6221</v>
      </c>
      <c r="K1203" s="71" t="s">
        <v>6222</v>
      </c>
      <c r="L1203" s="71" t="s">
        <v>6223</v>
      </c>
      <c r="M1203" s="71" t="s">
        <v>6224</v>
      </c>
      <c r="N1203" s="69" t="s">
        <v>57</v>
      </c>
      <c r="O1203" s="64">
        <v>1</v>
      </c>
      <c r="P1203" s="72">
        <v>19302000</v>
      </c>
      <c r="Q1203" s="69" t="s">
        <v>6225</v>
      </c>
      <c r="R1203" s="69"/>
      <c r="S1203" s="121" t="s">
        <v>646</v>
      </c>
      <c r="T1203" s="56">
        <v>29</v>
      </c>
      <c r="U1203" s="56">
        <v>3</v>
      </c>
    </row>
    <row r="1204" spans="1:21" ht="14.25" customHeight="1" thickBot="1" x14ac:dyDescent="0.4">
      <c r="A1204" s="58">
        <v>1188</v>
      </c>
      <c r="B1204" s="69" t="s">
        <v>79</v>
      </c>
      <c r="C1204" s="69" t="s">
        <v>80</v>
      </c>
      <c r="D1204" s="70" t="s">
        <v>6226</v>
      </c>
      <c r="E1204" s="69" t="s">
        <v>5843</v>
      </c>
      <c r="F1204" s="69" t="s">
        <v>483</v>
      </c>
      <c r="G1204" s="69" t="s">
        <v>54</v>
      </c>
      <c r="H1204" s="70">
        <v>2008</v>
      </c>
      <c r="I1204" s="69"/>
      <c r="J1204" s="69" t="s">
        <v>6227</v>
      </c>
      <c r="K1204" s="71" t="s">
        <v>6228</v>
      </c>
      <c r="L1204" s="71" t="s">
        <v>6229</v>
      </c>
      <c r="M1204" s="71" t="s">
        <v>6230</v>
      </c>
      <c r="N1204" s="69" t="s">
        <v>57</v>
      </c>
      <c r="O1204" s="64">
        <v>1</v>
      </c>
      <c r="P1204" s="72">
        <v>19302000</v>
      </c>
      <c r="Q1204" s="69" t="s">
        <v>6231</v>
      </c>
      <c r="R1204" s="69"/>
      <c r="S1204" s="121" t="s">
        <v>646</v>
      </c>
      <c r="T1204" s="56">
        <v>29</v>
      </c>
      <c r="U1204" s="56">
        <v>3</v>
      </c>
    </row>
    <row r="1205" spans="1:21" ht="14.25" customHeight="1" x14ac:dyDescent="0.35">
      <c r="A1205" s="47">
        <v>1189</v>
      </c>
      <c r="B1205" s="69" t="s">
        <v>79</v>
      </c>
      <c r="C1205" s="69" t="s">
        <v>80</v>
      </c>
      <c r="D1205" s="70" t="s">
        <v>6232</v>
      </c>
      <c r="E1205" s="69" t="s">
        <v>5843</v>
      </c>
      <c r="F1205" s="69" t="s">
        <v>483</v>
      </c>
      <c r="G1205" s="69" t="s">
        <v>54</v>
      </c>
      <c r="H1205" s="70">
        <v>2008</v>
      </c>
      <c r="I1205" s="69"/>
      <c r="J1205" s="69" t="s">
        <v>6233</v>
      </c>
      <c r="K1205" s="71" t="s">
        <v>6234</v>
      </c>
      <c r="L1205" s="71" t="s">
        <v>6235</v>
      </c>
      <c r="M1205" s="71" t="s">
        <v>6236</v>
      </c>
      <c r="N1205" s="69" t="s">
        <v>57</v>
      </c>
      <c r="O1205" s="64">
        <v>1</v>
      </c>
      <c r="P1205" s="72">
        <v>19302000</v>
      </c>
      <c r="Q1205" s="69" t="s">
        <v>6237</v>
      </c>
      <c r="R1205" s="69"/>
      <c r="S1205" s="121" t="s">
        <v>646</v>
      </c>
      <c r="T1205" s="56">
        <v>29</v>
      </c>
      <c r="U1205" s="56">
        <v>3</v>
      </c>
    </row>
    <row r="1206" spans="1:21" ht="14.25" customHeight="1" thickBot="1" x14ac:dyDescent="0.4">
      <c r="A1206" s="58">
        <v>1190</v>
      </c>
      <c r="B1206" s="69" t="s">
        <v>79</v>
      </c>
      <c r="C1206" s="69" t="s">
        <v>80</v>
      </c>
      <c r="D1206" s="70" t="s">
        <v>6238</v>
      </c>
      <c r="E1206" s="69" t="s">
        <v>5843</v>
      </c>
      <c r="F1206" s="69" t="s">
        <v>483</v>
      </c>
      <c r="G1206" s="69" t="s">
        <v>54</v>
      </c>
      <c r="H1206" s="70">
        <v>2008</v>
      </c>
      <c r="I1206" s="69"/>
      <c r="J1206" s="69" t="s">
        <v>6239</v>
      </c>
      <c r="K1206" s="71" t="s">
        <v>6240</v>
      </c>
      <c r="L1206" s="71" t="s">
        <v>6241</v>
      </c>
      <c r="M1206" s="71" t="s">
        <v>6242</v>
      </c>
      <c r="N1206" s="69" t="s">
        <v>57</v>
      </c>
      <c r="O1206" s="64">
        <v>1</v>
      </c>
      <c r="P1206" s="72">
        <v>19302000</v>
      </c>
      <c r="Q1206" s="69" t="s">
        <v>6243</v>
      </c>
      <c r="R1206" s="69"/>
      <c r="S1206" s="121" t="s">
        <v>646</v>
      </c>
      <c r="T1206" s="56">
        <v>29</v>
      </c>
      <c r="U1206" s="56">
        <v>3</v>
      </c>
    </row>
    <row r="1207" spans="1:21" ht="14.25" customHeight="1" x14ac:dyDescent="0.35">
      <c r="A1207" s="47">
        <v>1191</v>
      </c>
      <c r="B1207" s="69" t="s">
        <v>79</v>
      </c>
      <c r="C1207" s="69" t="s">
        <v>80</v>
      </c>
      <c r="D1207" s="70" t="s">
        <v>6244</v>
      </c>
      <c r="E1207" s="69" t="s">
        <v>5843</v>
      </c>
      <c r="F1207" s="69" t="s">
        <v>483</v>
      </c>
      <c r="G1207" s="69" t="s">
        <v>54</v>
      </c>
      <c r="H1207" s="70">
        <v>2008</v>
      </c>
      <c r="I1207" s="69"/>
      <c r="J1207" s="69" t="s">
        <v>6245</v>
      </c>
      <c r="K1207" s="71" t="s">
        <v>6246</v>
      </c>
      <c r="L1207" s="71" t="s">
        <v>6247</v>
      </c>
      <c r="M1207" s="71" t="s">
        <v>6248</v>
      </c>
      <c r="N1207" s="69" t="s">
        <v>57</v>
      </c>
      <c r="O1207" s="64">
        <v>1</v>
      </c>
      <c r="P1207" s="72">
        <v>19302000</v>
      </c>
      <c r="Q1207" s="69" t="s">
        <v>6249</v>
      </c>
      <c r="R1207" s="69"/>
      <c r="S1207" s="121" t="s">
        <v>646</v>
      </c>
      <c r="T1207" s="56">
        <v>29</v>
      </c>
      <c r="U1207" s="56">
        <v>3</v>
      </c>
    </row>
    <row r="1208" spans="1:21" ht="14.25" customHeight="1" thickBot="1" x14ac:dyDescent="0.4">
      <c r="A1208" s="58">
        <v>1192</v>
      </c>
      <c r="B1208" s="69" t="s">
        <v>79</v>
      </c>
      <c r="C1208" s="69" t="s">
        <v>80</v>
      </c>
      <c r="D1208" s="70" t="s">
        <v>6250</v>
      </c>
      <c r="E1208" s="69" t="s">
        <v>5843</v>
      </c>
      <c r="F1208" s="69" t="s">
        <v>483</v>
      </c>
      <c r="G1208" s="69" t="s">
        <v>54</v>
      </c>
      <c r="H1208" s="70">
        <v>2008</v>
      </c>
      <c r="I1208" s="69"/>
      <c r="J1208" s="69" t="s">
        <v>6251</v>
      </c>
      <c r="K1208" s="71" t="s">
        <v>6252</v>
      </c>
      <c r="L1208" s="71" t="s">
        <v>6253</v>
      </c>
      <c r="M1208" s="71" t="s">
        <v>6254</v>
      </c>
      <c r="N1208" s="69" t="s">
        <v>57</v>
      </c>
      <c r="O1208" s="64">
        <v>1</v>
      </c>
      <c r="P1208" s="72">
        <v>19302000</v>
      </c>
      <c r="Q1208" s="69" t="s">
        <v>6255</v>
      </c>
      <c r="R1208" s="69"/>
      <c r="S1208" s="121" t="s">
        <v>646</v>
      </c>
      <c r="T1208" s="56">
        <v>29</v>
      </c>
      <c r="U1208" s="56">
        <v>3</v>
      </c>
    </row>
    <row r="1209" spans="1:21" ht="14.25" customHeight="1" x14ac:dyDescent="0.35">
      <c r="A1209" s="47">
        <v>1193</v>
      </c>
      <c r="B1209" s="69" t="s">
        <v>79</v>
      </c>
      <c r="C1209" s="69" t="s">
        <v>80</v>
      </c>
      <c r="D1209" s="70" t="s">
        <v>6256</v>
      </c>
      <c r="E1209" s="69" t="s">
        <v>5843</v>
      </c>
      <c r="F1209" s="69" t="s">
        <v>483</v>
      </c>
      <c r="G1209" s="69" t="s">
        <v>54</v>
      </c>
      <c r="H1209" s="70">
        <v>2008</v>
      </c>
      <c r="I1209" s="69"/>
      <c r="J1209" s="69" t="s">
        <v>6257</v>
      </c>
      <c r="K1209" s="71" t="s">
        <v>6258</v>
      </c>
      <c r="L1209" s="71" t="s">
        <v>6259</v>
      </c>
      <c r="M1209" s="71" t="s">
        <v>6260</v>
      </c>
      <c r="N1209" s="69" t="s">
        <v>57</v>
      </c>
      <c r="O1209" s="64">
        <v>1</v>
      </c>
      <c r="P1209" s="72">
        <v>19302000</v>
      </c>
      <c r="Q1209" s="69" t="s">
        <v>6261</v>
      </c>
      <c r="R1209" s="69"/>
      <c r="S1209" s="121" t="s">
        <v>646</v>
      </c>
      <c r="T1209" s="56">
        <v>29</v>
      </c>
      <c r="U1209" s="56">
        <v>3</v>
      </c>
    </row>
    <row r="1210" spans="1:21" ht="14.25" customHeight="1" thickBot="1" x14ac:dyDescent="0.4">
      <c r="A1210" s="58">
        <v>1194</v>
      </c>
      <c r="B1210" s="69" t="s">
        <v>79</v>
      </c>
      <c r="C1210" s="69" t="s">
        <v>80</v>
      </c>
      <c r="D1210" s="70" t="s">
        <v>6262</v>
      </c>
      <c r="E1210" s="69" t="s">
        <v>5843</v>
      </c>
      <c r="F1210" s="69" t="s">
        <v>483</v>
      </c>
      <c r="G1210" s="69" t="s">
        <v>54</v>
      </c>
      <c r="H1210" s="70">
        <v>2008</v>
      </c>
      <c r="I1210" s="69"/>
      <c r="J1210" s="69" t="s">
        <v>6263</v>
      </c>
      <c r="K1210" s="71" t="s">
        <v>6264</v>
      </c>
      <c r="L1210" s="71" t="s">
        <v>6265</v>
      </c>
      <c r="M1210" s="71" t="s">
        <v>6266</v>
      </c>
      <c r="N1210" s="69" t="s">
        <v>57</v>
      </c>
      <c r="O1210" s="64">
        <v>1</v>
      </c>
      <c r="P1210" s="72">
        <v>19302000</v>
      </c>
      <c r="Q1210" s="69" t="s">
        <v>6267</v>
      </c>
      <c r="R1210" s="69"/>
      <c r="S1210" s="121" t="s">
        <v>646</v>
      </c>
      <c r="T1210" s="56">
        <v>29</v>
      </c>
      <c r="U1210" s="56">
        <v>3</v>
      </c>
    </row>
    <row r="1211" spans="1:21" ht="14.25" customHeight="1" x14ac:dyDescent="0.35">
      <c r="A1211" s="47">
        <v>1195</v>
      </c>
      <c r="B1211" s="69" t="s">
        <v>79</v>
      </c>
      <c r="C1211" s="69" t="s">
        <v>80</v>
      </c>
      <c r="D1211" s="70" t="s">
        <v>6268</v>
      </c>
      <c r="E1211" s="69" t="s">
        <v>5843</v>
      </c>
      <c r="F1211" s="69" t="s">
        <v>483</v>
      </c>
      <c r="G1211" s="69" t="s">
        <v>54</v>
      </c>
      <c r="H1211" s="70">
        <v>2008</v>
      </c>
      <c r="I1211" s="69"/>
      <c r="J1211" s="69" t="s">
        <v>6269</v>
      </c>
      <c r="K1211" s="71" t="s">
        <v>6270</v>
      </c>
      <c r="L1211" s="71" t="s">
        <v>6271</v>
      </c>
      <c r="M1211" s="71" t="s">
        <v>6272</v>
      </c>
      <c r="N1211" s="69" t="s">
        <v>57</v>
      </c>
      <c r="O1211" s="64">
        <v>1</v>
      </c>
      <c r="P1211" s="72">
        <v>19302000</v>
      </c>
      <c r="Q1211" s="69" t="s">
        <v>6273</v>
      </c>
      <c r="R1211" s="69"/>
      <c r="S1211" s="121" t="s">
        <v>646</v>
      </c>
      <c r="T1211" s="56">
        <v>29</v>
      </c>
      <c r="U1211" s="56">
        <v>3</v>
      </c>
    </row>
    <row r="1212" spans="1:21" ht="14.25" customHeight="1" thickBot="1" x14ac:dyDescent="0.4">
      <c r="A1212" s="58">
        <v>1196</v>
      </c>
      <c r="B1212" s="69" t="s">
        <v>79</v>
      </c>
      <c r="C1212" s="69" t="s">
        <v>80</v>
      </c>
      <c r="D1212" s="70" t="s">
        <v>6274</v>
      </c>
      <c r="E1212" s="69" t="s">
        <v>5843</v>
      </c>
      <c r="F1212" s="69" t="s">
        <v>483</v>
      </c>
      <c r="G1212" s="69" t="s">
        <v>54</v>
      </c>
      <c r="H1212" s="70">
        <v>2008</v>
      </c>
      <c r="I1212" s="69"/>
      <c r="J1212" s="69" t="s">
        <v>6275</v>
      </c>
      <c r="K1212" s="71" t="s">
        <v>6276</v>
      </c>
      <c r="L1212" s="71" t="s">
        <v>6277</v>
      </c>
      <c r="M1212" s="71" t="s">
        <v>6278</v>
      </c>
      <c r="N1212" s="69" t="s">
        <v>57</v>
      </c>
      <c r="O1212" s="64">
        <v>1</v>
      </c>
      <c r="P1212" s="72">
        <v>19302000</v>
      </c>
      <c r="Q1212" s="69" t="s">
        <v>6279</v>
      </c>
      <c r="R1212" s="69"/>
      <c r="S1212" s="121" t="s">
        <v>646</v>
      </c>
      <c r="T1212" s="56">
        <v>29</v>
      </c>
      <c r="U1212" s="56">
        <v>3</v>
      </c>
    </row>
    <row r="1213" spans="1:21" ht="14.25" customHeight="1" x14ac:dyDescent="0.35">
      <c r="A1213" s="47">
        <v>1197</v>
      </c>
      <c r="B1213" s="69" t="s">
        <v>79</v>
      </c>
      <c r="C1213" s="69" t="s">
        <v>80</v>
      </c>
      <c r="D1213" s="70" t="s">
        <v>6280</v>
      </c>
      <c r="E1213" s="69" t="s">
        <v>5843</v>
      </c>
      <c r="F1213" s="69" t="s">
        <v>483</v>
      </c>
      <c r="G1213" s="69" t="s">
        <v>54</v>
      </c>
      <c r="H1213" s="70">
        <v>2008</v>
      </c>
      <c r="I1213" s="69"/>
      <c r="J1213" s="69" t="s">
        <v>6281</v>
      </c>
      <c r="K1213" s="71" t="s">
        <v>6282</v>
      </c>
      <c r="L1213" s="71" t="s">
        <v>6283</v>
      </c>
      <c r="M1213" s="71" t="s">
        <v>63</v>
      </c>
      <c r="N1213" s="69" t="s">
        <v>57</v>
      </c>
      <c r="O1213" s="64">
        <v>1</v>
      </c>
      <c r="P1213" s="72">
        <v>19302000</v>
      </c>
      <c r="Q1213" s="69" t="s">
        <v>6284</v>
      </c>
      <c r="R1213" s="69"/>
      <c r="S1213" s="121" t="s">
        <v>646</v>
      </c>
      <c r="T1213" s="56">
        <v>29</v>
      </c>
      <c r="U1213" s="56">
        <v>3</v>
      </c>
    </row>
    <row r="1214" spans="1:21" ht="14.25" customHeight="1" thickBot="1" x14ac:dyDescent="0.4">
      <c r="A1214" s="58">
        <v>1198</v>
      </c>
      <c r="B1214" s="69" t="s">
        <v>79</v>
      </c>
      <c r="C1214" s="69" t="s">
        <v>80</v>
      </c>
      <c r="D1214" s="70" t="s">
        <v>6285</v>
      </c>
      <c r="E1214" s="69" t="s">
        <v>6286</v>
      </c>
      <c r="F1214" s="69" t="s">
        <v>6287</v>
      </c>
      <c r="G1214" s="69" t="s">
        <v>54</v>
      </c>
      <c r="H1214" s="70">
        <v>2008</v>
      </c>
      <c r="I1214" s="69"/>
      <c r="J1214" s="69" t="s">
        <v>6288</v>
      </c>
      <c r="K1214" s="71" t="s">
        <v>6289</v>
      </c>
      <c r="L1214" s="71" t="s">
        <v>6290</v>
      </c>
      <c r="M1214" s="71" t="s">
        <v>6291</v>
      </c>
      <c r="N1214" s="69" t="s">
        <v>57</v>
      </c>
      <c r="O1214" s="64">
        <v>1</v>
      </c>
      <c r="P1214" s="72">
        <v>24950000</v>
      </c>
      <c r="Q1214" s="69" t="s">
        <v>6292</v>
      </c>
      <c r="R1214" s="69"/>
      <c r="S1214" s="121" t="s">
        <v>646</v>
      </c>
      <c r="T1214" s="56">
        <v>29</v>
      </c>
      <c r="U1214" s="56">
        <v>3</v>
      </c>
    </row>
    <row r="1215" spans="1:21" ht="14.25" customHeight="1" x14ac:dyDescent="0.35">
      <c r="A1215" s="47">
        <v>1199</v>
      </c>
      <c r="B1215" s="69" t="s">
        <v>79</v>
      </c>
      <c r="C1215" s="69" t="s">
        <v>80</v>
      </c>
      <c r="D1215" s="70" t="s">
        <v>6293</v>
      </c>
      <c r="E1215" s="69" t="s">
        <v>6294</v>
      </c>
      <c r="F1215" s="69" t="s">
        <v>88</v>
      </c>
      <c r="G1215" s="69" t="s">
        <v>247</v>
      </c>
      <c r="H1215" s="70">
        <v>2011</v>
      </c>
      <c r="I1215" s="69"/>
      <c r="J1215" s="69" t="s">
        <v>6295</v>
      </c>
      <c r="K1215" s="71" t="s">
        <v>6296</v>
      </c>
      <c r="L1215" s="71" t="s">
        <v>6297</v>
      </c>
      <c r="M1215" s="71" t="s">
        <v>6298</v>
      </c>
      <c r="N1215" s="69" t="s">
        <v>57</v>
      </c>
      <c r="O1215" s="64">
        <v>1</v>
      </c>
      <c r="P1215" s="72">
        <v>16584000</v>
      </c>
      <c r="Q1215" s="69" t="s">
        <v>6299</v>
      </c>
      <c r="R1215" s="69"/>
      <c r="S1215" s="121" t="s">
        <v>646</v>
      </c>
      <c r="T1215" s="56">
        <v>29</v>
      </c>
      <c r="U1215" s="56">
        <v>3</v>
      </c>
    </row>
    <row r="1216" spans="1:21" ht="14.25" customHeight="1" thickBot="1" x14ac:dyDescent="0.4">
      <c r="A1216" s="58">
        <v>1200</v>
      </c>
      <c r="B1216" s="69" t="s">
        <v>79</v>
      </c>
      <c r="C1216" s="69" t="s">
        <v>80</v>
      </c>
      <c r="D1216" s="70" t="s">
        <v>2766</v>
      </c>
      <c r="E1216" s="69" t="s">
        <v>6300</v>
      </c>
      <c r="F1216" s="69" t="s">
        <v>2386</v>
      </c>
      <c r="G1216" s="69" t="s">
        <v>140</v>
      </c>
      <c r="H1216" s="70">
        <v>2023</v>
      </c>
      <c r="I1216" s="69" t="s">
        <v>63</v>
      </c>
      <c r="J1216" s="69" t="s">
        <v>6301</v>
      </c>
      <c r="K1216" s="71" t="s">
        <v>6302</v>
      </c>
      <c r="L1216" s="71" t="s">
        <v>6303</v>
      </c>
      <c r="M1216" s="71" t="s">
        <v>6304</v>
      </c>
      <c r="N1216" s="69" t="s">
        <v>44</v>
      </c>
      <c r="O1216" s="64">
        <v>1</v>
      </c>
      <c r="P1216" s="72">
        <v>24893000</v>
      </c>
      <c r="Q1216" s="69" t="s">
        <v>6305</v>
      </c>
      <c r="R1216" s="69"/>
      <c r="S1216" s="121" t="s">
        <v>646</v>
      </c>
      <c r="T1216" s="56">
        <v>29</v>
      </c>
      <c r="U1216" s="56">
        <v>3</v>
      </c>
    </row>
    <row r="1217" spans="1:21" ht="14.25" customHeight="1" x14ac:dyDescent="0.35">
      <c r="A1217" s="47">
        <v>1201</v>
      </c>
      <c r="B1217" s="69" t="s">
        <v>79</v>
      </c>
      <c r="C1217" s="69" t="s">
        <v>80</v>
      </c>
      <c r="D1217" s="70" t="s">
        <v>6306</v>
      </c>
      <c r="E1217" s="69" t="s">
        <v>6300</v>
      </c>
      <c r="F1217" s="69" t="s">
        <v>2386</v>
      </c>
      <c r="G1217" s="69" t="s">
        <v>140</v>
      </c>
      <c r="H1217" s="70">
        <v>2023</v>
      </c>
      <c r="I1217" s="69" t="s">
        <v>63</v>
      </c>
      <c r="J1217" s="69" t="s">
        <v>6307</v>
      </c>
      <c r="K1217" s="71" t="s">
        <v>6308</v>
      </c>
      <c r="L1217" s="71" t="s">
        <v>6309</v>
      </c>
      <c r="M1217" s="71" t="s">
        <v>6310</v>
      </c>
      <c r="N1217" s="69" t="s">
        <v>44</v>
      </c>
      <c r="O1217" s="64">
        <v>1</v>
      </c>
      <c r="P1217" s="72">
        <v>24893000</v>
      </c>
      <c r="Q1217" s="69" t="s">
        <v>6311</v>
      </c>
      <c r="R1217" s="69"/>
      <c r="S1217" s="121" t="s">
        <v>646</v>
      </c>
      <c r="T1217" s="56">
        <v>29</v>
      </c>
      <c r="U1217" s="56">
        <v>3</v>
      </c>
    </row>
    <row r="1218" spans="1:21" ht="14.25" customHeight="1" thickBot="1" x14ac:dyDescent="0.4">
      <c r="A1218" s="58">
        <v>1202</v>
      </c>
      <c r="B1218" s="69" t="s">
        <v>79</v>
      </c>
      <c r="C1218" s="69" t="s">
        <v>80</v>
      </c>
      <c r="D1218" s="70" t="s">
        <v>6312</v>
      </c>
      <c r="E1218" s="69" t="s">
        <v>6300</v>
      </c>
      <c r="F1218" s="69" t="s">
        <v>2386</v>
      </c>
      <c r="G1218" s="69" t="s">
        <v>140</v>
      </c>
      <c r="H1218" s="70">
        <v>2023</v>
      </c>
      <c r="I1218" s="69" t="s">
        <v>63</v>
      </c>
      <c r="J1218" s="69" t="s">
        <v>6313</v>
      </c>
      <c r="K1218" s="71" t="s">
        <v>6314</v>
      </c>
      <c r="L1218" s="71" t="s">
        <v>6315</v>
      </c>
      <c r="M1218" s="71" t="s">
        <v>6316</v>
      </c>
      <c r="N1218" s="69" t="s">
        <v>44</v>
      </c>
      <c r="O1218" s="64">
        <v>1</v>
      </c>
      <c r="P1218" s="72">
        <v>24893000</v>
      </c>
      <c r="Q1218" s="69" t="s">
        <v>6317</v>
      </c>
      <c r="R1218" s="69"/>
      <c r="S1218" s="121" t="s">
        <v>646</v>
      </c>
      <c r="T1218" s="56">
        <v>29</v>
      </c>
      <c r="U1218" s="56">
        <v>3</v>
      </c>
    </row>
    <row r="1219" spans="1:21" ht="14.25" customHeight="1" x14ac:dyDescent="0.35">
      <c r="A1219" s="47">
        <v>1203</v>
      </c>
      <c r="B1219" s="69" t="s">
        <v>79</v>
      </c>
      <c r="C1219" s="69" t="s">
        <v>80</v>
      </c>
      <c r="D1219" s="70" t="s">
        <v>6318</v>
      </c>
      <c r="E1219" s="69" t="s">
        <v>6300</v>
      </c>
      <c r="F1219" s="69" t="s">
        <v>2386</v>
      </c>
      <c r="G1219" s="69" t="s">
        <v>140</v>
      </c>
      <c r="H1219" s="70">
        <v>2023</v>
      </c>
      <c r="I1219" s="69" t="s">
        <v>63</v>
      </c>
      <c r="J1219" s="69" t="s">
        <v>6319</v>
      </c>
      <c r="K1219" s="71" t="s">
        <v>6320</v>
      </c>
      <c r="L1219" s="71" t="s">
        <v>6321</v>
      </c>
      <c r="M1219" s="71" t="s">
        <v>6322</v>
      </c>
      <c r="N1219" s="69" t="s">
        <v>44</v>
      </c>
      <c r="O1219" s="64">
        <v>1</v>
      </c>
      <c r="P1219" s="72">
        <v>24893000</v>
      </c>
      <c r="Q1219" s="69" t="s">
        <v>6323</v>
      </c>
      <c r="R1219" s="69"/>
      <c r="S1219" s="121" t="s">
        <v>646</v>
      </c>
      <c r="T1219" s="56">
        <v>29</v>
      </c>
      <c r="U1219" s="56">
        <v>3</v>
      </c>
    </row>
    <row r="1220" spans="1:21" ht="14.25" customHeight="1" thickBot="1" x14ac:dyDescent="0.4">
      <c r="A1220" s="58">
        <v>1204</v>
      </c>
      <c r="B1220" s="69" t="s">
        <v>79</v>
      </c>
      <c r="C1220" s="69" t="s">
        <v>80</v>
      </c>
      <c r="D1220" s="70" t="s">
        <v>6324</v>
      </c>
      <c r="E1220" s="69" t="s">
        <v>6300</v>
      </c>
      <c r="F1220" s="69" t="s">
        <v>2386</v>
      </c>
      <c r="G1220" s="69" t="s">
        <v>140</v>
      </c>
      <c r="H1220" s="70">
        <v>2023</v>
      </c>
      <c r="I1220" s="69" t="s">
        <v>63</v>
      </c>
      <c r="J1220" s="69" t="s">
        <v>6325</v>
      </c>
      <c r="K1220" s="71" t="s">
        <v>6326</v>
      </c>
      <c r="L1220" s="71" t="s">
        <v>6327</v>
      </c>
      <c r="M1220" s="71" t="s">
        <v>6328</v>
      </c>
      <c r="N1220" s="69" t="s">
        <v>44</v>
      </c>
      <c r="O1220" s="64">
        <v>1</v>
      </c>
      <c r="P1220" s="72">
        <v>24893000</v>
      </c>
      <c r="Q1220" s="69" t="s">
        <v>5715</v>
      </c>
      <c r="R1220" s="69"/>
      <c r="S1220" s="121" t="s">
        <v>646</v>
      </c>
      <c r="T1220" s="56">
        <v>29</v>
      </c>
      <c r="U1220" s="56">
        <v>3</v>
      </c>
    </row>
    <row r="1221" spans="1:21" ht="14.25" customHeight="1" x14ac:dyDescent="0.35">
      <c r="A1221" s="47">
        <v>1205</v>
      </c>
      <c r="B1221" s="69" t="s">
        <v>79</v>
      </c>
      <c r="C1221" s="69" t="s">
        <v>80</v>
      </c>
      <c r="D1221" s="70" t="s">
        <v>6329</v>
      </c>
      <c r="E1221" s="69" t="s">
        <v>6300</v>
      </c>
      <c r="F1221" s="69" t="s">
        <v>2386</v>
      </c>
      <c r="G1221" s="69" t="s">
        <v>140</v>
      </c>
      <c r="H1221" s="70">
        <v>2023</v>
      </c>
      <c r="I1221" s="69" t="s">
        <v>63</v>
      </c>
      <c r="J1221" s="69" t="s">
        <v>6330</v>
      </c>
      <c r="K1221" s="71" t="s">
        <v>6331</v>
      </c>
      <c r="L1221" s="71" t="s">
        <v>6332</v>
      </c>
      <c r="M1221" s="71" t="s">
        <v>6333</v>
      </c>
      <c r="N1221" s="69" t="s">
        <v>44</v>
      </c>
      <c r="O1221" s="64">
        <v>1</v>
      </c>
      <c r="P1221" s="72">
        <v>24893000</v>
      </c>
      <c r="Q1221" s="69" t="s">
        <v>6334</v>
      </c>
      <c r="R1221" s="69"/>
      <c r="S1221" s="121" t="s">
        <v>646</v>
      </c>
      <c r="T1221" s="56">
        <v>29</v>
      </c>
      <c r="U1221" s="56">
        <v>3</v>
      </c>
    </row>
    <row r="1222" spans="1:21" ht="14.25" customHeight="1" thickBot="1" x14ac:dyDescent="0.4">
      <c r="A1222" s="58">
        <v>1206</v>
      </c>
      <c r="B1222" s="69" t="s">
        <v>79</v>
      </c>
      <c r="C1222" s="69" t="s">
        <v>80</v>
      </c>
      <c r="D1222" s="70" t="s">
        <v>6335</v>
      </c>
      <c r="E1222" s="69" t="s">
        <v>6300</v>
      </c>
      <c r="F1222" s="69" t="s">
        <v>1854</v>
      </c>
      <c r="G1222" s="69" t="s">
        <v>140</v>
      </c>
      <c r="H1222" s="70">
        <v>2023</v>
      </c>
      <c r="I1222" s="69" t="s">
        <v>63</v>
      </c>
      <c r="J1222" s="69" t="s">
        <v>6336</v>
      </c>
      <c r="K1222" s="71" t="s">
        <v>6337</v>
      </c>
      <c r="L1222" s="71" t="s">
        <v>6338</v>
      </c>
      <c r="M1222" s="71" t="s">
        <v>6339</v>
      </c>
      <c r="N1222" s="69" t="s">
        <v>44</v>
      </c>
      <c r="O1222" s="64">
        <v>1</v>
      </c>
      <c r="P1222" s="72">
        <v>24893000</v>
      </c>
      <c r="Q1222" s="69" t="s">
        <v>6340</v>
      </c>
      <c r="R1222" s="69"/>
      <c r="S1222" s="121" t="s">
        <v>646</v>
      </c>
      <c r="T1222" s="56">
        <v>29</v>
      </c>
      <c r="U1222" s="56">
        <v>3</v>
      </c>
    </row>
    <row r="1223" spans="1:21" ht="14.25" customHeight="1" x14ac:dyDescent="0.35">
      <c r="A1223" s="47">
        <v>1207</v>
      </c>
      <c r="B1223" s="69" t="s">
        <v>79</v>
      </c>
      <c r="C1223" s="69" t="s">
        <v>80</v>
      </c>
      <c r="D1223" s="70" t="s">
        <v>6341</v>
      </c>
      <c r="E1223" s="69" t="s">
        <v>6300</v>
      </c>
      <c r="F1223" s="69" t="s">
        <v>2386</v>
      </c>
      <c r="G1223" s="69" t="s">
        <v>140</v>
      </c>
      <c r="H1223" s="70">
        <v>2023</v>
      </c>
      <c r="I1223" s="69" t="s">
        <v>63</v>
      </c>
      <c r="J1223" s="69" t="s">
        <v>6342</v>
      </c>
      <c r="K1223" s="71" t="s">
        <v>6343</v>
      </c>
      <c r="L1223" s="71" t="s">
        <v>6344</v>
      </c>
      <c r="M1223" s="71" t="s">
        <v>6345</v>
      </c>
      <c r="N1223" s="69" t="s">
        <v>44</v>
      </c>
      <c r="O1223" s="64">
        <v>1</v>
      </c>
      <c r="P1223" s="72">
        <v>24893000</v>
      </c>
      <c r="Q1223" s="69" t="s">
        <v>6346</v>
      </c>
      <c r="R1223" s="69"/>
      <c r="S1223" s="121" t="s">
        <v>646</v>
      </c>
      <c r="T1223" s="56">
        <v>29</v>
      </c>
      <c r="U1223" s="56">
        <v>3</v>
      </c>
    </row>
    <row r="1224" spans="1:21" ht="14.25" customHeight="1" thickBot="1" x14ac:dyDescent="0.4">
      <c r="A1224" s="58">
        <v>1208</v>
      </c>
      <c r="B1224" s="69" t="s">
        <v>79</v>
      </c>
      <c r="C1224" s="69" t="s">
        <v>80</v>
      </c>
      <c r="D1224" s="70" t="s">
        <v>6347</v>
      </c>
      <c r="E1224" s="69" t="s">
        <v>6300</v>
      </c>
      <c r="F1224" s="69" t="s">
        <v>6348</v>
      </c>
      <c r="G1224" s="69" t="s">
        <v>140</v>
      </c>
      <c r="H1224" s="70">
        <v>2023</v>
      </c>
      <c r="I1224" s="69" t="s">
        <v>63</v>
      </c>
      <c r="J1224" s="69" t="s">
        <v>6349</v>
      </c>
      <c r="K1224" s="71" t="s">
        <v>6350</v>
      </c>
      <c r="L1224" s="71" t="s">
        <v>6351</v>
      </c>
      <c r="M1224" s="71" t="s">
        <v>6352</v>
      </c>
      <c r="N1224" s="69" t="s">
        <v>44</v>
      </c>
      <c r="O1224" s="64">
        <v>1</v>
      </c>
      <c r="P1224" s="72">
        <v>24893000</v>
      </c>
      <c r="Q1224" s="69" t="s">
        <v>6353</v>
      </c>
      <c r="R1224" s="69"/>
      <c r="S1224" s="121" t="s">
        <v>646</v>
      </c>
      <c r="T1224" s="56">
        <v>29</v>
      </c>
      <c r="U1224" s="56">
        <v>3</v>
      </c>
    </row>
    <row r="1225" spans="1:21" ht="14.25" customHeight="1" x14ac:dyDescent="0.35">
      <c r="A1225" s="47">
        <v>1209</v>
      </c>
      <c r="B1225" s="69" t="s">
        <v>79</v>
      </c>
      <c r="C1225" s="69" t="s">
        <v>80</v>
      </c>
      <c r="D1225" s="70" t="s">
        <v>6354</v>
      </c>
      <c r="E1225" s="69" t="s">
        <v>3340</v>
      </c>
      <c r="F1225" s="69" t="s">
        <v>246</v>
      </c>
      <c r="G1225" s="69" t="s">
        <v>54</v>
      </c>
      <c r="H1225" s="70">
        <v>2022</v>
      </c>
      <c r="I1225" s="69" t="s">
        <v>63</v>
      </c>
      <c r="J1225" s="69" t="s">
        <v>6355</v>
      </c>
      <c r="K1225" s="71" t="s">
        <v>6356</v>
      </c>
      <c r="L1225" s="71" t="s">
        <v>6357</v>
      </c>
      <c r="M1225" s="71" t="s">
        <v>6358</v>
      </c>
      <c r="N1225" s="69" t="s">
        <v>44</v>
      </c>
      <c r="O1225" s="64">
        <v>1</v>
      </c>
      <c r="P1225" s="72">
        <v>19234807</v>
      </c>
      <c r="Q1225" s="69"/>
      <c r="R1225" s="69"/>
      <c r="S1225" s="121" t="s">
        <v>646</v>
      </c>
      <c r="T1225" s="56">
        <v>29</v>
      </c>
      <c r="U1225" s="56">
        <v>3</v>
      </c>
    </row>
    <row r="1226" spans="1:21" ht="14.25" customHeight="1" thickBot="1" x14ac:dyDescent="0.4">
      <c r="A1226" s="58">
        <v>1210</v>
      </c>
      <c r="B1226" s="69" t="s">
        <v>79</v>
      </c>
      <c r="C1226" s="69" t="s">
        <v>80</v>
      </c>
      <c r="D1226" s="70" t="s">
        <v>6359</v>
      </c>
      <c r="E1226" s="69" t="s">
        <v>3353</v>
      </c>
      <c r="F1226" s="69" t="s">
        <v>3354</v>
      </c>
      <c r="G1226" s="69" t="s">
        <v>54</v>
      </c>
      <c r="H1226" s="70">
        <v>2022</v>
      </c>
      <c r="I1226" s="69" t="s">
        <v>63</v>
      </c>
      <c r="J1226" s="69" t="s">
        <v>6360</v>
      </c>
      <c r="K1226" s="71" t="s">
        <v>6361</v>
      </c>
      <c r="L1226" s="71" t="s">
        <v>6362</v>
      </c>
      <c r="M1226" s="71" t="s">
        <v>6363</v>
      </c>
      <c r="N1226" s="69" t="s">
        <v>44</v>
      </c>
      <c r="O1226" s="64">
        <v>1</v>
      </c>
      <c r="P1226" s="72">
        <v>56550000</v>
      </c>
      <c r="Q1226" s="69"/>
      <c r="R1226" s="69"/>
      <c r="S1226" s="121" t="s">
        <v>646</v>
      </c>
      <c r="T1226" s="56">
        <v>29</v>
      </c>
      <c r="U1226" s="56">
        <v>3</v>
      </c>
    </row>
    <row r="1227" spans="1:21" ht="14.25" customHeight="1" x14ac:dyDescent="0.35">
      <c r="A1227" s="47">
        <v>1211</v>
      </c>
      <c r="B1227" s="69" t="s">
        <v>79</v>
      </c>
      <c r="C1227" s="69" t="s">
        <v>80</v>
      </c>
      <c r="D1227" s="70" t="s">
        <v>6364</v>
      </c>
      <c r="E1227" s="69" t="s">
        <v>6365</v>
      </c>
      <c r="F1227" s="69"/>
      <c r="G1227" s="69" t="s">
        <v>63</v>
      </c>
      <c r="H1227" s="70">
        <v>2024</v>
      </c>
      <c r="I1227" s="69" t="s">
        <v>63</v>
      </c>
      <c r="J1227" s="69" t="s">
        <v>63</v>
      </c>
      <c r="K1227" s="71" t="s">
        <v>63</v>
      </c>
      <c r="L1227" s="71" t="s">
        <v>63</v>
      </c>
      <c r="M1227" s="71" t="s">
        <v>63</v>
      </c>
      <c r="N1227" s="69" t="s">
        <v>44</v>
      </c>
      <c r="O1227" s="64">
        <v>1</v>
      </c>
      <c r="P1227" s="72">
        <v>362600000</v>
      </c>
      <c r="Q1227" s="69" t="s">
        <v>6366</v>
      </c>
      <c r="R1227" s="69"/>
      <c r="S1227" s="121" t="s">
        <v>646</v>
      </c>
      <c r="T1227" s="56">
        <v>29</v>
      </c>
      <c r="U1227" s="56">
        <v>3</v>
      </c>
    </row>
    <row r="1228" spans="1:21" ht="14.25" customHeight="1" thickBot="1" x14ac:dyDescent="0.4">
      <c r="A1228" s="58">
        <v>1212</v>
      </c>
      <c r="B1228" s="69" t="s">
        <v>79</v>
      </c>
      <c r="C1228" s="69" t="s">
        <v>80</v>
      </c>
      <c r="D1228" s="70" t="s">
        <v>6367</v>
      </c>
      <c r="E1228" s="69" t="s">
        <v>147</v>
      </c>
      <c r="F1228" s="69" t="s">
        <v>148</v>
      </c>
      <c r="G1228" s="69" t="s">
        <v>140</v>
      </c>
      <c r="H1228" s="70">
        <v>2015</v>
      </c>
      <c r="I1228" s="69"/>
      <c r="J1228" s="69" t="s">
        <v>6368</v>
      </c>
      <c r="K1228" s="71" t="s">
        <v>6369</v>
      </c>
      <c r="L1228" s="71" t="s">
        <v>6370</v>
      </c>
      <c r="M1228" s="71" t="s">
        <v>6371</v>
      </c>
      <c r="N1228" s="69" t="s">
        <v>57</v>
      </c>
      <c r="O1228" s="64">
        <v>1</v>
      </c>
      <c r="P1228" s="72">
        <v>19430000</v>
      </c>
      <c r="Q1228" s="69" t="s">
        <v>6372</v>
      </c>
      <c r="R1228" s="69"/>
      <c r="S1228" s="121" t="s">
        <v>646</v>
      </c>
      <c r="T1228" s="56">
        <v>29</v>
      </c>
      <c r="U1228" s="56">
        <v>3</v>
      </c>
    </row>
    <row r="1229" spans="1:21" ht="14.25" customHeight="1" x14ac:dyDescent="0.35">
      <c r="A1229" s="47">
        <v>1213</v>
      </c>
      <c r="B1229" s="69" t="s">
        <v>79</v>
      </c>
      <c r="C1229" s="69" t="s">
        <v>80</v>
      </c>
      <c r="D1229" s="70" t="s">
        <v>6373</v>
      </c>
      <c r="E1229" s="69" t="s">
        <v>4756</v>
      </c>
      <c r="F1229" s="69" t="s">
        <v>2386</v>
      </c>
      <c r="G1229" s="69" t="s">
        <v>54</v>
      </c>
      <c r="H1229" s="70">
        <v>2012</v>
      </c>
      <c r="I1229" s="69"/>
      <c r="J1229" s="69" t="s">
        <v>6374</v>
      </c>
      <c r="K1229" s="71" t="s">
        <v>6375</v>
      </c>
      <c r="L1229" s="71" t="s">
        <v>6376</v>
      </c>
      <c r="M1229" s="71" t="s">
        <v>6377</v>
      </c>
      <c r="N1229" s="69" t="s">
        <v>57</v>
      </c>
      <c r="O1229" s="64">
        <v>1</v>
      </c>
      <c r="P1229" s="72">
        <v>13587125</v>
      </c>
      <c r="Q1229" s="69" t="s">
        <v>6378</v>
      </c>
      <c r="R1229" s="69"/>
      <c r="S1229" s="121" t="s">
        <v>646</v>
      </c>
      <c r="T1229" s="56">
        <v>29</v>
      </c>
      <c r="U1229" s="56">
        <v>3</v>
      </c>
    </row>
    <row r="1230" spans="1:21" ht="14.25" customHeight="1" thickBot="1" x14ac:dyDescent="0.4">
      <c r="A1230" s="58">
        <v>1214</v>
      </c>
      <c r="B1230" s="69" t="s">
        <v>2244</v>
      </c>
      <c r="C1230" s="69" t="s">
        <v>2245</v>
      </c>
      <c r="D1230" s="70" t="s">
        <v>51</v>
      </c>
      <c r="E1230" s="69" t="s">
        <v>2246</v>
      </c>
      <c r="F1230" s="69" t="s">
        <v>63</v>
      </c>
      <c r="G1230" s="69" t="s">
        <v>415</v>
      </c>
      <c r="H1230" s="70">
        <v>2019</v>
      </c>
      <c r="I1230" s="69" t="s">
        <v>63</v>
      </c>
      <c r="J1230" s="69" t="s">
        <v>6379</v>
      </c>
      <c r="K1230" s="71" t="s">
        <v>6380</v>
      </c>
      <c r="L1230" s="71" t="s">
        <v>6381</v>
      </c>
      <c r="M1230" s="71" t="s">
        <v>63</v>
      </c>
      <c r="N1230" s="69" t="s">
        <v>57</v>
      </c>
      <c r="O1230" s="64">
        <v>1</v>
      </c>
      <c r="P1230" s="72">
        <v>33000000</v>
      </c>
      <c r="Q1230" s="69" t="s">
        <v>63</v>
      </c>
      <c r="R1230" s="69"/>
      <c r="S1230" s="121" t="s">
        <v>646</v>
      </c>
      <c r="T1230" s="56">
        <v>29</v>
      </c>
      <c r="U1230" s="56">
        <v>3</v>
      </c>
    </row>
    <row r="1231" spans="1:21" ht="14.25" customHeight="1" x14ac:dyDescent="0.35">
      <c r="A1231" s="47">
        <v>1215</v>
      </c>
      <c r="B1231" s="69" t="s">
        <v>2244</v>
      </c>
      <c r="C1231" s="69" t="s">
        <v>2245</v>
      </c>
      <c r="D1231" s="70" t="s">
        <v>97</v>
      </c>
      <c r="E1231" s="69" t="s">
        <v>4872</v>
      </c>
      <c r="F1231" s="69" t="s">
        <v>88</v>
      </c>
      <c r="G1231" s="69" t="s">
        <v>2955</v>
      </c>
      <c r="H1231" s="70">
        <v>2020</v>
      </c>
      <c r="I1231" s="69" t="s">
        <v>63</v>
      </c>
      <c r="J1231" s="69" t="s">
        <v>6382</v>
      </c>
      <c r="K1231" s="71" t="s">
        <v>6383</v>
      </c>
      <c r="L1231" s="71" t="s">
        <v>6384</v>
      </c>
      <c r="M1231" s="71" t="s">
        <v>63</v>
      </c>
      <c r="N1231" s="69" t="s">
        <v>57</v>
      </c>
      <c r="O1231" s="64">
        <v>1</v>
      </c>
      <c r="P1231" s="72">
        <v>21300000</v>
      </c>
      <c r="Q1231" s="69" t="s">
        <v>6385</v>
      </c>
      <c r="R1231" s="69"/>
      <c r="S1231" s="121" t="s">
        <v>646</v>
      </c>
      <c r="T1231" s="56">
        <v>29</v>
      </c>
      <c r="U1231" s="56">
        <v>3</v>
      </c>
    </row>
    <row r="1232" spans="1:21" ht="14.25" customHeight="1" thickBot="1" x14ac:dyDescent="0.4">
      <c r="A1232" s="58">
        <v>1216</v>
      </c>
      <c r="B1232" s="69" t="s">
        <v>58</v>
      </c>
      <c r="C1232" s="69" t="s">
        <v>50</v>
      </c>
      <c r="D1232" s="70" t="s">
        <v>51</v>
      </c>
      <c r="E1232" s="69" t="s">
        <v>6386</v>
      </c>
      <c r="F1232" s="69" t="s">
        <v>1640</v>
      </c>
      <c r="G1232" s="69" t="s">
        <v>140</v>
      </c>
      <c r="H1232" s="70">
        <v>2011</v>
      </c>
      <c r="I1232" s="69"/>
      <c r="J1232" s="69" t="s">
        <v>6387</v>
      </c>
      <c r="K1232" s="71" t="s">
        <v>6388</v>
      </c>
      <c r="L1232" s="71" t="s">
        <v>6389</v>
      </c>
      <c r="M1232" s="71" t="s">
        <v>6390</v>
      </c>
      <c r="N1232" s="69" t="s">
        <v>57</v>
      </c>
      <c r="O1232" s="64">
        <v>1</v>
      </c>
      <c r="P1232" s="72">
        <v>271285000</v>
      </c>
      <c r="Q1232" s="69" t="s">
        <v>6391</v>
      </c>
      <c r="R1232" s="69"/>
      <c r="S1232" s="121" t="s">
        <v>665</v>
      </c>
      <c r="T1232" s="56">
        <v>30</v>
      </c>
      <c r="U1232" s="56">
        <v>4</v>
      </c>
    </row>
    <row r="1233" spans="1:21" ht="14.25" customHeight="1" x14ac:dyDescent="0.35">
      <c r="A1233" s="47">
        <v>1217</v>
      </c>
      <c r="B1233" s="69" t="s">
        <v>1806</v>
      </c>
      <c r="C1233" s="69" t="s">
        <v>1807</v>
      </c>
      <c r="D1233" s="70" t="s">
        <v>59</v>
      </c>
      <c r="E1233" s="69" t="s">
        <v>6392</v>
      </c>
      <c r="F1233" s="69" t="s">
        <v>4349</v>
      </c>
      <c r="G1233" s="69" t="s">
        <v>140</v>
      </c>
      <c r="H1233" s="70">
        <v>2024</v>
      </c>
      <c r="I1233" s="69" t="s">
        <v>63</v>
      </c>
      <c r="J1233" s="69" t="s">
        <v>6393</v>
      </c>
      <c r="K1233" s="71" t="s">
        <v>6394</v>
      </c>
      <c r="L1233" s="71" t="s">
        <v>6395</v>
      </c>
      <c r="M1233" s="71" t="s">
        <v>6396</v>
      </c>
      <c r="N1233" s="69" t="s">
        <v>44</v>
      </c>
      <c r="O1233" s="64">
        <v>1</v>
      </c>
      <c r="P1233" s="72">
        <v>424000000</v>
      </c>
      <c r="Q1233" s="69" t="s">
        <v>6397</v>
      </c>
      <c r="R1233" s="69"/>
      <c r="S1233" s="121" t="s">
        <v>665</v>
      </c>
      <c r="T1233" s="56">
        <v>30</v>
      </c>
      <c r="U1233" s="56">
        <v>4</v>
      </c>
    </row>
    <row r="1234" spans="1:21" ht="14.25" customHeight="1" thickBot="1" x14ac:dyDescent="0.4">
      <c r="A1234" s="58">
        <v>1218</v>
      </c>
      <c r="B1234" s="69" t="s">
        <v>70</v>
      </c>
      <c r="C1234" s="69" t="s">
        <v>71</v>
      </c>
      <c r="D1234" s="70" t="s">
        <v>59</v>
      </c>
      <c r="E1234" s="69" t="s">
        <v>6398</v>
      </c>
      <c r="F1234" s="69" t="s">
        <v>4349</v>
      </c>
      <c r="G1234" s="69" t="s">
        <v>140</v>
      </c>
      <c r="H1234" s="70">
        <v>2024</v>
      </c>
      <c r="I1234" s="69" t="s">
        <v>63</v>
      </c>
      <c r="J1234" s="69" t="s">
        <v>6399</v>
      </c>
      <c r="K1234" s="71" t="s">
        <v>6400</v>
      </c>
      <c r="L1234" s="71" t="s">
        <v>6401</v>
      </c>
      <c r="M1234" s="71" t="s">
        <v>6402</v>
      </c>
      <c r="N1234" s="69" t="s">
        <v>44</v>
      </c>
      <c r="O1234" s="64">
        <v>1</v>
      </c>
      <c r="P1234" s="72">
        <v>478300000</v>
      </c>
      <c r="Q1234" s="69" t="s">
        <v>6403</v>
      </c>
      <c r="R1234" s="69"/>
      <c r="S1234" s="121" t="s">
        <v>665</v>
      </c>
      <c r="T1234" s="56">
        <v>30</v>
      </c>
      <c r="U1234" s="56">
        <v>4</v>
      </c>
    </row>
    <row r="1235" spans="1:21" ht="14.25" customHeight="1" x14ac:dyDescent="0.35">
      <c r="A1235" s="47">
        <v>1219</v>
      </c>
      <c r="B1235" s="69" t="s">
        <v>79</v>
      </c>
      <c r="C1235" s="69" t="s">
        <v>80</v>
      </c>
      <c r="D1235" s="70" t="s">
        <v>51</v>
      </c>
      <c r="E1235" s="69" t="s">
        <v>6404</v>
      </c>
      <c r="F1235" s="69" t="s">
        <v>82</v>
      </c>
      <c r="G1235" s="69" t="s">
        <v>54</v>
      </c>
      <c r="H1235" s="70">
        <v>2004</v>
      </c>
      <c r="I1235" s="69"/>
      <c r="J1235" s="69" t="s">
        <v>6405</v>
      </c>
      <c r="K1235" s="71" t="s">
        <v>6406</v>
      </c>
      <c r="L1235" s="71" t="s">
        <v>6407</v>
      </c>
      <c r="M1235" s="71" t="s">
        <v>6408</v>
      </c>
      <c r="N1235" s="69" t="s">
        <v>57</v>
      </c>
      <c r="O1235" s="64">
        <v>1</v>
      </c>
      <c r="P1235" s="72">
        <v>11750000</v>
      </c>
      <c r="Q1235" s="69" t="s">
        <v>6409</v>
      </c>
      <c r="R1235" s="69"/>
      <c r="S1235" s="121" t="s">
        <v>665</v>
      </c>
      <c r="T1235" s="56">
        <v>30</v>
      </c>
      <c r="U1235" s="56">
        <v>3</v>
      </c>
    </row>
    <row r="1236" spans="1:21" ht="14.25" customHeight="1" thickBot="1" x14ac:dyDescent="0.4">
      <c r="A1236" s="58">
        <v>1220</v>
      </c>
      <c r="B1236" s="69" t="s">
        <v>79</v>
      </c>
      <c r="C1236" s="69" t="s">
        <v>80</v>
      </c>
      <c r="D1236" s="70" t="s">
        <v>59</v>
      </c>
      <c r="E1236" s="69" t="s">
        <v>6410</v>
      </c>
      <c r="F1236" s="69" t="s">
        <v>443</v>
      </c>
      <c r="G1236" s="69" t="s">
        <v>140</v>
      </c>
      <c r="H1236" s="70">
        <v>2005</v>
      </c>
      <c r="I1236" s="69"/>
      <c r="J1236" s="69" t="s">
        <v>6411</v>
      </c>
      <c r="K1236" s="71" t="s">
        <v>6412</v>
      </c>
      <c r="L1236" s="71" t="s">
        <v>6413</v>
      </c>
      <c r="M1236" s="71" t="s">
        <v>6414</v>
      </c>
      <c r="N1236" s="69" t="s">
        <v>57</v>
      </c>
      <c r="O1236" s="64">
        <v>1</v>
      </c>
      <c r="P1236" s="72">
        <v>12855000</v>
      </c>
      <c r="Q1236" s="69"/>
      <c r="R1236" s="69"/>
      <c r="S1236" s="121" t="s">
        <v>665</v>
      </c>
      <c r="T1236" s="56">
        <v>30</v>
      </c>
      <c r="U1236" s="56">
        <v>3</v>
      </c>
    </row>
    <row r="1237" spans="1:21" ht="14.25" customHeight="1" x14ac:dyDescent="0.35">
      <c r="A1237" s="47">
        <v>1221</v>
      </c>
      <c r="B1237" s="69" t="s">
        <v>79</v>
      </c>
      <c r="C1237" s="69" t="s">
        <v>80</v>
      </c>
      <c r="D1237" s="70" t="s">
        <v>97</v>
      </c>
      <c r="E1237" s="69" t="s">
        <v>6410</v>
      </c>
      <c r="F1237" s="69" t="s">
        <v>443</v>
      </c>
      <c r="G1237" s="69" t="s">
        <v>140</v>
      </c>
      <c r="H1237" s="70">
        <v>2005</v>
      </c>
      <c r="I1237" s="69"/>
      <c r="J1237" s="69" t="s">
        <v>6415</v>
      </c>
      <c r="K1237" s="71" t="s">
        <v>6416</v>
      </c>
      <c r="L1237" s="71" t="s">
        <v>6417</v>
      </c>
      <c r="M1237" s="71" t="s">
        <v>6418</v>
      </c>
      <c r="N1237" s="69" t="s">
        <v>57</v>
      </c>
      <c r="O1237" s="64">
        <v>1</v>
      </c>
      <c r="P1237" s="72">
        <v>12855000</v>
      </c>
      <c r="Q1237" s="69"/>
      <c r="R1237" s="69"/>
      <c r="S1237" s="121" t="s">
        <v>665</v>
      </c>
      <c r="T1237" s="56">
        <v>30</v>
      </c>
      <c r="U1237" s="56">
        <v>3</v>
      </c>
    </row>
    <row r="1238" spans="1:21" ht="14.25" customHeight="1" thickBot="1" x14ac:dyDescent="0.4">
      <c r="A1238" s="58">
        <v>1222</v>
      </c>
      <c r="B1238" s="69" t="s">
        <v>79</v>
      </c>
      <c r="C1238" s="69" t="s">
        <v>80</v>
      </c>
      <c r="D1238" s="70" t="s">
        <v>116</v>
      </c>
      <c r="E1238" s="69" t="s">
        <v>5046</v>
      </c>
      <c r="F1238" s="69" t="s">
        <v>202</v>
      </c>
      <c r="G1238" s="69" t="s">
        <v>54</v>
      </c>
      <c r="H1238" s="70">
        <v>2012</v>
      </c>
      <c r="I1238" s="69"/>
      <c r="J1238" s="69" t="s">
        <v>6419</v>
      </c>
      <c r="K1238" s="71" t="s">
        <v>6420</v>
      </c>
      <c r="L1238" s="71" t="s">
        <v>6421</v>
      </c>
      <c r="M1238" s="71" t="s">
        <v>6422</v>
      </c>
      <c r="N1238" s="69" t="s">
        <v>57</v>
      </c>
      <c r="O1238" s="64">
        <v>1</v>
      </c>
      <c r="P1238" s="72">
        <v>12557550</v>
      </c>
      <c r="Q1238" s="69" t="s">
        <v>6423</v>
      </c>
      <c r="R1238" s="69"/>
      <c r="S1238" s="121" t="s">
        <v>665</v>
      </c>
      <c r="T1238" s="56">
        <v>30</v>
      </c>
      <c r="U1238" s="56">
        <v>3</v>
      </c>
    </row>
    <row r="1239" spans="1:21" ht="14.25" customHeight="1" x14ac:dyDescent="0.35">
      <c r="A1239" s="47">
        <v>1223</v>
      </c>
      <c r="B1239" s="69" t="s">
        <v>79</v>
      </c>
      <c r="C1239" s="69" t="s">
        <v>80</v>
      </c>
      <c r="D1239" s="70" t="s">
        <v>841</v>
      </c>
      <c r="E1239" s="69" t="s">
        <v>1860</v>
      </c>
      <c r="F1239" s="69" t="s">
        <v>202</v>
      </c>
      <c r="G1239" s="69" t="s">
        <v>54</v>
      </c>
      <c r="H1239" s="70">
        <v>2012</v>
      </c>
      <c r="I1239" s="69"/>
      <c r="J1239" s="69" t="s">
        <v>6424</v>
      </c>
      <c r="K1239" s="71" t="s">
        <v>6425</v>
      </c>
      <c r="L1239" s="71" t="s">
        <v>6426</v>
      </c>
      <c r="M1239" s="71" t="s">
        <v>6427</v>
      </c>
      <c r="N1239" s="69" t="s">
        <v>57</v>
      </c>
      <c r="O1239" s="64">
        <v>1</v>
      </c>
      <c r="P1239" s="72">
        <v>13177550</v>
      </c>
      <c r="Q1239" s="69" t="s">
        <v>6428</v>
      </c>
      <c r="R1239" s="69"/>
      <c r="S1239" s="121" t="s">
        <v>665</v>
      </c>
      <c r="T1239" s="56">
        <v>30</v>
      </c>
      <c r="U1239" s="56">
        <v>3</v>
      </c>
    </row>
    <row r="1240" spans="1:21" ht="14.25" customHeight="1" thickBot="1" x14ac:dyDescent="0.4">
      <c r="A1240" s="58">
        <v>1224</v>
      </c>
      <c r="B1240" s="69" t="s">
        <v>79</v>
      </c>
      <c r="C1240" s="69" t="s">
        <v>80</v>
      </c>
      <c r="D1240" s="70" t="s">
        <v>904</v>
      </c>
      <c r="E1240" s="69" t="s">
        <v>3304</v>
      </c>
      <c r="F1240" s="69" t="s">
        <v>443</v>
      </c>
      <c r="G1240" s="69" t="s">
        <v>54</v>
      </c>
      <c r="H1240" s="70">
        <v>2013</v>
      </c>
      <c r="I1240" s="69" t="s">
        <v>63</v>
      </c>
      <c r="J1240" s="69" t="s">
        <v>6429</v>
      </c>
      <c r="K1240" s="71" t="s">
        <v>6430</v>
      </c>
      <c r="L1240" s="71" t="s">
        <v>6431</v>
      </c>
      <c r="M1240" s="71" t="s">
        <v>6432</v>
      </c>
      <c r="N1240" s="69" t="s">
        <v>57</v>
      </c>
      <c r="O1240" s="64">
        <v>1</v>
      </c>
      <c r="P1240" s="72">
        <v>13055500</v>
      </c>
      <c r="Q1240" s="69" t="s">
        <v>6428</v>
      </c>
      <c r="R1240" s="69"/>
      <c r="S1240" s="121" t="s">
        <v>665</v>
      </c>
      <c r="T1240" s="56">
        <v>30</v>
      </c>
      <c r="U1240" s="56">
        <v>3</v>
      </c>
    </row>
    <row r="1241" spans="1:21" ht="14.25" customHeight="1" x14ac:dyDescent="0.35">
      <c r="A1241" s="47">
        <v>1225</v>
      </c>
      <c r="B1241" s="69" t="s">
        <v>79</v>
      </c>
      <c r="C1241" s="69" t="s">
        <v>80</v>
      </c>
      <c r="D1241" s="70" t="s">
        <v>126</v>
      </c>
      <c r="E1241" s="69" t="s">
        <v>1383</v>
      </c>
      <c r="F1241" s="69" t="s">
        <v>163</v>
      </c>
      <c r="G1241" s="69" t="s">
        <v>140</v>
      </c>
      <c r="H1241" s="70">
        <v>2015</v>
      </c>
      <c r="I1241" s="69"/>
      <c r="J1241" s="69" t="s">
        <v>6433</v>
      </c>
      <c r="K1241" s="71" t="s">
        <v>6434</v>
      </c>
      <c r="L1241" s="71" t="s">
        <v>6435</v>
      </c>
      <c r="M1241" s="71" t="s">
        <v>6436</v>
      </c>
      <c r="N1241" s="69" t="s">
        <v>57</v>
      </c>
      <c r="O1241" s="64">
        <v>1</v>
      </c>
      <c r="P1241" s="72">
        <v>14962333</v>
      </c>
      <c r="Q1241" s="69" t="s">
        <v>6437</v>
      </c>
      <c r="R1241" s="69"/>
      <c r="S1241" s="121" t="s">
        <v>665</v>
      </c>
      <c r="T1241" s="56">
        <v>30</v>
      </c>
      <c r="U1241" s="56">
        <v>3</v>
      </c>
    </row>
    <row r="1242" spans="1:21" ht="14.25" customHeight="1" thickBot="1" x14ac:dyDescent="0.4">
      <c r="A1242" s="58">
        <v>1226</v>
      </c>
      <c r="B1242" s="69" t="s">
        <v>79</v>
      </c>
      <c r="C1242" s="69" t="s">
        <v>80</v>
      </c>
      <c r="D1242" s="70" t="s">
        <v>132</v>
      </c>
      <c r="E1242" s="69" t="s">
        <v>2574</v>
      </c>
      <c r="F1242" s="69" t="s">
        <v>88</v>
      </c>
      <c r="G1242" s="69" t="s">
        <v>140</v>
      </c>
      <c r="H1242" s="70">
        <v>2015</v>
      </c>
      <c r="I1242" s="69"/>
      <c r="J1242" s="69" t="s">
        <v>6438</v>
      </c>
      <c r="K1242" s="71" t="s">
        <v>6439</v>
      </c>
      <c r="L1242" s="71" t="s">
        <v>6440</v>
      </c>
      <c r="M1242" s="71" t="s">
        <v>6441</v>
      </c>
      <c r="N1242" s="69" t="s">
        <v>57</v>
      </c>
      <c r="O1242" s="64">
        <v>1</v>
      </c>
      <c r="P1242" s="72">
        <v>16898000</v>
      </c>
      <c r="Q1242" s="69" t="s">
        <v>6442</v>
      </c>
      <c r="R1242" s="69"/>
      <c r="S1242" s="121" t="s">
        <v>665</v>
      </c>
      <c r="T1242" s="56">
        <v>30</v>
      </c>
      <c r="U1242" s="56">
        <v>3</v>
      </c>
    </row>
    <row r="1243" spans="1:21" ht="14.25" customHeight="1" x14ac:dyDescent="0.35">
      <c r="A1243" s="47">
        <v>1227</v>
      </c>
      <c r="B1243" s="69" t="s">
        <v>79</v>
      </c>
      <c r="C1243" s="69" t="s">
        <v>80</v>
      </c>
      <c r="D1243" s="70" t="s">
        <v>137</v>
      </c>
      <c r="E1243" s="69" t="s">
        <v>147</v>
      </c>
      <c r="F1243" s="69" t="s">
        <v>148</v>
      </c>
      <c r="G1243" s="69" t="s">
        <v>140</v>
      </c>
      <c r="H1243" s="70">
        <v>2015</v>
      </c>
      <c r="I1243" s="69"/>
      <c r="J1243" s="69" t="s">
        <v>6443</v>
      </c>
      <c r="K1243" s="71" t="s">
        <v>6444</v>
      </c>
      <c r="L1243" s="71" t="s">
        <v>6445</v>
      </c>
      <c r="M1243" s="71" t="s">
        <v>6446</v>
      </c>
      <c r="N1243" s="69" t="s">
        <v>57</v>
      </c>
      <c r="O1243" s="64">
        <v>1</v>
      </c>
      <c r="P1243" s="72">
        <v>19430000</v>
      </c>
      <c r="Q1243" s="69" t="s">
        <v>6447</v>
      </c>
      <c r="R1243" s="69"/>
      <c r="S1243" s="121" t="s">
        <v>665</v>
      </c>
      <c r="T1243" s="56">
        <v>30</v>
      </c>
      <c r="U1243" s="56">
        <v>3</v>
      </c>
    </row>
    <row r="1244" spans="1:21" ht="14.25" customHeight="1" thickBot="1" x14ac:dyDescent="0.4">
      <c r="A1244" s="58">
        <v>1228</v>
      </c>
      <c r="B1244" s="69" t="s">
        <v>79</v>
      </c>
      <c r="C1244" s="69" t="s">
        <v>80</v>
      </c>
      <c r="D1244" s="70" t="s">
        <v>146</v>
      </c>
      <c r="E1244" s="69" t="s">
        <v>147</v>
      </c>
      <c r="F1244" s="69" t="s">
        <v>148</v>
      </c>
      <c r="G1244" s="69" t="s">
        <v>140</v>
      </c>
      <c r="H1244" s="70">
        <v>2015</v>
      </c>
      <c r="I1244" s="69"/>
      <c r="J1244" s="69" t="s">
        <v>6448</v>
      </c>
      <c r="K1244" s="71" t="s">
        <v>6449</v>
      </c>
      <c r="L1244" s="71" t="s">
        <v>6450</v>
      </c>
      <c r="M1244" s="71" t="s">
        <v>6451</v>
      </c>
      <c r="N1244" s="69" t="s">
        <v>57</v>
      </c>
      <c r="O1244" s="64">
        <v>1</v>
      </c>
      <c r="P1244" s="72">
        <v>19430000</v>
      </c>
      <c r="Q1244" s="69" t="s">
        <v>6428</v>
      </c>
      <c r="R1244" s="69"/>
      <c r="S1244" s="121" t="s">
        <v>665</v>
      </c>
      <c r="T1244" s="56">
        <v>30</v>
      </c>
      <c r="U1244" s="56">
        <v>3</v>
      </c>
    </row>
    <row r="1245" spans="1:21" ht="14.25" customHeight="1" x14ac:dyDescent="0.35">
      <c r="A1245" s="47">
        <v>1229</v>
      </c>
      <c r="B1245" s="69" t="s">
        <v>79</v>
      </c>
      <c r="C1245" s="69" t="s">
        <v>80</v>
      </c>
      <c r="D1245" s="70" t="s">
        <v>154</v>
      </c>
      <c r="E1245" s="69" t="s">
        <v>147</v>
      </c>
      <c r="F1245" s="69" t="s">
        <v>148</v>
      </c>
      <c r="G1245" s="69" t="s">
        <v>140</v>
      </c>
      <c r="H1245" s="70">
        <v>2015</v>
      </c>
      <c r="I1245" s="69"/>
      <c r="J1245" s="69" t="s">
        <v>6452</v>
      </c>
      <c r="K1245" s="71" t="s">
        <v>6453</v>
      </c>
      <c r="L1245" s="71" t="s">
        <v>6454</v>
      </c>
      <c r="M1245" s="71" t="s">
        <v>6455</v>
      </c>
      <c r="N1245" s="69" t="s">
        <v>57</v>
      </c>
      <c r="O1245" s="64">
        <v>1</v>
      </c>
      <c r="P1245" s="72">
        <v>19430000</v>
      </c>
      <c r="Q1245" s="69" t="s">
        <v>6456</v>
      </c>
      <c r="R1245" s="69"/>
      <c r="S1245" s="121" t="s">
        <v>665</v>
      </c>
      <c r="T1245" s="56">
        <v>30</v>
      </c>
      <c r="U1245" s="56">
        <v>3</v>
      </c>
    </row>
    <row r="1246" spans="1:21" ht="14.25" customHeight="1" thickBot="1" x14ac:dyDescent="0.4">
      <c r="A1246" s="58">
        <v>1230</v>
      </c>
      <c r="B1246" s="69" t="s">
        <v>79</v>
      </c>
      <c r="C1246" s="69" t="s">
        <v>80</v>
      </c>
      <c r="D1246" s="70" t="s">
        <v>161</v>
      </c>
      <c r="E1246" s="69" t="s">
        <v>155</v>
      </c>
      <c r="F1246" s="69" t="s">
        <v>163</v>
      </c>
      <c r="G1246" s="69" t="s">
        <v>140</v>
      </c>
      <c r="H1246" s="70">
        <v>2017</v>
      </c>
      <c r="I1246" s="69" t="s">
        <v>63</v>
      </c>
      <c r="J1246" s="69" t="s">
        <v>6457</v>
      </c>
      <c r="K1246" s="71" t="s">
        <v>6458</v>
      </c>
      <c r="L1246" s="71" t="s">
        <v>6459</v>
      </c>
      <c r="M1246" s="71" t="s">
        <v>6460</v>
      </c>
      <c r="N1246" s="69" t="s">
        <v>57</v>
      </c>
      <c r="O1246" s="64">
        <v>1</v>
      </c>
      <c r="P1246" s="72">
        <v>15252264</v>
      </c>
      <c r="Q1246" s="69" t="s">
        <v>6461</v>
      </c>
      <c r="R1246" s="69"/>
      <c r="S1246" s="121" t="s">
        <v>665</v>
      </c>
      <c r="T1246" s="56">
        <v>30</v>
      </c>
      <c r="U1246" s="56">
        <v>3</v>
      </c>
    </row>
    <row r="1247" spans="1:21" ht="14.25" customHeight="1" x14ac:dyDescent="0.35">
      <c r="A1247" s="47">
        <v>1231</v>
      </c>
      <c r="B1247" s="69" t="s">
        <v>79</v>
      </c>
      <c r="C1247" s="69" t="s">
        <v>80</v>
      </c>
      <c r="D1247" s="70" t="s">
        <v>169</v>
      </c>
      <c r="E1247" s="69" t="s">
        <v>155</v>
      </c>
      <c r="F1247" s="69" t="s">
        <v>156</v>
      </c>
      <c r="G1247" s="69" t="s">
        <v>140</v>
      </c>
      <c r="H1247" s="70">
        <v>2017</v>
      </c>
      <c r="I1247" s="69" t="s">
        <v>63</v>
      </c>
      <c r="J1247" s="69" t="s">
        <v>6462</v>
      </c>
      <c r="K1247" s="71" t="s">
        <v>6463</v>
      </c>
      <c r="L1247" s="71" t="s">
        <v>6464</v>
      </c>
      <c r="M1247" s="71" t="s">
        <v>6465</v>
      </c>
      <c r="N1247" s="69" t="s">
        <v>57</v>
      </c>
      <c r="O1247" s="64">
        <v>1</v>
      </c>
      <c r="P1247" s="72">
        <v>15252264</v>
      </c>
      <c r="Q1247" s="69" t="s">
        <v>6466</v>
      </c>
      <c r="R1247" s="69"/>
      <c r="S1247" s="121" t="s">
        <v>665</v>
      </c>
      <c r="T1247" s="56">
        <v>30</v>
      </c>
      <c r="U1247" s="56">
        <v>3</v>
      </c>
    </row>
    <row r="1248" spans="1:21" ht="14.25" customHeight="1" thickBot="1" x14ac:dyDescent="0.4">
      <c r="A1248" s="58">
        <v>1232</v>
      </c>
      <c r="B1248" s="69" t="s">
        <v>79</v>
      </c>
      <c r="C1248" s="69" t="s">
        <v>80</v>
      </c>
      <c r="D1248" s="70" t="s">
        <v>176</v>
      </c>
      <c r="E1248" s="69" t="s">
        <v>155</v>
      </c>
      <c r="F1248" s="69" t="s">
        <v>156</v>
      </c>
      <c r="G1248" s="69" t="s">
        <v>140</v>
      </c>
      <c r="H1248" s="70">
        <v>2017</v>
      </c>
      <c r="I1248" s="69" t="s">
        <v>63</v>
      </c>
      <c r="J1248" s="69" t="s">
        <v>6467</v>
      </c>
      <c r="K1248" s="71" t="s">
        <v>6468</v>
      </c>
      <c r="L1248" s="71" t="s">
        <v>6469</v>
      </c>
      <c r="M1248" s="71" t="s">
        <v>6470</v>
      </c>
      <c r="N1248" s="69" t="s">
        <v>57</v>
      </c>
      <c r="O1248" s="64">
        <v>1</v>
      </c>
      <c r="P1248" s="72">
        <v>15252264</v>
      </c>
      <c r="Q1248" s="69" t="s">
        <v>6471</v>
      </c>
      <c r="R1248" s="69"/>
      <c r="S1248" s="121" t="s">
        <v>665</v>
      </c>
      <c r="T1248" s="56">
        <v>30</v>
      </c>
      <c r="U1248" s="56">
        <v>3</v>
      </c>
    </row>
    <row r="1249" spans="1:21" ht="14.25" customHeight="1" x14ac:dyDescent="0.35">
      <c r="A1249" s="47">
        <v>1233</v>
      </c>
      <c r="B1249" s="69" t="s">
        <v>79</v>
      </c>
      <c r="C1249" s="69" t="s">
        <v>80</v>
      </c>
      <c r="D1249" s="70" t="s">
        <v>1236</v>
      </c>
      <c r="E1249" s="69" t="s">
        <v>155</v>
      </c>
      <c r="F1249" s="69" t="s">
        <v>163</v>
      </c>
      <c r="G1249" s="69" t="s">
        <v>140</v>
      </c>
      <c r="H1249" s="70">
        <v>2017</v>
      </c>
      <c r="I1249" s="69" t="s">
        <v>63</v>
      </c>
      <c r="J1249" s="69" t="s">
        <v>6472</v>
      </c>
      <c r="K1249" s="71" t="s">
        <v>6473</v>
      </c>
      <c r="L1249" s="71" t="s">
        <v>6474</v>
      </c>
      <c r="M1249" s="71" t="s">
        <v>6475</v>
      </c>
      <c r="N1249" s="69" t="s">
        <v>57</v>
      </c>
      <c r="O1249" s="64">
        <v>1</v>
      </c>
      <c r="P1249" s="72">
        <v>15252264</v>
      </c>
      <c r="Q1249" s="69" t="s">
        <v>6476</v>
      </c>
      <c r="R1249" s="69"/>
      <c r="S1249" s="121" t="s">
        <v>665</v>
      </c>
      <c r="T1249" s="56">
        <v>30</v>
      </c>
      <c r="U1249" s="56">
        <v>3</v>
      </c>
    </row>
    <row r="1250" spans="1:21" ht="14.25" customHeight="1" thickBot="1" x14ac:dyDescent="0.4">
      <c r="A1250" s="58">
        <v>1234</v>
      </c>
      <c r="B1250" s="69" t="s">
        <v>79</v>
      </c>
      <c r="C1250" s="69" t="s">
        <v>80</v>
      </c>
      <c r="D1250" s="70" t="s">
        <v>181</v>
      </c>
      <c r="E1250" s="69" t="s">
        <v>1110</v>
      </c>
      <c r="F1250" s="69" t="s">
        <v>163</v>
      </c>
      <c r="G1250" s="69" t="s">
        <v>140</v>
      </c>
      <c r="H1250" s="70">
        <v>2017</v>
      </c>
      <c r="I1250" s="69" t="s">
        <v>63</v>
      </c>
      <c r="J1250" s="69" t="s">
        <v>6477</v>
      </c>
      <c r="K1250" s="71" t="s">
        <v>6478</v>
      </c>
      <c r="L1250" s="71" t="s">
        <v>6479</v>
      </c>
      <c r="M1250" s="71" t="s">
        <v>6480</v>
      </c>
      <c r="N1250" s="69" t="s">
        <v>57</v>
      </c>
      <c r="O1250" s="64">
        <v>1</v>
      </c>
      <c r="P1250" s="72">
        <v>15846600</v>
      </c>
      <c r="Q1250" s="69" t="s">
        <v>6481</v>
      </c>
      <c r="R1250" s="69"/>
      <c r="S1250" s="121" t="s">
        <v>665</v>
      </c>
      <c r="T1250" s="56">
        <v>30</v>
      </c>
      <c r="U1250" s="56">
        <v>3</v>
      </c>
    </row>
    <row r="1251" spans="1:21" ht="14.25" customHeight="1" x14ac:dyDescent="0.35">
      <c r="A1251" s="47">
        <v>1235</v>
      </c>
      <c r="B1251" s="69" t="s">
        <v>79</v>
      </c>
      <c r="C1251" s="69" t="s">
        <v>80</v>
      </c>
      <c r="D1251" s="70" t="s">
        <v>187</v>
      </c>
      <c r="E1251" s="69" t="s">
        <v>1110</v>
      </c>
      <c r="F1251" s="69" t="s">
        <v>163</v>
      </c>
      <c r="G1251" s="69" t="s">
        <v>140</v>
      </c>
      <c r="H1251" s="70">
        <v>2017</v>
      </c>
      <c r="I1251" s="69" t="s">
        <v>63</v>
      </c>
      <c r="J1251" s="69" t="s">
        <v>6482</v>
      </c>
      <c r="K1251" s="71" t="s">
        <v>6483</v>
      </c>
      <c r="L1251" s="71" t="s">
        <v>6484</v>
      </c>
      <c r="M1251" s="71" t="s">
        <v>6485</v>
      </c>
      <c r="N1251" s="69" t="s">
        <v>57</v>
      </c>
      <c r="O1251" s="64">
        <v>1</v>
      </c>
      <c r="P1251" s="72">
        <v>15846600</v>
      </c>
      <c r="Q1251" s="69" t="s">
        <v>6486</v>
      </c>
      <c r="R1251" s="69"/>
      <c r="S1251" s="121" t="s">
        <v>665</v>
      </c>
      <c r="T1251" s="56">
        <v>30</v>
      </c>
      <c r="U1251" s="56">
        <v>3</v>
      </c>
    </row>
    <row r="1252" spans="1:21" ht="14.25" customHeight="1" thickBot="1" x14ac:dyDescent="0.4">
      <c r="A1252" s="58">
        <v>1236</v>
      </c>
      <c r="B1252" s="69" t="s">
        <v>79</v>
      </c>
      <c r="C1252" s="69" t="s">
        <v>80</v>
      </c>
      <c r="D1252" s="70" t="s">
        <v>190</v>
      </c>
      <c r="E1252" s="69" t="s">
        <v>1110</v>
      </c>
      <c r="F1252" s="69" t="s">
        <v>163</v>
      </c>
      <c r="G1252" s="69" t="s">
        <v>140</v>
      </c>
      <c r="H1252" s="70">
        <v>2017</v>
      </c>
      <c r="I1252" s="69" t="s">
        <v>63</v>
      </c>
      <c r="J1252" s="69" t="s">
        <v>6487</v>
      </c>
      <c r="K1252" s="71" t="s">
        <v>6488</v>
      </c>
      <c r="L1252" s="71" t="s">
        <v>6489</v>
      </c>
      <c r="M1252" s="71" t="s">
        <v>6490</v>
      </c>
      <c r="N1252" s="69" t="s">
        <v>57</v>
      </c>
      <c r="O1252" s="64">
        <v>1</v>
      </c>
      <c r="P1252" s="72">
        <v>15846600</v>
      </c>
      <c r="Q1252" s="69" t="s">
        <v>6491</v>
      </c>
      <c r="R1252" s="69"/>
      <c r="S1252" s="121" t="s">
        <v>665</v>
      </c>
      <c r="T1252" s="56">
        <v>30</v>
      </c>
      <c r="U1252" s="56">
        <v>3</v>
      </c>
    </row>
    <row r="1253" spans="1:21" ht="14.25" customHeight="1" x14ac:dyDescent="0.35">
      <c r="A1253" s="47">
        <v>1237</v>
      </c>
      <c r="B1253" s="69" t="s">
        <v>79</v>
      </c>
      <c r="C1253" s="69" t="s">
        <v>80</v>
      </c>
      <c r="D1253" s="70" t="s">
        <v>192</v>
      </c>
      <c r="E1253" s="69" t="s">
        <v>6492</v>
      </c>
      <c r="F1253" s="69" t="s">
        <v>6493</v>
      </c>
      <c r="G1253" s="69" t="s">
        <v>6494</v>
      </c>
      <c r="H1253" s="70">
        <v>2020</v>
      </c>
      <c r="I1253" s="69" t="s">
        <v>63</v>
      </c>
      <c r="J1253" s="69" t="s">
        <v>6495</v>
      </c>
      <c r="K1253" s="71" t="s">
        <v>6496</v>
      </c>
      <c r="L1253" s="71" t="s">
        <v>6497</v>
      </c>
      <c r="M1253" s="71" t="s">
        <v>6498</v>
      </c>
      <c r="N1253" s="69" t="s">
        <v>57</v>
      </c>
      <c r="O1253" s="64">
        <v>1</v>
      </c>
      <c r="P1253" s="72">
        <v>23800000</v>
      </c>
      <c r="Q1253" s="69" t="s">
        <v>6499</v>
      </c>
      <c r="R1253" s="69"/>
      <c r="S1253" s="121" t="s">
        <v>665</v>
      </c>
      <c r="T1253" s="56">
        <v>30</v>
      </c>
      <c r="U1253" s="56">
        <v>3</v>
      </c>
    </row>
    <row r="1254" spans="1:21" ht="14.25" customHeight="1" thickBot="1" x14ac:dyDescent="0.4">
      <c r="A1254" s="58">
        <v>1238</v>
      </c>
      <c r="B1254" s="69" t="s">
        <v>79</v>
      </c>
      <c r="C1254" s="69" t="s">
        <v>80</v>
      </c>
      <c r="D1254" s="70" t="s">
        <v>194</v>
      </c>
      <c r="E1254" s="69" t="s">
        <v>2869</v>
      </c>
      <c r="F1254" s="69" t="s">
        <v>202</v>
      </c>
      <c r="G1254" s="69" t="s">
        <v>247</v>
      </c>
      <c r="H1254" s="70">
        <v>2022</v>
      </c>
      <c r="I1254" s="69" t="s">
        <v>63</v>
      </c>
      <c r="J1254" s="69" t="s">
        <v>6500</v>
      </c>
      <c r="K1254" s="71" t="s">
        <v>6501</v>
      </c>
      <c r="L1254" s="71" t="s">
        <v>6502</v>
      </c>
      <c r="M1254" s="71" t="s">
        <v>6503</v>
      </c>
      <c r="N1254" s="69" t="s">
        <v>44</v>
      </c>
      <c r="O1254" s="64">
        <v>1</v>
      </c>
      <c r="P1254" s="72">
        <v>19234807</v>
      </c>
      <c r="Q1254" s="69" t="s">
        <v>6504</v>
      </c>
      <c r="R1254" s="69"/>
      <c r="S1254" s="121" t="s">
        <v>665</v>
      </c>
      <c r="T1254" s="56">
        <v>30</v>
      </c>
      <c r="U1254" s="56">
        <v>3</v>
      </c>
    </row>
    <row r="1255" spans="1:21" ht="14.25" customHeight="1" x14ac:dyDescent="0.35">
      <c r="A1255" s="47">
        <v>1239</v>
      </c>
      <c r="B1255" s="69" t="s">
        <v>79</v>
      </c>
      <c r="C1255" s="69" t="s">
        <v>80</v>
      </c>
      <c r="D1255" s="70" t="s">
        <v>195</v>
      </c>
      <c r="E1255" s="69" t="s">
        <v>6505</v>
      </c>
      <c r="F1255" s="69" t="s">
        <v>483</v>
      </c>
      <c r="G1255" s="69" t="s">
        <v>4231</v>
      </c>
      <c r="H1255" s="70">
        <v>2022</v>
      </c>
      <c r="I1255" s="69" t="s">
        <v>63</v>
      </c>
      <c r="J1255" s="69" t="s">
        <v>6506</v>
      </c>
      <c r="K1255" s="71" t="s">
        <v>6507</v>
      </c>
      <c r="L1255" s="71" t="s">
        <v>6508</v>
      </c>
      <c r="M1255" s="71" t="s">
        <v>6509</v>
      </c>
      <c r="N1255" s="69" t="s">
        <v>44</v>
      </c>
      <c r="O1255" s="64">
        <v>1</v>
      </c>
      <c r="P1255" s="72">
        <v>34497000</v>
      </c>
      <c r="Q1255" s="69" t="s">
        <v>6510</v>
      </c>
      <c r="R1255" s="69"/>
      <c r="S1255" s="121" t="s">
        <v>665</v>
      </c>
      <c r="T1255" s="56">
        <v>30</v>
      </c>
      <c r="U1255" s="56">
        <v>3</v>
      </c>
    </row>
    <row r="1256" spans="1:21" ht="14.25" customHeight="1" thickBot="1" x14ac:dyDescent="0.4">
      <c r="A1256" s="58">
        <v>1240</v>
      </c>
      <c r="B1256" s="69" t="s">
        <v>79</v>
      </c>
      <c r="C1256" s="69" t="s">
        <v>80</v>
      </c>
      <c r="D1256" s="70" t="s">
        <v>199</v>
      </c>
      <c r="E1256" s="69" t="s">
        <v>6511</v>
      </c>
      <c r="F1256" s="69" t="s">
        <v>6512</v>
      </c>
      <c r="G1256" s="69" t="s">
        <v>54</v>
      </c>
      <c r="H1256" s="70">
        <v>2024</v>
      </c>
      <c r="I1256" s="69" t="s">
        <v>63</v>
      </c>
      <c r="J1256" s="69" t="s">
        <v>6513</v>
      </c>
      <c r="K1256" s="71" t="s">
        <v>6514</v>
      </c>
      <c r="L1256" s="71" t="s">
        <v>6515</v>
      </c>
      <c r="M1256" s="71" t="s">
        <v>6516</v>
      </c>
      <c r="N1256" s="69" t="s">
        <v>44</v>
      </c>
      <c r="O1256" s="64">
        <v>1</v>
      </c>
      <c r="P1256" s="72">
        <v>36700000</v>
      </c>
      <c r="Q1256" s="69" t="s">
        <v>6517</v>
      </c>
      <c r="R1256" s="69"/>
      <c r="S1256" s="121" t="s">
        <v>665</v>
      </c>
      <c r="T1256" s="56">
        <v>30</v>
      </c>
      <c r="U1256" s="56">
        <v>3</v>
      </c>
    </row>
    <row r="1257" spans="1:21" ht="14.25" customHeight="1" x14ac:dyDescent="0.35">
      <c r="A1257" s="47">
        <v>1241</v>
      </c>
      <c r="B1257" s="69" t="s">
        <v>79</v>
      </c>
      <c r="C1257" s="69" t="s">
        <v>80</v>
      </c>
      <c r="D1257" s="70" t="s">
        <v>200</v>
      </c>
      <c r="E1257" s="69" t="s">
        <v>6511</v>
      </c>
      <c r="F1257" s="69" t="s">
        <v>6512</v>
      </c>
      <c r="G1257" s="69" t="s">
        <v>54</v>
      </c>
      <c r="H1257" s="70">
        <v>2024</v>
      </c>
      <c r="I1257" s="69" t="s">
        <v>63</v>
      </c>
      <c r="J1257" s="69" t="s">
        <v>6518</v>
      </c>
      <c r="K1257" s="71" t="s">
        <v>6519</v>
      </c>
      <c r="L1257" s="71" t="s">
        <v>6520</v>
      </c>
      <c r="M1257" s="71" t="s">
        <v>6521</v>
      </c>
      <c r="N1257" s="69" t="s">
        <v>44</v>
      </c>
      <c r="O1257" s="64">
        <v>1</v>
      </c>
      <c r="P1257" s="72">
        <v>36700000</v>
      </c>
      <c r="Q1257" s="69" t="s">
        <v>6522</v>
      </c>
      <c r="R1257" s="69"/>
      <c r="S1257" s="121" t="s">
        <v>665</v>
      </c>
      <c r="T1257" s="56">
        <v>30</v>
      </c>
      <c r="U1257" s="56">
        <v>3</v>
      </c>
    </row>
    <row r="1258" spans="1:21" ht="14.25" customHeight="1" thickBot="1" x14ac:dyDescent="0.4">
      <c r="A1258" s="58">
        <v>1242</v>
      </c>
      <c r="B1258" s="69" t="s">
        <v>79</v>
      </c>
      <c r="C1258" s="69" t="s">
        <v>80</v>
      </c>
      <c r="D1258" s="70" t="s">
        <v>209</v>
      </c>
      <c r="E1258" s="69" t="s">
        <v>6511</v>
      </c>
      <c r="F1258" s="69" t="s">
        <v>6512</v>
      </c>
      <c r="G1258" s="69" t="s">
        <v>54</v>
      </c>
      <c r="H1258" s="70">
        <v>2024</v>
      </c>
      <c r="I1258" s="69" t="s">
        <v>63</v>
      </c>
      <c r="J1258" s="69" t="s">
        <v>6523</v>
      </c>
      <c r="K1258" s="71" t="s">
        <v>6524</v>
      </c>
      <c r="L1258" s="71" t="s">
        <v>6525</v>
      </c>
      <c r="M1258" s="71" t="s">
        <v>6526</v>
      </c>
      <c r="N1258" s="69" t="s">
        <v>44</v>
      </c>
      <c r="O1258" s="64">
        <v>1</v>
      </c>
      <c r="P1258" s="72">
        <v>36700000</v>
      </c>
      <c r="Q1258" s="69" t="s">
        <v>6527</v>
      </c>
      <c r="R1258" s="69"/>
      <c r="S1258" s="121" t="s">
        <v>665</v>
      </c>
      <c r="T1258" s="56">
        <v>30</v>
      </c>
      <c r="U1258" s="56">
        <v>3</v>
      </c>
    </row>
    <row r="1259" spans="1:21" ht="14.25" customHeight="1" x14ac:dyDescent="0.35">
      <c r="A1259" s="47">
        <v>1243</v>
      </c>
      <c r="B1259" s="69" t="s">
        <v>79</v>
      </c>
      <c r="C1259" s="69" t="s">
        <v>80</v>
      </c>
      <c r="D1259" s="70" t="s">
        <v>215</v>
      </c>
      <c r="E1259" s="69" t="s">
        <v>6511</v>
      </c>
      <c r="F1259" s="69" t="s">
        <v>6512</v>
      </c>
      <c r="G1259" s="69" t="s">
        <v>54</v>
      </c>
      <c r="H1259" s="70">
        <v>2024</v>
      </c>
      <c r="I1259" s="69" t="s">
        <v>63</v>
      </c>
      <c r="J1259" s="69" t="s">
        <v>6528</v>
      </c>
      <c r="K1259" s="71" t="s">
        <v>6529</v>
      </c>
      <c r="L1259" s="71" t="s">
        <v>6530</v>
      </c>
      <c r="M1259" s="71" t="s">
        <v>6531</v>
      </c>
      <c r="N1259" s="69" t="s">
        <v>44</v>
      </c>
      <c r="O1259" s="64">
        <v>1</v>
      </c>
      <c r="P1259" s="72">
        <v>36700000</v>
      </c>
      <c r="Q1259" s="69" t="s">
        <v>6532</v>
      </c>
      <c r="R1259" s="69"/>
      <c r="S1259" s="121" t="s">
        <v>665</v>
      </c>
      <c r="T1259" s="56">
        <v>30</v>
      </c>
      <c r="U1259" s="56">
        <v>3</v>
      </c>
    </row>
    <row r="1260" spans="1:21" ht="14.25" customHeight="1" thickBot="1" x14ac:dyDescent="0.4">
      <c r="A1260" s="58">
        <v>1244</v>
      </c>
      <c r="B1260" s="69" t="s">
        <v>79</v>
      </c>
      <c r="C1260" s="69" t="s">
        <v>80</v>
      </c>
      <c r="D1260" s="70" t="s">
        <v>223</v>
      </c>
      <c r="E1260" s="69" t="s">
        <v>6511</v>
      </c>
      <c r="F1260" s="69" t="s">
        <v>6512</v>
      </c>
      <c r="G1260" s="69" t="s">
        <v>54</v>
      </c>
      <c r="H1260" s="70">
        <v>2024</v>
      </c>
      <c r="I1260" s="69" t="s">
        <v>63</v>
      </c>
      <c r="J1260" s="69" t="s">
        <v>6533</v>
      </c>
      <c r="K1260" s="71" t="s">
        <v>6534</v>
      </c>
      <c r="L1260" s="71" t="s">
        <v>6535</v>
      </c>
      <c r="M1260" s="71" t="s">
        <v>6536</v>
      </c>
      <c r="N1260" s="69" t="s">
        <v>44</v>
      </c>
      <c r="O1260" s="64">
        <v>1</v>
      </c>
      <c r="P1260" s="72">
        <v>36700000</v>
      </c>
      <c r="Q1260" s="69" t="s">
        <v>6537</v>
      </c>
      <c r="R1260" s="69"/>
      <c r="S1260" s="121" t="s">
        <v>665</v>
      </c>
      <c r="T1260" s="56">
        <v>30</v>
      </c>
      <c r="U1260" s="56">
        <v>3</v>
      </c>
    </row>
    <row r="1261" spans="1:21" ht="14.25" customHeight="1" x14ac:dyDescent="0.35">
      <c r="A1261" s="47">
        <v>1245</v>
      </c>
      <c r="B1261" s="69" t="s">
        <v>79</v>
      </c>
      <c r="C1261" s="69" t="s">
        <v>80</v>
      </c>
      <c r="D1261" s="70" t="s">
        <v>229</v>
      </c>
      <c r="E1261" s="69" t="s">
        <v>6511</v>
      </c>
      <c r="F1261" s="69" t="s">
        <v>6512</v>
      </c>
      <c r="G1261" s="69" t="s">
        <v>54</v>
      </c>
      <c r="H1261" s="70">
        <v>2024</v>
      </c>
      <c r="I1261" s="69" t="s">
        <v>63</v>
      </c>
      <c r="J1261" s="69" t="s">
        <v>6538</v>
      </c>
      <c r="K1261" s="71" t="s">
        <v>6539</v>
      </c>
      <c r="L1261" s="71" t="s">
        <v>6540</v>
      </c>
      <c r="M1261" s="71" t="s">
        <v>6541</v>
      </c>
      <c r="N1261" s="69" t="s">
        <v>44</v>
      </c>
      <c r="O1261" s="64">
        <v>1</v>
      </c>
      <c r="P1261" s="72">
        <v>36700000</v>
      </c>
      <c r="Q1261" s="69" t="s">
        <v>6542</v>
      </c>
      <c r="R1261" s="69"/>
      <c r="S1261" s="121" t="s">
        <v>665</v>
      </c>
      <c r="T1261" s="56">
        <v>30</v>
      </c>
      <c r="U1261" s="56">
        <v>3</v>
      </c>
    </row>
    <row r="1262" spans="1:21" ht="14.25" customHeight="1" thickBot="1" x14ac:dyDescent="0.4">
      <c r="A1262" s="58">
        <v>1246</v>
      </c>
      <c r="B1262" s="69" t="s">
        <v>79</v>
      </c>
      <c r="C1262" s="69" t="s">
        <v>80</v>
      </c>
      <c r="D1262" s="70" t="s">
        <v>238</v>
      </c>
      <c r="E1262" s="69" t="s">
        <v>6511</v>
      </c>
      <c r="F1262" s="69" t="s">
        <v>6512</v>
      </c>
      <c r="G1262" s="69" t="s">
        <v>54</v>
      </c>
      <c r="H1262" s="70">
        <v>2024</v>
      </c>
      <c r="I1262" s="69" t="s">
        <v>63</v>
      </c>
      <c r="J1262" s="69" t="s">
        <v>6543</v>
      </c>
      <c r="K1262" s="71" t="s">
        <v>6544</v>
      </c>
      <c r="L1262" s="71" t="s">
        <v>6545</v>
      </c>
      <c r="M1262" s="71" t="s">
        <v>6546</v>
      </c>
      <c r="N1262" s="69" t="s">
        <v>44</v>
      </c>
      <c r="O1262" s="64">
        <v>1</v>
      </c>
      <c r="P1262" s="72">
        <v>36700000</v>
      </c>
      <c r="Q1262" s="69" t="s">
        <v>6547</v>
      </c>
      <c r="R1262" s="69"/>
      <c r="S1262" s="121" t="s">
        <v>665</v>
      </c>
      <c r="T1262" s="56">
        <v>30</v>
      </c>
      <c r="U1262" s="56">
        <v>3</v>
      </c>
    </row>
    <row r="1263" spans="1:21" ht="14.25" customHeight="1" x14ac:dyDescent="0.35">
      <c r="A1263" s="47">
        <v>1247</v>
      </c>
      <c r="B1263" s="69" t="s">
        <v>79</v>
      </c>
      <c r="C1263" s="69" t="s">
        <v>80</v>
      </c>
      <c r="D1263" s="70" t="s">
        <v>244</v>
      </c>
      <c r="E1263" s="69" t="s">
        <v>6511</v>
      </c>
      <c r="F1263" s="69" t="s">
        <v>6512</v>
      </c>
      <c r="G1263" s="69" t="s">
        <v>54</v>
      </c>
      <c r="H1263" s="70">
        <v>2024</v>
      </c>
      <c r="I1263" s="69" t="s">
        <v>63</v>
      </c>
      <c r="J1263" s="69" t="s">
        <v>6548</v>
      </c>
      <c r="K1263" s="71" t="s">
        <v>6549</v>
      </c>
      <c r="L1263" s="71" t="s">
        <v>6550</v>
      </c>
      <c r="M1263" s="71" t="s">
        <v>6551</v>
      </c>
      <c r="N1263" s="69" t="s">
        <v>44</v>
      </c>
      <c r="O1263" s="64">
        <v>1</v>
      </c>
      <c r="P1263" s="72">
        <v>36700000</v>
      </c>
      <c r="Q1263" s="69" t="s">
        <v>6552</v>
      </c>
      <c r="R1263" s="69"/>
      <c r="S1263" s="121" t="s">
        <v>665</v>
      </c>
      <c r="T1263" s="56">
        <v>30</v>
      </c>
      <c r="U1263" s="56">
        <v>3</v>
      </c>
    </row>
    <row r="1264" spans="1:21" ht="14.25" customHeight="1" thickBot="1" x14ac:dyDescent="0.4">
      <c r="A1264" s="58">
        <v>1248</v>
      </c>
      <c r="B1264" s="69" t="s">
        <v>79</v>
      </c>
      <c r="C1264" s="69" t="s">
        <v>80</v>
      </c>
      <c r="D1264" s="70" t="s">
        <v>253</v>
      </c>
      <c r="E1264" s="69" t="s">
        <v>6511</v>
      </c>
      <c r="F1264" s="69" t="s">
        <v>6512</v>
      </c>
      <c r="G1264" s="69" t="s">
        <v>54</v>
      </c>
      <c r="H1264" s="70">
        <v>2024</v>
      </c>
      <c r="I1264" s="69" t="s">
        <v>63</v>
      </c>
      <c r="J1264" s="69" t="s">
        <v>6553</v>
      </c>
      <c r="K1264" s="71" t="s">
        <v>6554</v>
      </c>
      <c r="L1264" s="71" t="s">
        <v>6555</v>
      </c>
      <c r="M1264" s="71" t="s">
        <v>6556</v>
      </c>
      <c r="N1264" s="69" t="s">
        <v>44</v>
      </c>
      <c r="O1264" s="64">
        <v>1</v>
      </c>
      <c r="P1264" s="72">
        <v>36700000</v>
      </c>
      <c r="Q1264" s="69" t="s">
        <v>6557</v>
      </c>
      <c r="R1264" s="69"/>
      <c r="S1264" s="121" t="s">
        <v>665</v>
      </c>
      <c r="T1264" s="56">
        <v>30</v>
      </c>
      <c r="U1264" s="56">
        <v>3</v>
      </c>
    </row>
    <row r="1265" spans="1:21" ht="14.25" customHeight="1" x14ac:dyDescent="0.35">
      <c r="A1265" s="47">
        <v>1249</v>
      </c>
      <c r="B1265" s="69" t="s">
        <v>79</v>
      </c>
      <c r="C1265" s="69" t="s">
        <v>80</v>
      </c>
      <c r="D1265" s="70" t="s">
        <v>259</v>
      </c>
      <c r="E1265" s="69" t="s">
        <v>6511</v>
      </c>
      <c r="F1265" s="69" t="s">
        <v>6512</v>
      </c>
      <c r="G1265" s="69" t="s">
        <v>54</v>
      </c>
      <c r="H1265" s="70">
        <v>2024</v>
      </c>
      <c r="I1265" s="69" t="s">
        <v>63</v>
      </c>
      <c r="J1265" s="69" t="s">
        <v>6558</v>
      </c>
      <c r="K1265" s="71" t="s">
        <v>6559</v>
      </c>
      <c r="L1265" s="71" t="s">
        <v>6560</v>
      </c>
      <c r="M1265" s="71" t="s">
        <v>6561</v>
      </c>
      <c r="N1265" s="69" t="s">
        <v>44</v>
      </c>
      <c r="O1265" s="64">
        <v>1</v>
      </c>
      <c r="P1265" s="72">
        <v>36700000</v>
      </c>
      <c r="Q1265" s="69" t="s">
        <v>6562</v>
      </c>
      <c r="R1265" s="69"/>
      <c r="S1265" s="121" t="s">
        <v>665</v>
      </c>
      <c r="T1265" s="56">
        <v>30</v>
      </c>
      <c r="U1265" s="56">
        <v>3</v>
      </c>
    </row>
    <row r="1266" spans="1:21" ht="14.25" customHeight="1" thickBot="1" x14ac:dyDescent="0.4">
      <c r="A1266" s="58">
        <v>1250</v>
      </c>
      <c r="B1266" s="69" t="s">
        <v>79</v>
      </c>
      <c r="C1266" s="69" t="s">
        <v>80</v>
      </c>
      <c r="D1266" s="70" t="s">
        <v>264</v>
      </c>
      <c r="E1266" s="69" t="s">
        <v>6511</v>
      </c>
      <c r="F1266" s="69" t="s">
        <v>6512</v>
      </c>
      <c r="G1266" s="69" t="s">
        <v>54</v>
      </c>
      <c r="H1266" s="70">
        <v>2024</v>
      </c>
      <c r="I1266" s="69" t="s">
        <v>63</v>
      </c>
      <c r="J1266" s="69" t="s">
        <v>6563</v>
      </c>
      <c r="K1266" s="71" t="s">
        <v>6564</v>
      </c>
      <c r="L1266" s="71" t="s">
        <v>6565</v>
      </c>
      <c r="M1266" s="71" t="s">
        <v>6566</v>
      </c>
      <c r="N1266" s="69" t="s">
        <v>44</v>
      </c>
      <c r="O1266" s="64">
        <v>1</v>
      </c>
      <c r="P1266" s="72">
        <v>36700000</v>
      </c>
      <c r="Q1266" s="69" t="s">
        <v>6567</v>
      </c>
      <c r="R1266" s="69"/>
      <c r="S1266" s="121" t="s">
        <v>665</v>
      </c>
      <c r="T1266" s="56">
        <v>30</v>
      </c>
      <c r="U1266" s="56">
        <v>3</v>
      </c>
    </row>
    <row r="1267" spans="1:21" ht="14.25" customHeight="1" x14ac:dyDescent="0.35">
      <c r="A1267" s="47">
        <v>1251</v>
      </c>
      <c r="B1267" s="69" t="s">
        <v>79</v>
      </c>
      <c r="C1267" s="69" t="s">
        <v>80</v>
      </c>
      <c r="D1267" s="70" t="s">
        <v>269</v>
      </c>
      <c r="E1267" s="69" t="s">
        <v>6511</v>
      </c>
      <c r="F1267" s="69" t="s">
        <v>6512</v>
      </c>
      <c r="G1267" s="69" t="s">
        <v>54</v>
      </c>
      <c r="H1267" s="70">
        <v>2024</v>
      </c>
      <c r="I1267" s="69" t="s">
        <v>63</v>
      </c>
      <c r="J1267" s="69" t="s">
        <v>6568</v>
      </c>
      <c r="K1267" s="71" t="s">
        <v>6569</v>
      </c>
      <c r="L1267" s="71" t="s">
        <v>6570</v>
      </c>
      <c r="M1267" s="71" t="s">
        <v>6571</v>
      </c>
      <c r="N1267" s="69" t="s">
        <v>44</v>
      </c>
      <c r="O1267" s="64">
        <v>1</v>
      </c>
      <c r="P1267" s="72">
        <v>36700000</v>
      </c>
      <c r="Q1267" s="69" t="s">
        <v>6572</v>
      </c>
      <c r="R1267" s="69"/>
      <c r="S1267" s="121" t="s">
        <v>665</v>
      </c>
      <c r="T1267" s="56">
        <v>30</v>
      </c>
      <c r="U1267" s="56">
        <v>3</v>
      </c>
    </row>
    <row r="1268" spans="1:21" ht="14.25" customHeight="1" thickBot="1" x14ac:dyDescent="0.4">
      <c r="A1268" s="58">
        <v>1252</v>
      </c>
      <c r="B1268" s="69" t="s">
        <v>79</v>
      </c>
      <c r="C1268" s="69" t="s">
        <v>80</v>
      </c>
      <c r="D1268" s="70" t="s">
        <v>274</v>
      </c>
      <c r="E1268" s="69" t="s">
        <v>6573</v>
      </c>
      <c r="F1268" s="69" t="s">
        <v>88</v>
      </c>
      <c r="G1268" s="69" t="s">
        <v>54</v>
      </c>
      <c r="H1268" s="70">
        <v>2024</v>
      </c>
      <c r="I1268" s="69" t="s">
        <v>63</v>
      </c>
      <c r="J1268" s="69" t="s">
        <v>6574</v>
      </c>
      <c r="K1268" s="71" t="s">
        <v>6575</v>
      </c>
      <c r="L1268" s="71" t="s">
        <v>6576</v>
      </c>
      <c r="M1268" s="71" t="s">
        <v>6577</v>
      </c>
      <c r="N1268" s="69" t="s">
        <v>44</v>
      </c>
      <c r="O1268" s="64">
        <v>1</v>
      </c>
      <c r="P1268" s="72">
        <v>30430000</v>
      </c>
      <c r="Q1268" s="69" t="s">
        <v>6578</v>
      </c>
      <c r="R1268" s="69"/>
      <c r="S1268" s="121" t="s">
        <v>665</v>
      </c>
      <c r="T1268" s="56">
        <v>30</v>
      </c>
      <c r="U1268" s="56">
        <v>3</v>
      </c>
    </row>
    <row r="1269" spans="1:21" ht="14.25" customHeight="1" x14ac:dyDescent="0.35">
      <c r="A1269" s="47">
        <v>1253</v>
      </c>
      <c r="B1269" s="69" t="s">
        <v>79</v>
      </c>
      <c r="C1269" s="69" t="s">
        <v>80</v>
      </c>
      <c r="D1269" s="70" t="s">
        <v>280</v>
      </c>
      <c r="E1269" s="69" t="s">
        <v>6579</v>
      </c>
      <c r="F1269" s="69" t="s">
        <v>88</v>
      </c>
      <c r="G1269" s="69" t="s">
        <v>54</v>
      </c>
      <c r="H1269" s="70">
        <v>2024</v>
      </c>
      <c r="I1269" s="69" t="s">
        <v>63</v>
      </c>
      <c r="J1269" s="69" t="s">
        <v>6580</v>
      </c>
      <c r="K1269" s="71" t="s">
        <v>6581</v>
      </c>
      <c r="L1269" s="71" t="s">
        <v>6582</v>
      </c>
      <c r="M1269" s="71" t="s">
        <v>6583</v>
      </c>
      <c r="N1269" s="69" t="s">
        <v>44</v>
      </c>
      <c r="O1269" s="64">
        <v>1</v>
      </c>
      <c r="P1269" s="72">
        <v>30430000</v>
      </c>
      <c r="Q1269" s="69" t="s">
        <v>6584</v>
      </c>
      <c r="R1269" s="69"/>
      <c r="S1269" s="121" t="s">
        <v>665</v>
      </c>
      <c r="T1269" s="56">
        <v>30</v>
      </c>
      <c r="U1269" s="56">
        <v>3</v>
      </c>
    </row>
    <row r="1270" spans="1:21" ht="14.25" customHeight="1" thickBot="1" x14ac:dyDescent="0.4">
      <c r="A1270" s="58">
        <v>1254</v>
      </c>
      <c r="B1270" s="69" t="s">
        <v>79</v>
      </c>
      <c r="C1270" s="69" t="s">
        <v>80</v>
      </c>
      <c r="D1270" s="70" t="s">
        <v>286</v>
      </c>
      <c r="E1270" s="69" t="s">
        <v>6579</v>
      </c>
      <c r="F1270" s="69" t="s">
        <v>88</v>
      </c>
      <c r="G1270" s="69" t="s">
        <v>54</v>
      </c>
      <c r="H1270" s="70">
        <v>2024</v>
      </c>
      <c r="I1270" s="69" t="s">
        <v>63</v>
      </c>
      <c r="J1270" s="69" t="s">
        <v>6585</v>
      </c>
      <c r="K1270" s="71" t="s">
        <v>6586</v>
      </c>
      <c r="L1270" s="71" t="s">
        <v>6587</v>
      </c>
      <c r="M1270" s="71" t="s">
        <v>6588</v>
      </c>
      <c r="N1270" s="69" t="s">
        <v>44</v>
      </c>
      <c r="O1270" s="64">
        <v>1</v>
      </c>
      <c r="P1270" s="72">
        <v>30430000</v>
      </c>
      <c r="Q1270" s="69" t="s">
        <v>6589</v>
      </c>
      <c r="R1270" s="69"/>
      <c r="S1270" s="121" t="s">
        <v>665</v>
      </c>
      <c r="T1270" s="56">
        <v>30</v>
      </c>
      <c r="U1270" s="56">
        <v>3</v>
      </c>
    </row>
    <row r="1271" spans="1:21" ht="14.25" customHeight="1" x14ac:dyDescent="0.35">
      <c r="A1271" s="47">
        <v>1255</v>
      </c>
      <c r="B1271" s="69" t="s">
        <v>79</v>
      </c>
      <c r="C1271" s="69" t="s">
        <v>80</v>
      </c>
      <c r="D1271" s="70" t="s">
        <v>291</v>
      </c>
      <c r="E1271" s="69" t="s">
        <v>6579</v>
      </c>
      <c r="F1271" s="69" t="s">
        <v>88</v>
      </c>
      <c r="G1271" s="69" t="s">
        <v>54</v>
      </c>
      <c r="H1271" s="70">
        <v>2024</v>
      </c>
      <c r="I1271" s="69" t="s">
        <v>63</v>
      </c>
      <c r="J1271" s="69" t="s">
        <v>6590</v>
      </c>
      <c r="K1271" s="71" t="s">
        <v>6591</v>
      </c>
      <c r="L1271" s="71" t="s">
        <v>6592</v>
      </c>
      <c r="M1271" s="71" t="s">
        <v>6593</v>
      </c>
      <c r="N1271" s="69" t="s">
        <v>44</v>
      </c>
      <c r="O1271" s="64">
        <v>1</v>
      </c>
      <c r="P1271" s="72">
        <v>30430000</v>
      </c>
      <c r="Q1271" s="69" t="s">
        <v>6594</v>
      </c>
      <c r="R1271" s="69"/>
      <c r="S1271" s="121" t="s">
        <v>665</v>
      </c>
      <c r="T1271" s="56">
        <v>30</v>
      </c>
      <c r="U1271" s="56">
        <v>3</v>
      </c>
    </row>
    <row r="1272" spans="1:21" ht="14.25" customHeight="1" thickBot="1" x14ac:dyDescent="0.4">
      <c r="A1272" s="58">
        <v>1256</v>
      </c>
      <c r="B1272" s="69" t="s">
        <v>2244</v>
      </c>
      <c r="C1272" s="69" t="s">
        <v>2245</v>
      </c>
      <c r="D1272" s="70" t="s">
        <v>51</v>
      </c>
      <c r="E1272" s="69" t="s">
        <v>6595</v>
      </c>
      <c r="F1272" s="69" t="s">
        <v>202</v>
      </c>
      <c r="G1272" s="69" t="s">
        <v>2955</v>
      </c>
      <c r="H1272" s="70">
        <v>2021</v>
      </c>
      <c r="I1272" s="69" t="s">
        <v>63</v>
      </c>
      <c r="J1272" s="69" t="s">
        <v>6596</v>
      </c>
      <c r="K1272" s="71" t="s">
        <v>6597</v>
      </c>
      <c r="L1272" s="71" t="s">
        <v>6598</v>
      </c>
      <c r="M1272" s="71" t="s">
        <v>6599</v>
      </c>
      <c r="N1272" s="69" t="s">
        <v>44</v>
      </c>
      <c r="O1272" s="64">
        <v>1</v>
      </c>
      <c r="P1272" s="72">
        <v>17100000</v>
      </c>
      <c r="Q1272" s="69" t="s">
        <v>6600</v>
      </c>
      <c r="R1272" s="69"/>
      <c r="S1272" s="121" t="s">
        <v>665</v>
      </c>
      <c r="T1272" s="56">
        <v>30</v>
      </c>
      <c r="U1272" s="56">
        <v>3</v>
      </c>
    </row>
    <row r="1273" spans="1:21" ht="14.25" customHeight="1" x14ac:dyDescent="0.35">
      <c r="A1273" s="47">
        <v>1257</v>
      </c>
      <c r="B1273" s="69" t="s">
        <v>2244</v>
      </c>
      <c r="C1273" s="69" t="s">
        <v>2245</v>
      </c>
      <c r="D1273" s="70" t="s">
        <v>59</v>
      </c>
      <c r="E1273" s="69" t="s">
        <v>6595</v>
      </c>
      <c r="F1273" s="69" t="s">
        <v>202</v>
      </c>
      <c r="G1273" s="69" t="s">
        <v>2955</v>
      </c>
      <c r="H1273" s="70">
        <v>2021</v>
      </c>
      <c r="I1273" s="69" t="s">
        <v>63</v>
      </c>
      <c r="J1273" s="69" t="s">
        <v>6601</v>
      </c>
      <c r="K1273" s="71" t="s">
        <v>6602</v>
      </c>
      <c r="L1273" s="71" t="s">
        <v>6603</v>
      </c>
      <c r="M1273" s="71" t="s">
        <v>6604</v>
      </c>
      <c r="N1273" s="69" t="s">
        <v>57</v>
      </c>
      <c r="O1273" s="64">
        <v>1</v>
      </c>
      <c r="P1273" s="72">
        <v>17100000</v>
      </c>
      <c r="Q1273" s="69" t="s">
        <v>6600</v>
      </c>
      <c r="R1273" s="69"/>
      <c r="S1273" s="121" t="s">
        <v>665</v>
      </c>
      <c r="T1273" s="56">
        <v>30</v>
      </c>
      <c r="U1273" s="56">
        <v>3</v>
      </c>
    </row>
    <row r="1274" spans="1:21" ht="14.25" customHeight="1" thickBot="1" x14ac:dyDescent="0.4">
      <c r="A1274" s="58">
        <v>1258</v>
      </c>
      <c r="B1274" s="69" t="s">
        <v>2244</v>
      </c>
      <c r="C1274" s="69" t="s">
        <v>2245</v>
      </c>
      <c r="D1274" s="70" t="s">
        <v>97</v>
      </c>
      <c r="E1274" s="69" t="s">
        <v>6595</v>
      </c>
      <c r="F1274" s="69" t="s">
        <v>202</v>
      </c>
      <c r="G1274" s="69" t="s">
        <v>2955</v>
      </c>
      <c r="H1274" s="70">
        <v>2021</v>
      </c>
      <c r="I1274" s="69" t="s">
        <v>63</v>
      </c>
      <c r="J1274" s="69" t="s">
        <v>6605</v>
      </c>
      <c r="K1274" s="71" t="s">
        <v>6606</v>
      </c>
      <c r="L1274" s="71" t="s">
        <v>6607</v>
      </c>
      <c r="M1274" s="71" t="s">
        <v>6608</v>
      </c>
      <c r="N1274" s="69" t="s">
        <v>57</v>
      </c>
      <c r="O1274" s="64">
        <v>1</v>
      </c>
      <c r="P1274" s="72">
        <v>17100000</v>
      </c>
      <c r="Q1274" s="69" t="s">
        <v>6600</v>
      </c>
      <c r="R1274" s="69"/>
      <c r="S1274" s="121" t="s">
        <v>665</v>
      </c>
      <c r="T1274" s="56">
        <v>30</v>
      </c>
      <c r="U1274" s="56">
        <v>3</v>
      </c>
    </row>
    <row r="1275" spans="1:21" ht="14.25" customHeight="1" x14ac:dyDescent="0.35">
      <c r="A1275" s="47">
        <v>1259</v>
      </c>
      <c r="B1275" s="69" t="s">
        <v>2244</v>
      </c>
      <c r="C1275" s="69" t="s">
        <v>2245</v>
      </c>
      <c r="D1275" s="70" t="s">
        <v>101</v>
      </c>
      <c r="E1275" s="69" t="s">
        <v>6595</v>
      </c>
      <c r="F1275" s="69" t="s">
        <v>202</v>
      </c>
      <c r="G1275" s="69" t="s">
        <v>2955</v>
      </c>
      <c r="H1275" s="70">
        <v>2021</v>
      </c>
      <c r="I1275" s="69" t="s">
        <v>63</v>
      </c>
      <c r="J1275" s="69" t="s">
        <v>6609</v>
      </c>
      <c r="K1275" s="71" t="s">
        <v>6610</v>
      </c>
      <c r="L1275" s="71" t="s">
        <v>6611</v>
      </c>
      <c r="M1275" s="71" t="s">
        <v>6612</v>
      </c>
      <c r="N1275" s="69" t="s">
        <v>57</v>
      </c>
      <c r="O1275" s="64">
        <v>1</v>
      </c>
      <c r="P1275" s="72">
        <v>17100000</v>
      </c>
      <c r="Q1275" s="69" t="s">
        <v>6600</v>
      </c>
      <c r="R1275" s="69"/>
      <c r="S1275" s="121" t="s">
        <v>665</v>
      </c>
      <c r="T1275" s="56">
        <v>30</v>
      </c>
      <c r="U1275" s="56">
        <v>3</v>
      </c>
    </row>
    <row r="1276" spans="1:21" ht="14.25" customHeight="1" thickBot="1" x14ac:dyDescent="0.4">
      <c r="A1276" s="58">
        <v>1260</v>
      </c>
      <c r="B1276" s="69" t="s">
        <v>2064</v>
      </c>
      <c r="C1276" s="69" t="s">
        <v>2065</v>
      </c>
      <c r="D1276" s="70" t="s">
        <v>51</v>
      </c>
      <c r="E1276" s="69" t="s">
        <v>6613</v>
      </c>
      <c r="F1276" s="69" t="s">
        <v>2023</v>
      </c>
      <c r="G1276" s="69" t="s">
        <v>54</v>
      </c>
      <c r="H1276" s="70">
        <v>2010</v>
      </c>
      <c r="I1276" s="69"/>
      <c r="J1276" s="69" t="s">
        <v>6614</v>
      </c>
      <c r="K1276" s="71" t="s">
        <v>6615</v>
      </c>
      <c r="L1276" s="71" t="s">
        <v>6616</v>
      </c>
      <c r="M1276" s="71" t="s">
        <v>6617</v>
      </c>
      <c r="N1276" s="69" t="s">
        <v>57</v>
      </c>
      <c r="O1276" s="64">
        <v>1</v>
      </c>
      <c r="P1276" s="72">
        <v>310000000</v>
      </c>
      <c r="Q1276" s="69" t="s">
        <v>6618</v>
      </c>
      <c r="R1276" s="69"/>
      <c r="S1276" s="121" t="s">
        <v>687</v>
      </c>
      <c r="T1276" s="56">
        <v>31</v>
      </c>
      <c r="U1276" s="56">
        <v>6</v>
      </c>
    </row>
    <row r="1277" spans="1:21" ht="14.25" customHeight="1" x14ac:dyDescent="0.35">
      <c r="A1277" s="47">
        <v>1261</v>
      </c>
      <c r="B1277" s="69" t="s">
        <v>70</v>
      </c>
      <c r="C1277" s="69" t="s">
        <v>71</v>
      </c>
      <c r="D1277" s="70" t="s">
        <v>51</v>
      </c>
      <c r="E1277" s="69" t="s">
        <v>5505</v>
      </c>
      <c r="F1277" s="69">
        <v>2393</v>
      </c>
      <c r="G1277" s="69" t="s">
        <v>140</v>
      </c>
      <c r="H1277" s="70">
        <v>2018</v>
      </c>
      <c r="I1277" s="69" t="s">
        <v>63</v>
      </c>
      <c r="J1277" s="69" t="s">
        <v>6619</v>
      </c>
      <c r="K1277" s="71" t="s">
        <v>6620</v>
      </c>
      <c r="L1277" s="71" t="s">
        <v>6621</v>
      </c>
      <c r="M1277" s="71" t="s">
        <v>6622</v>
      </c>
      <c r="N1277" s="69" t="s">
        <v>57</v>
      </c>
      <c r="O1277" s="64">
        <v>1</v>
      </c>
      <c r="P1277" s="72">
        <v>399250000</v>
      </c>
      <c r="Q1277" s="69" t="s">
        <v>6623</v>
      </c>
      <c r="R1277" s="69"/>
      <c r="S1277" s="121" t="s">
        <v>687</v>
      </c>
      <c r="T1277" s="56">
        <v>31</v>
      </c>
      <c r="U1277" s="56">
        <v>4</v>
      </c>
    </row>
    <row r="1278" spans="1:21" ht="14.25" customHeight="1" thickBot="1" x14ac:dyDescent="0.4">
      <c r="A1278" s="58">
        <v>1262</v>
      </c>
      <c r="B1278" s="69" t="s">
        <v>70</v>
      </c>
      <c r="C1278" s="69" t="s">
        <v>71</v>
      </c>
      <c r="D1278" s="70" t="s">
        <v>59</v>
      </c>
      <c r="E1278" s="69" t="s">
        <v>4640</v>
      </c>
      <c r="F1278" s="69" t="s">
        <v>3699</v>
      </c>
      <c r="G1278" s="69" t="s">
        <v>63</v>
      </c>
      <c r="H1278" s="70">
        <v>2023</v>
      </c>
      <c r="I1278" s="69" t="s">
        <v>63</v>
      </c>
      <c r="J1278" s="69" t="s">
        <v>6624</v>
      </c>
      <c r="K1278" s="71" t="s">
        <v>6625</v>
      </c>
      <c r="L1278" s="71" t="s">
        <v>6626</v>
      </c>
      <c r="M1278" s="71" t="s">
        <v>6627</v>
      </c>
      <c r="N1278" s="69" t="s">
        <v>44</v>
      </c>
      <c r="O1278" s="64">
        <v>1</v>
      </c>
      <c r="P1278" s="72">
        <v>470900000</v>
      </c>
      <c r="Q1278" s="69" t="s">
        <v>6628</v>
      </c>
      <c r="R1278" s="69"/>
      <c r="S1278" s="121" t="s">
        <v>687</v>
      </c>
      <c r="T1278" s="56">
        <v>31</v>
      </c>
      <c r="U1278" s="56">
        <v>4</v>
      </c>
    </row>
    <row r="1279" spans="1:21" ht="14.25" customHeight="1" x14ac:dyDescent="0.35">
      <c r="A1279" s="47">
        <v>1263</v>
      </c>
      <c r="B1279" s="69" t="s">
        <v>79</v>
      </c>
      <c r="C1279" s="69" t="s">
        <v>80</v>
      </c>
      <c r="D1279" s="70" t="s">
        <v>51</v>
      </c>
      <c r="E1279" s="69" t="s">
        <v>3767</v>
      </c>
      <c r="F1279" s="69" t="s">
        <v>148</v>
      </c>
      <c r="G1279" s="69" t="s">
        <v>140</v>
      </c>
      <c r="H1279" s="70">
        <v>2018</v>
      </c>
      <c r="I1279" s="69" t="s">
        <v>63</v>
      </c>
      <c r="J1279" s="69" t="s">
        <v>6629</v>
      </c>
      <c r="K1279" s="71" t="s">
        <v>6630</v>
      </c>
      <c r="L1279" s="71" t="s">
        <v>6631</v>
      </c>
      <c r="M1279" s="71" t="s">
        <v>6632</v>
      </c>
      <c r="N1279" s="69" t="s">
        <v>57</v>
      </c>
      <c r="O1279" s="64">
        <v>1</v>
      </c>
      <c r="P1279" s="72">
        <v>31708000</v>
      </c>
      <c r="Q1279" s="69" t="s">
        <v>168</v>
      </c>
      <c r="R1279" s="69"/>
      <c r="S1279" s="121" t="s">
        <v>687</v>
      </c>
      <c r="T1279" s="56">
        <v>31</v>
      </c>
      <c r="U1279" s="56">
        <v>3</v>
      </c>
    </row>
    <row r="1280" spans="1:21" ht="14.25" customHeight="1" thickBot="1" x14ac:dyDescent="0.4">
      <c r="A1280" s="58">
        <v>1264</v>
      </c>
      <c r="B1280" s="69" t="s">
        <v>79</v>
      </c>
      <c r="C1280" s="69" t="s">
        <v>80</v>
      </c>
      <c r="D1280" s="70" t="s">
        <v>59</v>
      </c>
      <c r="E1280" s="69" t="s">
        <v>147</v>
      </c>
      <c r="F1280" s="69" t="s">
        <v>148</v>
      </c>
      <c r="G1280" s="69" t="s">
        <v>140</v>
      </c>
      <c r="H1280" s="70">
        <v>2015</v>
      </c>
      <c r="I1280" s="69"/>
      <c r="J1280" s="69" t="s">
        <v>6633</v>
      </c>
      <c r="K1280" s="71" t="s">
        <v>6634</v>
      </c>
      <c r="L1280" s="71" t="s">
        <v>6635</v>
      </c>
      <c r="M1280" s="71" t="s">
        <v>6636</v>
      </c>
      <c r="N1280" s="69" t="s">
        <v>57</v>
      </c>
      <c r="O1280" s="64">
        <v>1</v>
      </c>
      <c r="P1280" s="72">
        <v>19430000</v>
      </c>
      <c r="Q1280" s="69" t="s">
        <v>6637</v>
      </c>
      <c r="R1280" s="69"/>
      <c r="S1280" s="121" t="s">
        <v>687</v>
      </c>
      <c r="T1280" s="56">
        <v>31</v>
      </c>
      <c r="U1280" s="56">
        <v>3</v>
      </c>
    </row>
    <row r="1281" spans="1:23" ht="14.25" customHeight="1" x14ac:dyDescent="0.35">
      <c r="A1281" s="47">
        <v>1265</v>
      </c>
      <c r="B1281" s="69" t="s">
        <v>79</v>
      </c>
      <c r="C1281" s="69" t="s">
        <v>80</v>
      </c>
      <c r="D1281" s="70" t="s">
        <v>97</v>
      </c>
      <c r="E1281" s="69" t="s">
        <v>1377</v>
      </c>
      <c r="F1281" s="69" t="s">
        <v>1378</v>
      </c>
      <c r="G1281" s="69" t="s">
        <v>140</v>
      </c>
      <c r="H1281" s="70">
        <v>2014</v>
      </c>
      <c r="I1281" s="69"/>
      <c r="J1281" s="69" t="s">
        <v>6638</v>
      </c>
      <c r="K1281" s="71" t="s">
        <v>6639</v>
      </c>
      <c r="L1281" s="71" t="s">
        <v>6640</v>
      </c>
      <c r="M1281" s="71" t="s">
        <v>6641</v>
      </c>
      <c r="N1281" s="69" t="s">
        <v>57</v>
      </c>
      <c r="O1281" s="64">
        <v>1</v>
      </c>
      <c r="P1281" s="72">
        <v>19189533</v>
      </c>
      <c r="Q1281" s="69" t="s">
        <v>6642</v>
      </c>
      <c r="R1281" s="69"/>
      <c r="S1281" s="121" t="s">
        <v>687</v>
      </c>
      <c r="T1281" s="56">
        <v>31</v>
      </c>
      <c r="U1281" s="56">
        <v>3</v>
      </c>
    </row>
    <row r="1282" spans="1:23" ht="14.25" customHeight="1" thickBot="1" x14ac:dyDescent="0.4">
      <c r="A1282" s="58">
        <v>1266</v>
      </c>
      <c r="B1282" s="69" t="s">
        <v>79</v>
      </c>
      <c r="C1282" s="69" t="s">
        <v>80</v>
      </c>
      <c r="D1282" s="70" t="s">
        <v>101</v>
      </c>
      <c r="E1282" s="69" t="s">
        <v>1377</v>
      </c>
      <c r="F1282" s="69" t="s">
        <v>1378</v>
      </c>
      <c r="G1282" s="69" t="s">
        <v>140</v>
      </c>
      <c r="H1282" s="70">
        <v>2014</v>
      </c>
      <c r="I1282" s="69"/>
      <c r="J1282" s="69" t="s">
        <v>6643</v>
      </c>
      <c r="K1282" s="71" t="s">
        <v>6644</v>
      </c>
      <c r="L1282" s="71" t="s">
        <v>6645</v>
      </c>
      <c r="M1282" s="71" t="s">
        <v>6646</v>
      </c>
      <c r="N1282" s="69" t="s">
        <v>57</v>
      </c>
      <c r="O1282" s="64">
        <v>1</v>
      </c>
      <c r="P1282" s="72">
        <v>19189533</v>
      </c>
      <c r="Q1282" s="69" t="s">
        <v>6647</v>
      </c>
      <c r="R1282" s="69"/>
      <c r="S1282" s="121" t="s">
        <v>687</v>
      </c>
      <c r="T1282" s="56">
        <v>31</v>
      </c>
      <c r="U1282" s="56">
        <v>3</v>
      </c>
    </row>
    <row r="1283" spans="1:23" ht="14.25" customHeight="1" x14ac:dyDescent="0.35">
      <c r="A1283" s="47">
        <v>1267</v>
      </c>
      <c r="B1283" s="69" t="s">
        <v>79</v>
      </c>
      <c r="C1283" s="69" t="s">
        <v>80</v>
      </c>
      <c r="D1283" s="70" t="s">
        <v>107</v>
      </c>
      <c r="E1283" s="69" t="s">
        <v>201</v>
      </c>
      <c r="F1283" s="69" t="s">
        <v>202</v>
      </c>
      <c r="G1283" s="69" t="s">
        <v>54</v>
      </c>
      <c r="H1283" s="70">
        <v>2012</v>
      </c>
      <c r="I1283" s="69"/>
      <c r="J1283" s="69" t="s">
        <v>6648</v>
      </c>
      <c r="K1283" s="71" t="s">
        <v>6649</v>
      </c>
      <c r="L1283" s="71" t="s">
        <v>6650</v>
      </c>
      <c r="M1283" s="71" t="s">
        <v>6651</v>
      </c>
      <c r="N1283" s="69" t="s">
        <v>57</v>
      </c>
      <c r="O1283" s="64">
        <v>1</v>
      </c>
      <c r="P1283" s="72">
        <v>12577550</v>
      </c>
      <c r="Q1283" s="69" t="s">
        <v>6652</v>
      </c>
      <c r="R1283" s="69"/>
      <c r="S1283" s="121" t="s">
        <v>687</v>
      </c>
      <c r="T1283" s="56">
        <v>31</v>
      </c>
      <c r="U1283" s="56">
        <v>3</v>
      </c>
    </row>
    <row r="1284" spans="1:23" ht="14.25" customHeight="1" thickBot="1" x14ac:dyDescent="0.4">
      <c r="A1284" s="58">
        <v>1268</v>
      </c>
      <c r="B1284" s="69" t="s">
        <v>79</v>
      </c>
      <c r="C1284" s="69" t="s">
        <v>80</v>
      </c>
      <c r="D1284" s="70" t="s">
        <v>112</v>
      </c>
      <c r="E1284" s="69" t="s">
        <v>6653</v>
      </c>
      <c r="F1284" s="69" t="s">
        <v>1854</v>
      </c>
      <c r="G1284" s="69" t="s">
        <v>140</v>
      </c>
      <c r="H1284" s="70">
        <v>2019</v>
      </c>
      <c r="I1284" s="69"/>
      <c r="J1284" s="69" t="s">
        <v>6654</v>
      </c>
      <c r="K1284" s="71" t="s">
        <v>6655</v>
      </c>
      <c r="L1284" s="71" t="s">
        <v>6656</v>
      </c>
      <c r="M1284" s="71" t="s">
        <v>6657</v>
      </c>
      <c r="N1284" s="69" t="s">
        <v>57</v>
      </c>
      <c r="O1284" s="64">
        <v>1</v>
      </c>
      <c r="P1284" s="72">
        <v>20600000</v>
      </c>
      <c r="Q1284" s="69" t="s">
        <v>80</v>
      </c>
      <c r="R1284" s="69"/>
      <c r="S1284" s="121" t="s">
        <v>687</v>
      </c>
      <c r="T1284" s="56">
        <v>31</v>
      </c>
      <c r="U1284" s="56">
        <v>3</v>
      </c>
    </row>
    <row r="1285" spans="1:23" ht="14.25" customHeight="1" x14ac:dyDescent="0.35">
      <c r="A1285" s="47">
        <v>1269</v>
      </c>
      <c r="B1285" s="69" t="s">
        <v>79</v>
      </c>
      <c r="C1285" s="69" t="s">
        <v>80</v>
      </c>
      <c r="D1285" s="70" t="s">
        <v>116</v>
      </c>
      <c r="E1285" s="69" t="s">
        <v>6658</v>
      </c>
      <c r="F1285" s="69" t="s">
        <v>293</v>
      </c>
      <c r="G1285" s="69" t="s">
        <v>2637</v>
      </c>
      <c r="H1285" s="70">
        <v>2019</v>
      </c>
      <c r="I1285" s="69" t="s">
        <v>63</v>
      </c>
      <c r="J1285" s="69" t="s">
        <v>6659</v>
      </c>
      <c r="K1285" s="71" t="s">
        <v>6660</v>
      </c>
      <c r="L1285" s="71" t="s">
        <v>6661</v>
      </c>
      <c r="M1285" s="71" t="s">
        <v>6662</v>
      </c>
      <c r="N1285" s="69" t="s">
        <v>57</v>
      </c>
      <c r="O1285" s="64">
        <v>1</v>
      </c>
      <c r="P1285" s="72">
        <v>33000000</v>
      </c>
      <c r="Q1285" s="69" t="s">
        <v>80</v>
      </c>
      <c r="R1285" s="69"/>
      <c r="S1285" s="121" t="s">
        <v>687</v>
      </c>
      <c r="T1285" s="56">
        <v>31</v>
      </c>
      <c r="U1285" s="56">
        <v>3</v>
      </c>
    </row>
    <row r="1286" spans="1:23" ht="14.25" customHeight="1" thickBot="1" x14ac:dyDescent="0.4">
      <c r="A1286" s="58">
        <v>1270</v>
      </c>
      <c r="B1286" s="69" t="s">
        <v>79</v>
      </c>
      <c r="C1286" s="69" t="s">
        <v>80</v>
      </c>
      <c r="D1286" s="70" t="s">
        <v>841</v>
      </c>
      <c r="E1286" s="69" t="s">
        <v>6658</v>
      </c>
      <c r="F1286" s="69" t="s">
        <v>293</v>
      </c>
      <c r="G1286" s="69" t="s">
        <v>2637</v>
      </c>
      <c r="H1286" s="70">
        <v>2019</v>
      </c>
      <c r="I1286" s="69" t="s">
        <v>63</v>
      </c>
      <c r="J1286" s="69" t="s">
        <v>6663</v>
      </c>
      <c r="K1286" s="71" t="s">
        <v>6664</v>
      </c>
      <c r="L1286" s="71" t="s">
        <v>6665</v>
      </c>
      <c r="M1286" s="71" t="s">
        <v>6666</v>
      </c>
      <c r="N1286" s="69" t="s">
        <v>57</v>
      </c>
      <c r="O1286" s="64">
        <v>1</v>
      </c>
      <c r="P1286" s="72">
        <v>33000000</v>
      </c>
      <c r="Q1286" s="69" t="s">
        <v>80</v>
      </c>
      <c r="R1286" s="69"/>
      <c r="S1286" s="121" t="s">
        <v>687</v>
      </c>
      <c r="T1286" s="56">
        <v>31</v>
      </c>
      <c r="U1286" s="56">
        <v>3</v>
      </c>
    </row>
    <row r="1287" spans="1:23" ht="14.25" customHeight="1" x14ac:dyDescent="0.35">
      <c r="A1287" s="47">
        <v>1271</v>
      </c>
      <c r="B1287" s="69" t="s">
        <v>79</v>
      </c>
      <c r="C1287" s="69" t="s">
        <v>80</v>
      </c>
      <c r="D1287" s="70" t="s">
        <v>904</v>
      </c>
      <c r="E1287" s="69" t="s">
        <v>6658</v>
      </c>
      <c r="F1287" s="69" t="s">
        <v>293</v>
      </c>
      <c r="G1287" s="69" t="s">
        <v>2637</v>
      </c>
      <c r="H1287" s="70">
        <v>2019</v>
      </c>
      <c r="I1287" s="69" t="s">
        <v>63</v>
      </c>
      <c r="J1287" s="69" t="s">
        <v>6667</v>
      </c>
      <c r="K1287" s="71" t="s">
        <v>6668</v>
      </c>
      <c r="L1287" s="71" t="s">
        <v>6669</v>
      </c>
      <c r="M1287" s="71" t="s">
        <v>6670</v>
      </c>
      <c r="N1287" s="69" t="s">
        <v>57</v>
      </c>
      <c r="O1287" s="64">
        <v>1</v>
      </c>
      <c r="P1287" s="72">
        <v>33000000</v>
      </c>
      <c r="Q1287" s="69" t="s">
        <v>80</v>
      </c>
      <c r="R1287" s="69"/>
      <c r="S1287" s="121" t="s">
        <v>687</v>
      </c>
      <c r="T1287" s="56">
        <v>31</v>
      </c>
      <c r="U1287" s="56">
        <v>3</v>
      </c>
    </row>
    <row r="1288" spans="1:23" ht="14.25" customHeight="1" thickBot="1" x14ac:dyDescent="0.4">
      <c r="A1288" s="58">
        <v>1272</v>
      </c>
      <c r="B1288" s="69" t="s">
        <v>79</v>
      </c>
      <c r="C1288" s="69" t="s">
        <v>80</v>
      </c>
      <c r="D1288" s="70" t="s">
        <v>122</v>
      </c>
      <c r="E1288" s="69" t="s">
        <v>6671</v>
      </c>
      <c r="F1288" s="69" t="s">
        <v>88</v>
      </c>
      <c r="G1288" s="69" t="s">
        <v>54</v>
      </c>
      <c r="H1288" s="70">
        <v>2007</v>
      </c>
      <c r="I1288" s="69"/>
      <c r="J1288" s="69" t="s">
        <v>6672</v>
      </c>
      <c r="K1288" s="71" t="s">
        <v>6673</v>
      </c>
      <c r="L1288" s="71" t="s">
        <v>6674</v>
      </c>
      <c r="M1288" s="71" t="s">
        <v>6675</v>
      </c>
      <c r="N1288" s="69" t="s">
        <v>57</v>
      </c>
      <c r="O1288" s="64">
        <v>1</v>
      </c>
      <c r="P1288" s="72">
        <v>14500000</v>
      </c>
      <c r="Q1288" s="69"/>
      <c r="R1288" s="69"/>
      <c r="S1288" s="121" t="s">
        <v>687</v>
      </c>
      <c r="T1288" s="56">
        <v>31</v>
      </c>
      <c r="U1288" s="56">
        <v>3</v>
      </c>
    </row>
    <row r="1289" spans="1:23" ht="14.25" customHeight="1" x14ac:dyDescent="0.35">
      <c r="A1289" s="47">
        <v>1273</v>
      </c>
      <c r="B1289" s="190" t="s">
        <v>70</v>
      </c>
      <c r="C1289" s="190" t="s">
        <v>71</v>
      </c>
      <c r="D1289" s="191" t="s">
        <v>97</v>
      </c>
      <c r="E1289" s="190" t="s">
        <v>4640</v>
      </c>
      <c r="F1289" s="190" t="s">
        <v>3699</v>
      </c>
      <c r="G1289" s="190" t="s">
        <v>140</v>
      </c>
      <c r="H1289" s="191">
        <v>2023</v>
      </c>
      <c r="I1289" s="190" t="s">
        <v>63</v>
      </c>
      <c r="J1289" s="192" t="s">
        <v>6676</v>
      </c>
      <c r="K1289" s="193" t="s">
        <v>6677</v>
      </c>
      <c r="L1289" s="194" t="s">
        <v>6678</v>
      </c>
      <c r="M1289" s="194" t="s">
        <v>6679</v>
      </c>
      <c r="N1289" s="190" t="s">
        <v>44</v>
      </c>
      <c r="O1289" s="195">
        <v>1</v>
      </c>
      <c r="P1289" s="196">
        <v>470900000</v>
      </c>
      <c r="Q1289" s="197" t="s">
        <v>6680</v>
      </c>
      <c r="R1289" s="213"/>
      <c r="S1289" s="121" t="s">
        <v>712</v>
      </c>
      <c r="T1289" s="56">
        <v>32</v>
      </c>
      <c r="U1289" s="56">
        <v>4</v>
      </c>
      <c r="V1289" s="198"/>
      <c r="W1289" s="198"/>
    </row>
    <row r="1290" spans="1:23" ht="14.25" customHeight="1" thickBot="1" x14ac:dyDescent="0.4">
      <c r="A1290" s="58">
        <v>1274</v>
      </c>
      <c r="B1290" s="190" t="s">
        <v>79</v>
      </c>
      <c r="C1290" s="190" t="s">
        <v>80</v>
      </c>
      <c r="D1290" s="191" t="s">
        <v>51</v>
      </c>
      <c r="E1290" s="190" t="s">
        <v>2654</v>
      </c>
      <c r="F1290" s="190"/>
      <c r="G1290" s="190" t="s">
        <v>54</v>
      </c>
      <c r="H1290" s="191">
        <v>2006</v>
      </c>
      <c r="I1290" s="190"/>
      <c r="J1290" s="199"/>
      <c r="K1290" s="200"/>
      <c r="L1290" s="194"/>
      <c r="M1290" s="194"/>
      <c r="N1290" s="190" t="s">
        <v>57</v>
      </c>
      <c r="O1290" s="195">
        <v>1</v>
      </c>
      <c r="P1290" s="196">
        <v>6500000</v>
      </c>
      <c r="Q1290" s="201" t="s">
        <v>6681</v>
      </c>
      <c r="R1290" s="214"/>
      <c r="S1290" s="121" t="s">
        <v>712</v>
      </c>
      <c r="T1290" s="56">
        <v>32</v>
      </c>
      <c r="U1290" s="56">
        <v>3</v>
      </c>
      <c r="V1290" s="198"/>
      <c r="W1290" s="198"/>
    </row>
    <row r="1291" spans="1:23" ht="14.25" customHeight="1" x14ac:dyDescent="0.35">
      <c r="A1291" s="47">
        <v>1275</v>
      </c>
      <c r="B1291" s="190" t="s">
        <v>79</v>
      </c>
      <c r="C1291" s="190" t="s">
        <v>80</v>
      </c>
      <c r="D1291" s="191" t="s">
        <v>59</v>
      </c>
      <c r="E1291" s="190" t="s">
        <v>6682</v>
      </c>
      <c r="F1291" s="190" t="s">
        <v>148</v>
      </c>
      <c r="G1291" s="190" t="s">
        <v>140</v>
      </c>
      <c r="H1291" s="191">
        <v>2017</v>
      </c>
      <c r="I1291" s="190" t="s">
        <v>63</v>
      </c>
      <c r="J1291" s="199" t="s">
        <v>6683</v>
      </c>
      <c r="K1291" s="200" t="s">
        <v>6684</v>
      </c>
      <c r="L1291" s="194" t="s">
        <v>6685</v>
      </c>
      <c r="M1291" s="194" t="s">
        <v>6686</v>
      </c>
      <c r="N1291" s="190" t="s">
        <v>57</v>
      </c>
      <c r="O1291" s="195">
        <v>1</v>
      </c>
      <c r="P1291" s="196">
        <v>19729667</v>
      </c>
      <c r="Q1291" s="202" t="s">
        <v>6687</v>
      </c>
      <c r="R1291" s="213"/>
      <c r="S1291" s="121" t="s">
        <v>712</v>
      </c>
      <c r="T1291" s="56">
        <v>32</v>
      </c>
      <c r="U1291" s="56">
        <v>3</v>
      </c>
      <c r="V1291" s="198"/>
      <c r="W1291" s="198"/>
    </row>
    <row r="1292" spans="1:23" ht="14.25" customHeight="1" thickBot="1" x14ac:dyDescent="0.4">
      <c r="A1292" s="58">
        <v>1276</v>
      </c>
      <c r="B1292" s="190" t="s">
        <v>79</v>
      </c>
      <c r="C1292" s="190" t="s">
        <v>80</v>
      </c>
      <c r="D1292" s="191" t="s">
        <v>97</v>
      </c>
      <c r="E1292" s="190" t="s">
        <v>4038</v>
      </c>
      <c r="F1292" s="190" t="s">
        <v>4039</v>
      </c>
      <c r="G1292" s="190" t="s">
        <v>140</v>
      </c>
      <c r="H1292" s="191">
        <v>2015</v>
      </c>
      <c r="I1292" s="190"/>
      <c r="J1292" s="199" t="s">
        <v>6688</v>
      </c>
      <c r="K1292" s="200" t="s">
        <v>6689</v>
      </c>
      <c r="L1292" s="194" t="s">
        <v>6690</v>
      </c>
      <c r="M1292" s="194" t="s">
        <v>6691</v>
      </c>
      <c r="N1292" s="190" t="s">
        <v>57</v>
      </c>
      <c r="O1292" s="195">
        <v>1</v>
      </c>
      <c r="P1292" s="196">
        <v>18976000</v>
      </c>
      <c r="Q1292" s="202" t="s">
        <v>6692</v>
      </c>
      <c r="R1292" s="213"/>
      <c r="S1292" s="121" t="s">
        <v>712</v>
      </c>
      <c r="T1292" s="56">
        <v>32</v>
      </c>
      <c r="U1292" s="56">
        <v>3</v>
      </c>
      <c r="V1292" s="198"/>
      <c r="W1292" s="198"/>
    </row>
    <row r="1293" spans="1:23" ht="14.25" customHeight="1" x14ac:dyDescent="0.35">
      <c r="A1293" s="47">
        <v>1277</v>
      </c>
      <c r="B1293" s="190" t="s">
        <v>79</v>
      </c>
      <c r="C1293" s="190" t="s">
        <v>80</v>
      </c>
      <c r="D1293" s="191" t="s">
        <v>101</v>
      </c>
      <c r="E1293" s="190" t="s">
        <v>147</v>
      </c>
      <c r="F1293" s="190" t="s">
        <v>148</v>
      </c>
      <c r="G1293" s="190" t="s">
        <v>140</v>
      </c>
      <c r="H1293" s="191">
        <v>2015</v>
      </c>
      <c r="I1293" s="190"/>
      <c r="J1293" s="199" t="s">
        <v>6693</v>
      </c>
      <c r="K1293" s="200" t="s">
        <v>6694</v>
      </c>
      <c r="L1293" s="194" t="s">
        <v>6695</v>
      </c>
      <c r="M1293" s="194" t="s">
        <v>6696</v>
      </c>
      <c r="N1293" s="190" t="s">
        <v>57</v>
      </c>
      <c r="O1293" s="195">
        <v>1</v>
      </c>
      <c r="P1293" s="196">
        <v>19430000</v>
      </c>
      <c r="Q1293" s="202" t="s">
        <v>6697</v>
      </c>
      <c r="R1293" s="213"/>
      <c r="S1293" s="121" t="s">
        <v>712</v>
      </c>
      <c r="T1293" s="56">
        <v>32</v>
      </c>
      <c r="U1293" s="56">
        <v>3</v>
      </c>
      <c r="V1293" s="198"/>
      <c r="W1293" s="198"/>
    </row>
    <row r="1294" spans="1:23" ht="14.25" customHeight="1" thickBot="1" x14ac:dyDescent="0.4">
      <c r="A1294" s="58">
        <v>1278</v>
      </c>
      <c r="B1294" s="190" t="s">
        <v>79</v>
      </c>
      <c r="C1294" s="190" t="s">
        <v>80</v>
      </c>
      <c r="D1294" s="191" t="s">
        <v>107</v>
      </c>
      <c r="E1294" s="190" t="s">
        <v>1110</v>
      </c>
      <c r="F1294" s="190" t="s">
        <v>163</v>
      </c>
      <c r="G1294" s="190" t="s">
        <v>140</v>
      </c>
      <c r="H1294" s="191">
        <v>2017</v>
      </c>
      <c r="I1294" s="190" t="s">
        <v>63</v>
      </c>
      <c r="J1294" s="199" t="s">
        <v>6698</v>
      </c>
      <c r="K1294" s="200" t="s">
        <v>6699</v>
      </c>
      <c r="L1294" s="194" t="s">
        <v>6700</v>
      </c>
      <c r="M1294" s="194" t="s">
        <v>6701</v>
      </c>
      <c r="N1294" s="190" t="s">
        <v>57</v>
      </c>
      <c r="O1294" s="195">
        <v>1</v>
      </c>
      <c r="P1294" s="196">
        <v>15846600</v>
      </c>
      <c r="Q1294" s="202" t="s">
        <v>6702</v>
      </c>
      <c r="R1294" s="213"/>
      <c r="S1294" s="121" t="s">
        <v>712</v>
      </c>
      <c r="T1294" s="56">
        <v>32</v>
      </c>
      <c r="U1294" s="56">
        <v>3</v>
      </c>
      <c r="V1294" s="198"/>
      <c r="W1294" s="198"/>
    </row>
    <row r="1295" spans="1:23" ht="32.25" customHeight="1" x14ac:dyDescent="0.35">
      <c r="A1295" s="47">
        <v>1279</v>
      </c>
      <c r="B1295" s="190" t="s">
        <v>79</v>
      </c>
      <c r="C1295" s="190" t="s">
        <v>80</v>
      </c>
      <c r="D1295" s="191" t="s">
        <v>112</v>
      </c>
      <c r="E1295" s="190" t="s">
        <v>6703</v>
      </c>
      <c r="F1295" s="190" t="s">
        <v>443</v>
      </c>
      <c r="G1295" s="190" t="s">
        <v>54</v>
      </c>
      <c r="H1295" s="191">
        <v>2010</v>
      </c>
      <c r="I1295" s="190"/>
      <c r="J1295" s="190" t="s">
        <v>6704</v>
      </c>
      <c r="K1295" s="194" t="s">
        <v>6705</v>
      </c>
      <c r="L1295" s="194" t="s">
        <v>6706</v>
      </c>
      <c r="M1295" s="194"/>
      <c r="N1295" s="190" t="s">
        <v>57</v>
      </c>
      <c r="O1295" s="195">
        <v>1</v>
      </c>
      <c r="P1295" s="196">
        <v>13948000</v>
      </c>
      <c r="Q1295" s="190"/>
      <c r="R1295" s="190"/>
      <c r="S1295" s="121" t="s">
        <v>712</v>
      </c>
      <c r="T1295" s="56">
        <v>32</v>
      </c>
      <c r="U1295" s="56">
        <v>3</v>
      </c>
      <c r="V1295" s="198"/>
      <c r="W1295" s="198"/>
    </row>
    <row r="1296" spans="1:23" ht="14.25" customHeight="1" thickBot="1" x14ac:dyDescent="0.4">
      <c r="A1296" s="58">
        <v>1280</v>
      </c>
      <c r="B1296" s="69" t="s">
        <v>70</v>
      </c>
      <c r="C1296" s="69" t="s">
        <v>71</v>
      </c>
      <c r="D1296" s="70" t="s">
        <v>101</v>
      </c>
      <c r="E1296" s="69" t="s">
        <v>6707</v>
      </c>
      <c r="F1296" s="69" t="s">
        <v>1683</v>
      </c>
      <c r="G1296" s="69" t="s">
        <v>140</v>
      </c>
      <c r="H1296" s="70">
        <v>2024</v>
      </c>
      <c r="I1296" s="69" t="s">
        <v>63</v>
      </c>
      <c r="J1296" s="69" t="s">
        <v>6708</v>
      </c>
      <c r="K1296" s="71" t="s">
        <v>6709</v>
      </c>
      <c r="L1296" s="71" t="s">
        <v>6710</v>
      </c>
      <c r="M1296" s="71" t="s">
        <v>6711</v>
      </c>
      <c r="N1296" s="69" t="s">
        <v>44</v>
      </c>
      <c r="O1296" s="64">
        <v>1</v>
      </c>
      <c r="P1296" s="72">
        <v>477500000</v>
      </c>
      <c r="Q1296" s="69" t="s">
        <v>6712</v>
      </c>
      <c r="R1296" s="69"/>
      <c r="S1296" s="121" t="s">
        <v>731</v>
      </c>
      <c r="T1296" s="56">
        <v>33</v>
      </c>
      <c r="U1296" s="56">
        <v>4</v>
      </c>
    </row>
    <row r="1297" spans="1:21" ht="14.25" customHeight="1" x14ac:dyDescent="0.35">
      <c r="A1297" s="47">
        <v>1281</v>
      </c>
      <c r="B1297" s="69" t="s">
        <v>79</v>
      </c>
      <c r="C1297" s="69" t="s">
        <v>80</v>
      </c>
      <c r="D1297" s="70" t="s">
        <v>51</v>
      </c>
      <c r="E1297" s="69" t="s">
        <v>6713</v>
      </c>
      <c r="F1297" s="69" t="s">
        <v>6714</v>
      </c>
      <c r="G1297" s="69" t="s">
        <v>54</v>
      </c>
      <c r="H1297" s="70">
        <v>2007</v>
      </c>
      <c r="I1297" s="69"/>
      <c r="J1297" s="69" t="s">
        <v>6715</v>
      </c>
      <c r="K1297" s="71" t="s">
        <v>6716</v>
      </c>
      <c r="L1297" s="71" t="s">
        <v>6717</v>
      </c>
      <c r="M1297" s="71" t="s">
        <v>6718</v>
      </c>
      <c r="N1297" s="69" t="s">
        <v>57</v>
      </c>
      <c r="O1297" s="64">
        <v>1</v>
      </c>
      <c r="P1297" s="72">
        <v>2500000</v>
      </c>
      <c r="Q1297" s="69"/>
      <c r="R1297" s="69"/>
      <c r="S1297" s="121" t="s">
        <v>731</v>
      </c>
      <c r="T1297" s="56">
        <v>33</v>
      </c>
      <c r="U1297" s="56">
        <v>3</v>
      </c>
    </row>
    <row r="1298" spans="1:21" ht="14.25" customHeight="1" thickBot="1" x14ac:dyDescent="0.4">
      <c r="A1298" s="58">
        <v>1282</v>
      </c>
      <c r="B1298" s="69" t="s">
        <v>79</v>
      </c>
      <c r="C1298" s="69" t="s">
        <v>80</v>
      </c>
      <c r="D1298" s="70" t="s">
        <v>59</v>
      </c>
      <c r="E1298" s="69" t="s">
        <v>6719</v>
      </c>
      <c r="F1298" s="69" t="s">
        <v>6720</v>
      </c>
      <c r="G1298" s="69" t="s">
        <v>54</v>
      </c>
      <c r="H1298" s="70">
        <v>2007</v>
      </c>
      <c r="I1298" s="69"/>
      <c r="J1298" s="69" t="s">
        <v>6721</v>
      </c>
      <c r="K1298" s="71" t="s">
        <v>6722</v>
      </c>
      <c r="L1298" s="71"/>
      <c r="M1298" s="71"/>
      <c r="N1298" s="69" t="s">
        <v>57</v>
      </c>
      <c r="O1298" s="64">
        <v>1</v>
      </c>
      <c r="P1298" s="72">
        <v>4500000</v>
      </c>
      <c r="Q1298" s="69"/>
      <c r="R1298" s="69"/>
      <c r="S1298" s="121" t="s">
        <v>731</v>
      </c>
      <c r="T1298" s="56">
        <v>33</v>
      </c>
      <c r="U1298" s="56">
        <v>3</v>
      </c>
    </row>
    <row r="1299" spans="1:21" ht="14.25" customHeight="1" x14ac:dyDescent="0.35">
      <c r="A1299" s="47">
        <v>1283</v>
      </c>
      <c r="B1299" s="69" t="s">
        <v>79</v>
      </c>
      <c r="C1299" s="69" t="s">
        <v>80</v>
      </c>
      <c r="D1299" s="70" t="s">
        <v>97</v>
      </c>
      <c r="E1299" s="69" t="s">
        <v>201</v>
      </c>
      <c r="F1299" s="69" t="s">
        <v>202</v>
      </c>
      <c r="G1299" s="69" t="s">
        <v>54</v>
      </c>
      <c r="H1299" s="70">
        <v>2012</v>
      </c>
      <c r="I1299" s="69"/>
      <c r="J1299" s="69" t="s">
        <v>6723</v>
      </c>
      <c r="K1299" s="71" t="s">
        <v>6724</v>
      </c>
      <c r="L1299" s="71" t="s">
        <v>6725</v>
      </c>
      <c r="M1299" s="71" t="s">
        <v>6726</v>
      </c>
      <c r="N1299" s="69" t="s">
        <v>57</v>
      </c>
      <c r="O1299" s="64">
        <v>1</v>
      </c>
      <c r="P1299" s="72">
        <v>12577550</v>
      </c>
      <c r="Q1299" s="69" t="s">
        <v>6727</v>
      </c>
      <c r="R1299" s="69"/>
      <c r="S1299" s="121" t="s">
        <v>731</v>
      </c>
      <c r="T1299" s="56">
        <v>33</v>
      </c>
      <c r="U1299" s="56">
        <v>3</v>
      </c>
    </row>
    <row r="1300" spans="1:21" ht="14.25" customHeight="1" thickBot="1" x14ac:dyDescent="0.4">
      <c r="A1300" s="58">
        <v>1284</v>
      </c>
      <c r="B1300" s="69" t="s">
        <v>79</v>
      </c>
      <c r="C1300" s="69" t="s">
        <v>80</v>
      </c>
      <c r="D1300" s="70" t="s">
        <v>101</v>
      </c>
      <c r="E1300" s="69" t="s">
        <v>216</v>
      </c>
      <c r="F1300" s="69" t="s">
        <v>217</v>
      </c>
      <c r="G1300" s="69" t="s">
        <v>54</v>
      </c>
      <c r="H1300" s="70">
        <v>2012</v>
      </c>
      <c r="I1300" s="69"/>
      <c r="J1300" s="69" t="s">
        <v>6728</v>
      </c>
      <c r="K1300" s="71" t="s">
        <v>6729</v>
      </c>
      <c r="L1300" s="71" t="s">
        <v>6730</v>
      </c>
      <c r="M1300" s="71" t="s">
        <v>6731</v>
      </c>
      <c r="N1300" s="69" t="s">
        <v>57</v>
      </c>
      <c r="O1300" s="64">
        <v>1</v>
      </c>
      <c r="P1300" s="72">
        <v>19426600</v>
      </c>
      <c r="Q1300" s="69" t="s">
        <v>6727</v>
      </c>
      <c r="R1300" s="69"/>
      <c r="S1300" s="121" t="s">
        <v>731</v>
      </c>
      <c r="T1300" s="56">
        <v>33</v>
      </c>
      <c r="U1300" s="56">
        <v>3</v>
      </c>
    </row>
    <row r="1301" spans="1:21" ht="14.25" customHeight="1" x14ac:dyDescent="0.35">
      <c r="A1301" s="47">
        <v>1285</v>
      </c>
      <c r="B1301" s="69" t="s">
        <v>79</v>
      </c>
      <c r="C1301" s="69" t="s">
        <v>80</v>
      </c>
      <c r="D1301" s="70" t="s">
        <v>107</v>
      </c>
      <c r="E1301" s="69" t="s">
        <v>1110</v>
      </c>
      <c r="F1301" s="69" t="s">
        <v>163</v>
      </c>
      <c r="G1301" s="69" t="s">
        <v>140</v>
      </c>
      <c r="H1301" s="70">
        <v>2017</v>
      </c>
      <c r="I1301" s="69" t="s">
        <v>63</v>
      </c>
      <c r="J1301" s="69" t="s">
        <v>6732</v>
      </c>
      <c r="K1301" s="71" t="s">
        <v>6733</v>
      </c>
      <c r="L1301" s="71" t="s">
        <v>6734</v>
      </c>
      <c r="M1301" s="71" t="s">
        <v>6735</v>
      </c>
      <c r="N1301" s="69" t="s">
        <v>57</v>
      </c>
      <c r="O1301" s="64">
        <v>1</v>
      </c>
      <c r="P1301" s="72">
        <v>15846600</v>
      </c>
      <c r="Q1301" s="69" t="s">
        <v>6736</v>
      </c>
      <c r="R1301" s="69"/>
      <c r="S1301" s="121" t="s">
        <v>731</v>
      </c>
      <c r="T1301" s="56">
        <v>33</v>
      </c>
      <c r="U1301" s="56">
        <v>3</v>
      </c>
    </row>
    <row r="1302" spans="1:21" ht="14.25" customHeight="1" thickBot="1" x14ac:dyDescent="0.4">
      <c r="A1302" s="58">
        <v>1286</v>
      </c>
      <c r="B1302" s="69" t="s">
        <v>79</v>
      </c>
      <c r="C1302" s="69" t="s">
        <v>80</v>
      </c>
      <c r="D1302" s="70" t="s">
        <v>112</v>
      </c>
      <c r="E1302" s="69" t="s">
        <v>6682</v>
      </c>
      <c r="F1302" s="69" t="s">
        <v>148</v>
      </c>
      <c r="G1302" s="69" t="s">
        <v>140</v>
      </c>
      <c r="H1302" s="70">
        <v>2017</v>
      </c>
      <c r="I1302" s="69" t="s">
        <v>63</v>
      </c>
      <c r="J1302" s="69" t="s">
        <v>6737</v>
      </c>
      <c r="K1302" s="71" t="s">
        <v>6738</v>
      </c>
      <c r="L1302" s="71" t="s">
        <v>6739</v>
      </c>
      <c r="M1302" s="71" t="s">
        <v>6740</v>
      </c>
      <c r="N1302" s="69" t="s">
        <v>57</v>
      </c>
      <c r="O1302" s="64">
        <v>1</v>
      </c>
      <c r="P1302" s="72">
        <v>19729667</v>
      </c>
      <c r="Q1302" s="69" t="s">
        <v>6736</v>
      </c>
      <c r="R1302" s="69"/>
      <c r="S1302" s="121" t="s">
        <v>731</v>
      </c>
      <c r="T1302" s="56">
        <v>33</v>
      </c>
      <c r="U1302" s="56">
        <v>3</v>
      </c>
    </row>
    <row r="1303" spans="1:21" ht="14.25" customHeight="1" x14ac:dyDescent="0.35">
      <c r="A1303" s="47">
        <v>1287</v>
      </c>
      <c r="B1303" s="69" t="s">
        <v>79</v>
      </c>
      <c r="C1303" s="69" t="s">
        <v>80</v>
      </c>
      <c r="D1303" s="70" t="s">
        <v>116</v>
      </c>
      <c r="E1303" s="69" t="s">
        <v>239</v>
      </c>
      <c r="F1303" s="69" t="s">
        <v>148</v>
      </c>
      <c r="G1303" s="69" t="s">
        <v>140</v>
      </c>
      <c r="H1303" s="70">
        <v>2018</v>
      </c>
      <c r="I1303" s="69" t="s">
        <v>63</v>
      </c>
      <c r="J1303" s="69" t="s">
        <v>6741</v>
      </c>
      <c r="K1303" s="71" t="s">
        <v>6742</v>
      </c>
      <c r="L1303" s="71" t="s">
        <v>6743</v>
      </c>
      <c r="M1303" s="71" t="s">
        <v>6744</v>
      </c>
      <c r="N1303" s="69" t="s">
        <v>57</v>
      </c>
      <c r="O1303" s="64">
        <v>1</v>
      </c>
      <c r="P1303" s="72">
        <v>20234710</v>
      </c>
      <c r="Q1303" s="69" t="s">
        <v>168</v>
      </c>
      <c r="R1303" s="69"/>
      <c r="S1303" s="121" t="s">
        <v>731</v>
      </c>
      <c r="T1303" s="56">
        <v>33</v>
      </c>
      <c r="U1303" s="56">
        <v>3</v>
      </c>
    </row>
    <row r="1304" spans="1:21" ht="14.25" customHeight="1" thickBot="1" x14ac:dyDescent="0.4">
      <c r="A1304" s="58">
        <v>1288</v>
      </c>
      <c r="B1304" s="69" t="s">
        <v>2685</v>
      </c>
      <c r="C1304" s="69" t="s">
        <v>2686</v>
      </c>
      <c r="D1304" s="70" t="s">
        <v>51</v>
      </c>
      <c r="E1304" s="69" t="s">
        <v>6745</v>
      </c>
      <c r="F1304" s="69" t="s">
        <v>293</v>
      </c>
      <c r="G1304" s="69" t="s">
        <v>54</v>
      </c>
      <c r="H1304" s="70">
        <v>2013</v>
      </c>
      <c r="I1304" s="69"/>
      <c r="J1304" s="69" t="s">
        <v>6746</v>
      </c>
      <c r="K1304" s="71" t="s">
        <v>6747</v>
      </c>
      <c r="L1304" s="71" t="s">
        <v>6748</v>
      </c>
      <c r="M1304" s="71" t="s">
        <v>6749</v>
      </c>
      <c r="N1304" s="69" t="s">
        <v>57</v>
      </c>
      <c r="O1304" s="64">
        <v>1</v>
      </c>
      <c r="P1304" s="72">
        <v>32926000</v>
      </c>
      <c r="Q1304" s="69" t="s">
        <v>6750</v>
      </c>
      <c r="R1304" s="69"/>
      <c r="S1304" s="121" t="s">
        <v>731</v>
      </c>
      <c r="T1304" s="56">
        <v>33</v>
      </c>
      <c r="U1304" s="56">
        <v>3</v>
      </c>
    </row>
    <row r="1305" spans="1:21" ht="14.25" customHeight="1" x14ac:dyDescent="0.35">
      <c r="A1305" s="47">
        <v>1289</v>
      </c>
      <c r="B1305" s="69" t="s">
        <v>2685</v>
      </c>
      <c r="C1305" s="69" t="s">
        <v>2686</v>
      </c>
      <c r="D1305" s="70" t="s">
        <v>59</v>
      </c>
      <c r="E1305" s="69" t="s">
        <v>6745</v>
      </c>
      <c r="F1305" s="69" t="s">
        <v>293</v>
      </c>
      <c r="G1305" s="69" t="s">
        <v>54</v>
      </c>
      <c r="H1305" s="70">
        <v>2013</v>
      </c>
      <c r="I1305" s="69"/>
      <c r="J1305" s="69" t="s">
        <v>6751</v>
      </c>
      <c r="K1305" s="71" t="s">
        <v>6752</v>
      </c>
      <c r="L1305" s="71" t="s">
        <v>6753</v>
      </c>
      <c r="M1305" s="71" t="s">
        <v>6754</v>
      </c>
      <c r="N1305" s="69" t="s">
        <v>57</v>
      </c>
      <c r="O1305" s="64">
        <v>1</v>
      </c>
      <c r="P1305" s="72">
        <v>32926000</v>
      </c>
      <c r="Q1305" s="69" t="s">
        <v>6750</v>
      </c>
      <c r="R1305" s="69"/>
      <c r="S1305" s="121" t="s">
        <v>731</v>
      </c>
      <c r="T1305" s="56">
        <v>33</v>
      </c>
      <c r="U1305" s="56">
        <v>3</v>
      </c>
    </row>
    <row r="1306" spans="1:21" ht="14.25" customHeight="1" thickBot="1" x14ac:dyDescent="0.4">
      <c r="A1306" s="58">
        <v>1290</v>
      </c>
      <c r="B1306" s="69" t="s">
        <v>70</v>
      </c>
      <c r="C1306" s="69" t="s">
        <v>71</v>
      </c>
      <c r="D1306" s="70" t="s">
        <v>51</v>
      </c>
      <c r="E1306" s="69" t="s">
        <v>5029</v>
      </c>
      <c r="F1306" s="69" t="s">
        <v>5030</v>
      </c>
      <c r="G1306" s="69" t="s">
        <v>415</v>
      </c>
      <c r="H1306" s="70">
        <v>2009</v>
      </c>
      <c r="I1306" s="69"/>
      <c r="J1306" s="69" t="s">
        <v>6755</v>
      </c>
      <c r="K1306" s="71" t="s">
        <v>6756</v>
      </c>
      <c r="L1306" s="71" t="s">
        <v>6757</v>
      </c>
      <c r="M1306" s="71" t="s">
        <v>6758</v>
      </c>
      <c r="N1306" s="69" t="s">
        <v>57</v>
      </c>
      <c r="O1306" s="64">
        <v>1</v>
      </c>
      <c r="P1306" s="72">
        <v>199000000</v>
      </c>
      <c r="Q1306" s="69" t="s">
        <v>6759</v>
      </c>
      <c r="R1306" s="69"/>
      <c r="S1306" s="121" t="s">
        <v>758</v>
      </c>
      <c r="T1306" s="56">
        <v>34</v>
      </c>
      <c r="U1306" s="56">
        <v>4</v>
      </c>
    </row>
    <row r="1307" spans="1:21" ht="14.25" customHeight="1" x14ac:dyDescent="0.35">
      <c r="A1307" s="47">
        <v>1291</v>
      </c>
      <c r="B1307" s="69" t="s">
        <v>70</v>
      </c>
      <c r="C1307" s="69" t="s">
        <v>71</v>
      </c>
      <c r="D1307" s="70" t="s">
        <v>59</v>
      </c>
      <c r="E1307" s="69" t="s">
        <v>6707</v>
      </c>
      <c r="F1307" s="69" t="s">
        <v>1683</v>
      </c>
      <c r="G1307" s="69" t="s">
        <v>140</v>
      </c>
      <c r="H1307" s="70">
        <v>2024</v>
      </c>
      <c r="I1307" s="69" t="s">
        <v>63</v>
      </c>
      <c r="J1307" s="69" t="s">
        <v>6760</v>
      </c>
      <c r="K1307" s="71" t="s">
        <v>6761</v>
      </c>
      <c r="L1307" s="71" t="s">
        <v>6762</v>
      </c>
      <c r="M1307" s="71" t="s">
        <v>6763</v>
      </c>
      <c r="N1307" s="69" t="s">
        <v>44</v>
      </c>
      <c r="O1307" s="64">
        <v>1</v>
      </c>
      <c r="P1307" s="72">
        <v>477500000</v>
      </c>
      <c r="Q1307" s="69" t="s">
        <v>6712</v>
      </c>
      <c r="R1307" s="69"/>
      <c r="S1307" s="121" t="s">
        <v>758</v>
      </c>
      <c r="T1307" s="56">
        <v>34</v>
      </c>
      <c r="U1307" s="56">
        <v>4</v>
      </c>
    </row>
    <row r="1308" spans="1:21" ht="14.25" customHeight="1" thickBot="1" x14ac:dyDescent="0.4">
      <c r="A1308" s="58">
        <v>1292</v>
      </c>
      <c r="B1308" s="69" t="s">
        <v>79</v>
      </c>
      <c r="C1308" s="69" t="s">
        <v>80</v>
      </c>
      <c r="D1308" s="70" t="s">
        <v>51</v>
      </c>
      <c r="E1308" s="69" t="s">
        <v>1383</v>
      </c>
      <c r="F1308" s="69" t="s">
        <v>163</v>
      </c>
      <c r="G1308" s="69" t="s">
        <v>140</v>
      </c>
      <c r="H1308" s="70">
        <v>2015</v>
      </c>
      <c r="I1308" s="69"/>
      <c r="J1308" s="69" t="s">
        <v>6764</v>
      </c>
      <c r="K1308" s="71" t="s">
        <v>6765</v>
      </c>
      <c r="L1308" s="71" t="s">
        <v>6766</v>
      </c>
      <c r="M1308" s="71" t="s">
        <v>6767</v>
      </c>
      <c r="N1308" s="69" t="s">
        <v>57</v>
      </c>
      <c r="O1308" s="64">
        <v>1</v>
      </c>
      <c r="P1308" s="72">
        <v>14962333</v>
      </c>
      <c r="Q1308" s="69" t="s">
        <v>6768</v>
      </c>
      <c r="R1308" s="69"/>
      <c r="S1308" s="121" t="s">
        <v>758</v>
      </c>
      <c r="T1308" s="56">
        <v>34</v>
      </c>
      <c r="U1308" s="56">
        <v>3</v>
      </c>
    </row>
    <row r="1309" spans="1:21" ht="14.25" customHeight="1" x14ac:dyDescent="0.35">
      <c r="A1309" s="47">
        <v>1293</v>
      </c>
      <c r="B1309" s="69" t="s">
        <v>79</v>
      </c>
      <c r="C1309" s="69" t="s">
        <v>80</v>
      </c>
      <c r="D1309" s="70" t="s">
        <v>51</v>
      </c>
      <c r="E1309" s="69" t="s">
        <v>6769</v>
      </c>
      <c r="F1309" s="69" t="s">
        <v>5326</v>
      </c>
      <c r="G1309" s="69" t="s">
        <v>313</v>
      </c>
      <c r="H1309" s="70">
        <v>2019</v>
      </c>
      <c r="I1309" s="69" t="s">
        <v>63</v>
      </c>
      <c r="J1309" s="69" t="s">
        <v>6770</v>
      </c>
      <c r="K1309" s="71" t="s">
        <v>6771</v>
      </c>
      <c r="L1309" s="71" t="s">
        <v>6772</v>
      </c>
      <c r="M1309" s="71" t="s">
        <v>6773</v>
      </c>
      <c r="N1309" s="69" t="s">
        <v>57</v>
      </c>
      <c r="O1309" s="64">
        <v>1</v>
      </c>
      <c r="P1309" s="72">
        <v>28600000</v>
      </c>
      <c r="Q1309" s="69" t="s">
        <v>6774</v>
      </c>
      <c r="R1309" s="69"/>
      <c r="S1309" s="121" t="s">
        <v>758</v>
      </c>
      <c r="T1309" s="56">
        <v>34</v>
      </c>
      <c r="U1309" s="56">
        <v>3</v>
      </c>
    </row>
    <row r="1310" spans="1:21" ht="14.25" customHeight="1" thickBot="1" x14ac:dyDescent="0.4">
      <c r="A1310" s="58">
        <v>1294</v>
      </c>
      <c r="B1310" s="69" t="s">
        <v>79</v>
      </c>
      <c r="C1310" s="69" t="s">
        <v>80</v>
      </c>
      <c r="D1310" s="70" t="s">
        <v>51</v>
      </c>
      <c r="E1310" s="69" t="s">
        <v>6775</v>
      </c>
      <c r="F1310" s="69" t="s">
        <v>156</v>
      </c>
      <c r="G1310" s="69" t="s">
        <v>313</v>
      </c>
      <c r="H1310" s="70">
        <v>2019</v>
      </c>
      <c r="I1310" s="69" t="s">
        <v>63</v>
      </c>
      <c r="J1310" s="69" t="s">
        <v>6776</v>
      </c>
      <c r="K1310" s="71" t="s">
        <v>6777</v>
      </c>
      <c r="L1310" s="71" t="s">
        <v>6778</v>
      </c>
      <c r="M1310" s="71" t="s">
        <v>6779</v>
      </c>
      <c r="N1310" s="69" t="s">
        <v>57</v>
      </c>
      <c r="O1310" s="64">
        <v>1</v>
      </c>
      <c r="P1310" s="72">
        <v>19600000</v>
      </c>
      <c r="Q1310" s="69" t="s">
        <v>6780</v>
      </c>
      <c r="R1310" s="69"/>
      <c r="S1310" s="121" t="s">
        <v>758</v>
      </c>
      <c r="T1310" s="56">
        <v>34</v>
      </c>
      <c r="U1310" s="56">
        <v>3</v>
      </c>
    </row>
    <row r="1311" spans="1:21" ht="14.25" customHeight="1" x14ac:dyDescent="0.35">
      <c r="A1311" s="47">
        <v>1295</v>
      </c>
      <c r="B1311" s="69" t="s">
        <v>79</v>
      </c>
      <c r="C1311" s="69" t="s">
        <v>80</v>
      </c>
      <c r="D1311" s="70" t="s">
        <v>59</v>
      </c>
      <c r="E1311" s="69" t="s">
        <v>1377</v>
      </c>
      <c r="F1311" s="69" t="s">
        <v>1378</v>
      </c>
      <c r="G1311" s="69" t="s">
        <v>140</v>
      </c>
      <c r="H1311" s="70">
        <v>2014</v>
      </c>
      <c r="I1311" s="69"/>
      <c r="J1311" s="69" t="s">
        <v>6781</v>
      </c>
      <c r="K1311" s="71" t="s">
        <v>6782</v>
      </c>
      <c r="L1311" s="71" t="s">
        <v>6783</v>
      </c>
      <c r="M1311" s="71" t="s">
        <v>6784</v>
      </c>
      <c r="N1311" s="69" t="s">
        <v>57</v>
      </c>
      <c r="O1311" s="64">
        <v>1</v>
      </c>
      <c r="P1311" s="72">
        <v>19189533</v>
      </c>
      <c r="Q1311" s="69" t="s">
        <v>6768</v>
      </c>
      <c r="R1311" s="69"/>
      <c r="S1311" s="121" t="s">
        <v>758</v>
      </c>
      <c r="T1311" s="56">
        <v>34</v>
      </c>
      <c r="U1311" s="56">
        <v>3</v>
      </c>
    </row>
    <row r="1312" spans="1:21" ht="14.25" customHeight="1" thickBot="1" x14ac:dyDescent="0.4">
      <c r="A1312" s="58">
        <v>1296</v>
      </c>
      <c r="B1312" s="69" t="s">
        <v>79</v>
      </c>
      <c r="C1312" s="69" t="s">
        <v>80</v>
      </c>
      <c r="D1312" s="70" t="s">
        <v>59</v>
      </c>
      <c r="E1312" s="69" t="s">
        <v>6775</v>
      </c>
      <c r="F1312" s="69" t="s">
        <v>156</v>
      </c>
      <c r="G1312" s="69" t="s">
        <v>313</v>
      </c>
      <c r="H1312" s="70">
        <v>2019</v>
      </c>
      <c r="I1312" s="69" t="s">
        <v>63</v>
      </c>
      <c r="J1312" s="69" t="s">
        <v>6785</v>
      </c>
      <c r="K1312" s="71" t="s">
        <v>6786</v>
      </c>
      <c r="L1312" s="71" t="s">
        <v>6787</v>
      </c>
      <c r="M1312" s="71" t="s">
        <v>6788</v>
      </c>
      <c r="N1312" s="69" t="s">
        <v>57</v>
      </c>
      <c r="O1312" s="64">
        <v>1</v>
      </c>
      <c r="P1312" s="72">
        <v>19600000</v>
      </c>
      <c r="Q1312" s="69" t="s">
        <v>6789</v>
      </c>
      <c r="R1312" s="69"/>
      <c r="S1312" s="121" t="s">
        <v>758</v>
      </c>
      <c r="T1312" s="56">
        <v>34</v>
      </c>
      <c r="U1312" s="56">
        <v>3</v>
      </c>
    </row>
    <row r="1313" spans="1:21" ht="14.25" customHeight="1" x14ac:dyDescent="0.35">
      <c r="A1313" s="47">
        <v>1297</v>
      </c>
      <c r="B1313" s="69" t="s">
        <v>79</v>
      </c>
      <c r="C1313" s="69" t="s">
        <v>80</v>
      </c>
      <c r="D1313" s="70" t="s">
        <v>59</v>
      </c>
      <c r="E1313" s="69" t="s">
        <v>6790</v>
      </c>
      <c r="F1313" s="69" t="s">
        <v>217</v>
      </c>
      <c r="G1313" s="69" t="s">
        <v>313</v>
      </c>
      <c r="H1313" s="70">
        <v>2020</v>
      </c>
      <c r="I1313" s="69" t="s">
        <v>63</v>
      </c>
      <c r="J1313" s="69" t="s">
        <v>6791</v>
      </c>
      <c r="K1313" s="71" t="s">
        <v>6792</v>
      </c>
      <c r="L1313" s="71" t="s">
        <v>6793</v>
      </c>
      <c r="M1313" s="71" t="s">
        <v>6794</v>
      </c>
      <c r="N1313" s="69" t="s">
        <v>57</v>
      </c>
      <c r="O1313" s="64">
        <v>1</v>
      </c>
      <c r="P1313" s="72">
        <v>37200000</v>
      </c>
      <c r="Q1313" s="69" t="s">
        <v>6795</v>
      </c>
      <c r="R1313" s="69"/>
      <c r="S1313" s="121" t="s">
        <v>758</v>
      </c>
      <c r="T1313" s="56">
        <v>34</v>
      </c>
      <c r="U1313" s="56">
        <v>3</v>
      </c>
    </row>
    <row r="1314" spans="1:21" ht="14.25" customHeight="1" thickBot="1" x14ac:dyDescent="0.4">
      <c r="A1314" s="58">
        <v>1298</v>
      </c>
      <c r="B1314" s="69" t="s">
        <v>79</v>
      </c>
      <c r="C1314" s="69" t="s">
        <v>80</v>
      </c>
      <c r="D1314" s="70" t="s">
        <v>97</v>
      </c>
      <c r="E1314" s="69" t="s">
        <v>1383</v>
      </c>
      <c r="F1314" s="69" t="s">
        <v>163</v>
      </c>
      <c r="G1314" s="69" t="s">
        <v>140</v>
      </c>
      <c r="H1314" s="70">
        <v>2015</v>
      </c>
      <c r="I1314" s="69"/>
      <c r="J1314" s="69" t="s">
        <v>6796</v>
      </c>
      <c r="K1314" s="71" t="s">
        <v>6797</v>
      </c>
      <c r="L1314" s="71" t="s">
        <v>6798</v>
      </c>
      <c r="M1314" s="71" t="s">
        <v>6799</v>
      </c>
      <c r="N1314" s="69" t="s">
        <v>57</v>
      </c>
      <c r="O1314" s="64">
        <v>1</v>
      </c>
      <c r="P1314" s="72">
        <v>14962333</v>
      </c>
      <c r="Q1314" s="69" t="s">
        <v>6768</v>
      </c>
      <c r="R1314" s="69"/>
      <c r="S1314" s="121" t="s">
        <v>758</v>
      </c>
      <c r="T1314" s="56">
        <v>34</v>
      </c>
      <c r="U1314" s="56">
        <v>3</v>
      </c>
    </row>
    <row r="1315" spans="1:21" ht="14.25" customHeight="1" x14ac:dyDescent="0.35">
      <c r="A1315" s="47">
        <v>1299</v>
      </c>
      <c r="B1315" s="69" t="s">
        <v>79</v>
      </c>
      <c r="C1315" s="69" t="s">
        <v>80</v>
      </c>
      <c r="D1315" s="70" t="s">
        <v>97</v>
      </c>
      <c r="E1315" s="69" t="s">
        <v>6800</v>
      </c>
      <c r="F1315" s="69" t="s">
        <v>293</v>
      </c>
      <c r="G1315" s="69" t="s">
        <v>62</v>
      </c>
      <c r="H1315" s="70">
        <v>2019</v>
      </c>
      <c r="I1315" s="69" t="s">
        <v>63</v>
      </c>
      <c r="J1315" s="69" t="s">
        <v>6801</v>
      </c>
      <c r="K1315" s="71" t="s">
        <v>6802</v>
      </c>
      <c r="L1315" s="71" t="s">
        <v>6803</v>
      </c>
      <c r="M1315" s="71" t="s">
        <v>6804</v>
      </c>
      <c r="N1315" s="69" t="s">
        <v>57</v>
      </c>
      <c r="O1315" s="64">
        <v>1</v>
      </c>
      <c r="P1315" s="72">
        <v>27700000</v>
      </c>
      <c r="Q1315" s="69" t="s">
        <v>6805</v>
      </c>
      <c r="R1315" s="69"/>
      <c r="S1315" s="121" t="s">
        <v>758</v>
      </c>
      <c r="T1315" s="56">
        <v>34</v>
      </c>
      <c r="U1315" s="56">
        <v>3</v>
      </c>
    </row>
    <row r="1316" spans="1:21" ht="14.25" customHeight="1" thickBot="1" x14ac:dyDescent="0.4">
      <c r="A1316" s="58">
        <v>1300</v>
      </c>
      <c r="B1316" s="69" t="s">
        <v>79</v>
      </c>
      <c r="C1316" s="69" t="s">
        <v>80</v>
      </c>
      <c r="D1316" s="70" t="s">
        <v>97</v>
      </c>
      <c r="E1316" s="69" t="s">
        <v>6806</v>
      </c>
      <c r="F1316" s="69" t="s">
        <v>217</v>
      </c>
      <c r="G1316" s="69" t="s">
        <v>313</v>
      </c>
      <c r="H1316" s="70">
        <v>2020</v>
      </c>
      <c r="I1316" s="69" t="s">
        <v>63</v>
      </c>
      <c r="J1316" s="69" t="s">
        <v>6807</v>
      </c>
      <c r="K1316" s="71" t="s">
        <v>6808</v>
      </c>
      <c r="L1316" s="71" t="s">
        <v>6809</v>
      </c>
      <c r="M1316" s="71" t="s">
        <v>6810</v>
      </c>
      <c r="N1316" s="69" t="s">
        <v>57</v>
      </c>
      <c r="O1316" s="64">
        <v>1</v>
      </c>
      <c r="P1316" s="72">
        <v>34200000</v>
      </c>
      <c r="Q1316" s="69" t="s">
        <v>6811</v>
      </c>
      <c r="R1316" s="69"/>
      <c r="S1316" s="121" t="s">
        <v>758</v>
      </c>
      <c r="T1316" s="56">
        <v>34</v>
      </c>
      <c r="U1316" s="56">
        <v>3</v>
      </c>
    </row>
    <row r="1317" spans="1:21" ht="14.25" customHeight="1" x14ac:dyDescent="0.35">
      <c r="A1317" s="47">
        <v>1301</v>
      </c>
      <c r="B1317" s="69" t="s">
        <v>79</v>
      </c>
      <c r="C1317" s="69" t="s">
        <v>80</v>
      </c>
      <c r="D1317" s="70" t="s">
        <v>101</v>
      </c>
      <c r="E1317" s="69" t="s">
        <v>230</v>
      </c>
      <c r="F1317" s="69" t="s">
        <v>231</v>
      </c>
      <c r="G1317" s="69" t="s">
        <v>54</v>
      </c>
      <c r="H1317" s="70">
        <v>2013</v>
      </c>
      <c r="I1317" s="69" t="s">
        <v>63</v>
      </c>
      <c r="J1317" s="69" t="s">
        <v>6812</v>
      </c>
      <c r="K1317" s="71" t="s">
        <v>6813</v>
      </c>
      <c r="L1317" s="71" t="s">
        <v>6814</v>
      </c>
      <c r="M1317" s="71" t="s">
        <v>6815</v>
      </c>
      <c r="N1317" s="69" t="s">
        <v>57</v>
      </c>
      <c r="O1317" s="64">
        <v>1</v>
      </c>
      <c r="P1317" s="72">
        <v>18004100</v>
      </c>
      <c r="Q1317" s="69" t="s">
        <v>6768</v>
      </c>
      <c r="R1317" s="69"/>
      <c r="S1317" s="121" t="s">
        <v>758</v>
      </c>
      <c r="T1317" s="56">
        <v>34</v>
      </c>
      <c r="U1317" s="56">
        <v>3</v>
      </c>
    </row>
    <row r="1318" spans="1:21" ht="14.25" customHeight="1" thickBot="1" x14ac:dyDescent="0.4">
      <c r="A1318" s="58">
        <v>1302</v>
      </c>
      <c r="B1318" s="69" t="s">
        <v>79</v>
      </c>
      <c r="C1318" s="69" t="s">
        <v>80</v>
      </c>
      <c r="D1318" s="70" t="s">
        <v>101</v>
      </c>
      <c r="E1318" s="69" t="s">
        <v>6769</v>
      </c>
      <c r="F1318" s="69" t="s">
        <v>5326</v>
      </c>
      <c r="G1318" s="69" t="s">
        <v>313</v>
      </c>
      <c r="H1318" s="70">
        <v>2019</v>
      </c>
      <c r="I1318" s="69" t="s">
        <v>63</v>
      </c>
      <c r="J1318" s="69" t="s">
        <v>6816</v>
      </c>
      <c r="K1318" s="71" t="s">
        <v>6817</v>
      </c>
      <c r="L1318" s="71" t="s">
        <v>6818</v>
      </c>
      <c r="M1318" s="71" t="s">
        <v>6819</v>
      </c>
      <c r="N1318" s="69" t="s">
        <v>57</v>
      </c>
      <c r="O1318" s="64">
        <v>1</v>
      </c>
      <c r="P1318" s="72">
        <v>28600000</v>
      </c>
      <c r="Q1318" s="69" t="s">
        <v>6774</v>
      </c>
      <c r="R1318" s="69"/>
      <c r="S1318" s="121" t="s">
        <v>758</v>
      </c>
      <c r="T1318" s="56">
        <v>34</v>
      </c>
      <c r="U1318" s="56">
        <v>3</v>
      </c>
    </row>
    <row r="1319" spans="1:21" ht="14.25" customHeight="1" x14ac:dyDescent="0.35">
      <c r="A1319" s="47">
        <v>1303</v>
      </c>
      <c r="B1319" s="69" t="s">
        <v>79</v>
      </c>
      <c r="C1319" s="69" t="s">
        <v>80</v>
      </c>
      <c r="D1319" s="70" t="s">
        <v>101</v>
      </c>
      <c r="E1319" s="69" t="s">
        <v>6820</v>
      </c>
      <c r="F1319" s="69" t="s">
        <v>217</v>
      </c>
      <c r="G1319" s="69" t="s">
        <v>313</v>
      </c>
      <c r="H1319" s="70">
        <v>2020</v>
      </c>
      <c r="I1319" s="69" t="s">
        <v>63</v>
      </c>
      <c r="J1319" s="69" t="s">
        <v>6821</v>
      </c>
      <c r="K1319" s="71" t="s">
        <v>6822</v>
      </c>
      <c r="L1319" s="71" t="s">
        <v>6823</v>
      </c>
      <c r="M1319" s="71" t="s">
        <v>6824</v>
      </c>
      <c r="N1319" s="69" t="s">
        <v>57</v>
      </c>
      <c r="O1319" s="64">
        <v>1</v>
      </c>
      <c r="P1319" s="72">
        <v>34200000</v>
      </c>
      <c r="Q1319" s="69" t="s">
        <v>6825</v>
      </c>
      <c r="R1319" s="69"/>
      <c r="S1319" s="121" t="s">
        <v>758</v>
      </c>
      <c r="T1319" s="56">
        <v>34</v>
      </c>
      <c r="U1319" s="56">
        <v>3</v>
      </c>
    </row>
    <row r="1320" spans="1:21" ht="14.25" customHeight="1" thickBot="1" x14ac:dyDescent="0.4">
      <c r="A1320" s="58">
        <v>1304</v>
      </c>
      <c r="B1320" s="69" t="s">
        <v>79</v>
      </c>
      <c r="C1320" s="69" t="s">
        <v>80</v>
      </c>
      <c r="D1320" s="70" t="s">
        <v>107</v>
      </c>
      <c r="E1320" s="69" t="s">
        <v>1860</v>
      </c>
      <c r="F1320" s="69" t="s">
        <v>202</v>
      </c>
      <c r="G1320" s="69" t="s">
        <v>54</v>
      </c>
      <c r="H1320" s="70">
        <v>2012</v>
      </c>
      <c r="I1320" s="69"/>
      <c r="J1320" s="69" t="s">
        <v>6826</v>
      </c>
      <c r="K1320" s="71" t="s">
        <v>6827</v>
      </c>
      <c r="L1320" s="71" t="s">
        <v>6828</v>
      </c>
      <c r="M1320" s="71" t="s">
        <v>6829</v>
      </c>
      <c r="N1320" s="69" t="s">
        <v>57</v>
      </c>
      <c r="O1320" s="64">
        <v>1</v>
      </c>
      <c r="P1320" s="72">
        <v>13177550</v>
      </c>
      <c r="Q1320" s="69" t="s">
        <v>6768</v>
      </c>
      <c r="R1320" s="69"/>
      <c r="S1320" s="121" t="s">
        <v>758</v>
      </c>
      <c r="T1320" s="56">
        <v>34</v>
      </c>
      <c r="U1320" s="56">
        <v>3</v>
      </c>
    </row>
    <row r="1321" spans="1:21" ht="14.25" customHeight="1" x14ac:dyDescent="0.35">
      <c r="A1321" s="47">
        <v>1305</v>
      </c>
      <c r="B1321" s="69" t="s">
        <v>79</v>
      </c>
      <c r="C1321" s="69" t="s">
        <v>80</v>
      </c>
      <c r="D1321" s="70" t="s">
        <v>107</v>
      </c>
      <c r="E1321" s="69" t="s">
        <v>6820</v>
      </c>
      <c r="F1321" s="69" t="s">
        <v>217</v>
      </c>
      <c r="G1321" s="69" t="s">
        <v>313</v>
      </c>
      <c r="H1321" s="70">
        <v>2020</v>
      </c>
      <c r="I1321" s="69" t="s">
        <v>63</v>
      </c>
      <c r="J1321" s="69" t="s">
        <v>6830</v>
      </c>
      <c r="K1321" s="71" t="s">
        <v>6831</v>
      </c>
      <c r="L1321" s="71" t="s">
        <v>6832</v>
      </c>
      <c r="M1321" s="71" t="s">
        <v>6833</v>
      </c>
      <c r="N1321" s="69" t="s">
        <v>57</v>
      </c>
      <c r="O1321" s="64">
        <v>1</v>
      </c>
      <c r="P1321" s="72">
        <v>34200000</v>
      </c>
      <c r="Q1321" s="69" t="s">
        <v>6825</v>
      </c>
      <c r="R1321" s="69"/>
      <c r="S1321" s="121" t="s">
        <v>758</v>
      </c>
      <c r="T1321" s="56">
        <v>34</v>
      </c>
      <c r="U1321" s="56">
        <v>3</v>
      </c>
    </row>
    <row r="1322" spans="1:21" ht="14.25" customHeight="1" thickBot="1" x14ac:dyDescent="0.4">
      <c r="A1322" s="58">
        <v>1306</v>
      </c>
      <c r="B1322" s="69" t="s">
        <v>79</v>
      </c>
      <c r="C1322" s="69" t="s">
        <v>80</v>
      </c>
      <c r="D1322" s="70" t="s">
        <v>112</v>
      </c>
      <c r="E1322" s="69" t="s">
        <v>1860</v>
      </c>
      <c r="F1322" s="69" t="s">
        <v>202</v>
      </c>
      <c r="G1322" s="69" t="s">
        <v>54</v>
      </c>
      <c r="H1322" s="70">
        <v>2012</v>
      </c>
      <c r="I1322" s="69"/>
      <c r="J1322" s="69" t="s">
        <v>6834</v>
      </c>
      <c r="K1322" s="71" t="s">
        <v>6835</v>
      </c>
      <c r="L1322" s="71" t="s">
        <v>6836</v>
      </c>
      <c r="M1322" s="71" t="s">
        <v>6837</v>
      </c>
      <c r="N1322" s="69" t="s">
        <v>57</v>
      </c>
      <c r="O1322" s="64">
        <v>1</v>
      </c>
      <c r="P1322" s="72">
        <v>13177550</v>
      </c>
      <c r="Q1322" s="69" t="s">
        <v>6768</v>
      </c>
      <c r="R1322" s="69"/>
      <c r="S1322" s="121" t="s">
        <v>758</v>
      </c>
      <c r="T1322" s="56">
        <v>34</v>
      </c>
      <c r="U1322" s="56">
        <v>3</v>
      </c>
    </row>
    <row r="1323" spans="1:21" ht="14.25" customHeight="1" x14ac:dyDescent="0.35">
      <c r="A1323" s="47">
        <v>1307</v>
      </c>
      <c r="B1323" s="69" t="s">
        <v>79</v>
      </c>
      <c r="C1323" s="69" t="s">
        <v>80</v>
      </c>
      <c r="D1323" s="70" t="s">
        <v>841</v>
      </c>
      <c r="E1323" s="69" t="s">
        <v>6838</v>
      </c>
      <c r="F1323" s="69" t="s">
        <v>88</v>
      </c>
      <c r="G1323" s="69" t="s">
        <v>140</v>
      </c>
      <c r="H1323" s="70">
        <v>2010</v>
      </c>
      <c r="I1323" s="69" t="s">
        <v>63</v>
      </c>
      <c r="J1323" s="69" t="s">
        <v>6839</v>
      </c>
      <c r="K1323" s="71" t="s">
        <v>6840</v>
      </c>
      <c r="L1323" s="71" t="s">
        <v>6841</v>
      </c>
      <c r="M1323" s="71" t="s">
        <v>6842</v>
      </c>
      <c r="N1323" s="69" t="s">
        <v>57</v>
      </c>
      <c r="O1323" s="64">
        <v>1</v>
      </c>
      <c r="P1323" s="72">
        <v>17800000</v>
      </c>
      <c r="Q1323" s="69" t="s">
        <v>6843</v>
      </c>
      <c r="R1323" s="69"/>
      <c r="S1323" s="121" t="s">
        <v>758</v>
      </c>
      <c r="T1323" s="56">
        <v>34</v>
      </c>
      <c r="U1323" s="56">
        <v>3</v>
      </c>
    </row>
    <row r="1324" spans="1:21" ht="14.25" customHeight="1" thickBot="1" x14ac:dyDescent="0.4">
      <c r="A1324" s="58">
        <v>1308</v>
      </c>
      <c r="B1324" s="69" t="s">
        <v>79</v>
      </c>
      <c r="C1324" s="69" t="s">
        <v>80</v>
      </c>
      <c r="D1324" s="70" t="s">
        <v>126</v>
      </c>
      <c r="E1324" s="69" t="s">
        <v>239</v>
      </c>
      <c r="F1324" s="69" t="s">
        <v>148</v>
      </c>
      <c r="G1324" s="69" t="s">
        <v>140</v>
      </c>
      <c r="H1324" s="70">
        <v>2018</v>
      </c>
      <c r="I1324" s="69" t="s">
        <v>63</v>
      </c>
      <c r="J1324" s="69" t="s">
        <v>6844</v>
      </c>
      <c r="K1324" s="71" t="s">
        <v>6845</v>
      </c>
      <c r="L1324" s="71" t="s">
        <v>6846</v>
      </c>
      <c r="M1324" s="71" t="s">
        <v>6847</v>
      </c>
      <c r="N1324" s="69" t="s">
        <v>57</v>
      </c>
      <c r="O1324" s="64">
        <v>1</v>
      </c>
      <c r="P1324" s="72">
        <v>20234710</v>
      </c>
      <c r="Q1324" s="69" t="s">
        <v>168</v>
      </c>
      <c r="R1324" s="69"/>
      <c r="S1324" s="121" t="s">
        <v>758</v>
      </c>
      <c r="T1324" s="56">
        <v>34</v>
      </c>
      <c r="U1324" s="56">
        <v>3</v>
      </c>
    </row>
    <row r="1325" spans="1:21" ht="14.25" customHeight="1" x14ac:dyDescent="0.35">
      <c r="A1325" s="47">
        <v>1309</v>
      </c>
      <c r="B1325" s="69" t="s">
        <v>79</v>
      </c>
      <c r="C1325" s="69" t="s">
        <v>80</v>
      </c>
      <c r="D1325" s="70" t="s">
        <v>132</v>
      </c>
      <c r="E1325" s="69" t="s">
        <v>239</v>
      </c>
      <c r="F1325" s="69" t="s">
        <v>148</v>
      </c>
      <c r="G1325" s="69" t="s">
        <v>140</v>
      </c>
      <c r="H1325" s="70">
        <v>2018</v>
      </c>
      <c r="I1325" s="69" t="s">
        <v>63</v>
      </c>
      <c r="J1325" s="69" t="s">
        <v>6848</v>
      </c>
      <c r="K1325" s="71" t="s">
        <v>6849</v>
      </c>
      <c r="L1325" s="71" t="s">
        <v>6850</v>
      </c>
      <c r="M1325" s="71" t="s">
        <v>6851</v>
      </c>
      <c r="N1325" s="69" t="s">
        <v>57</v>
      </c>
      <c r="O1325" s="64">
        <v>1</v>
      </c>
      <c r="P1325" s="72">
        <v>20234710</v>
      </c>
      <c r="Q1325" s="69" t="s">
        <v>6852</v>
      </c>
      <c r="R1325" s="69"/>
      <c r="S1325" s="121" t="s">
        <v>758</v>
      </c>
      <c r="T1325" s="56">
        <v>34</v>
      </c>
      <c r="U1325" s="56">
        <v>3</v>
      </c>
    </row>
    <row r="1326" spans="1:21" ht="14.25" customHeight="1" thickBot="1" x14ac:dyDescent="0.4">
      <c r="A1326" s="58">
        <v>1310</v>
      </c>
      <c r="B1326" s="69" t="s">
        <v>79</v>
      </c>
      <c r="C1326" s="69" t="s">
        <v>80</v>
      </c>
      <c r="D1326" s="70" t="s">
        <v>137</v>
      </c>
      <c r="E1326" s="69" t="s">
        <v>2574</v>
      </c>
      <c r="F1326" s="69" t="s">
        <v>88</v>
      </c>
      <c r="G1326" s="69" t="s">
        <v>140</v>
      </c>
      <c r="H1326" s="70">
        <v>2015</v>
      </c>
      <c r="I1326" s="69"/>
      <c r="J1326" s="69" t="s">
        <v>6853</v>
      </c>
      <c r="K1326" s="71" t="s">
        <v>6854</v>
      </c>
      <c r="L1326" s="71" t="s">
        <v>6855</v>
      </c>
      <c r="M1326" s="71" t="s">
        <v>6856</v>
      </c>
      <c r="N1326" s="69" t="s">
        <v>57</v>
      </c>
      <c r="O1326" s="64">
        <v>1</v>
      </c>
      <c r="P1326" s="72">
        <v>16898000</v>
      </c>
      <c r="Q1326" s="69" t="s">
        <v>6768</v>
      </c>
      <c r="R1326" s="69"/>
      <c r="S1326" s="121" t="s">
        <v>758</v>
      </c>
      <c r="T1326" s="56">
        <v>34</v>
      </c>
      <c r="U1326" s="56">
        <v>3</v>
      </c>
    </row>
    <row r="1327" spans="1:21" ht="14.25" customHeight="1" x14ac:dyDescent="0.35">
      <c r="A1327" s="47">
        <v>1311</v>
      </c>
      <c r="B1327" s="69" t="s">
        <v>79</v>
      </c>
      <c r="C1327" s="69" t="s">
        <v>80</v>
      </c>
      <c r="D1327" s="70" t="s">
        <v>146</v>
      </c>
      <c r="E1327" s="69" t="s">
        <v>2574</v>
      </c>
      <c r="F1327" s="69" t="s">
        <v>88</v>
      </c>
      <c r="G1327" s="69" t="s">
        <v>140</v>
      </c>
      <c r="H1327" s="70">
        <v>2015</v>
      </c>
      <c r="I1327" s="69"/>
      <c r="J1327" s="69" t="s">
        <v>6857</v>
      </c>
      <c r="K1327" s="71" t="s">
        <v>6858</v>
      </c>
      <c r="L1327" s="71" t="s">
        <v>6859</v>
      </c>
      <c r="M1327" s="71" t="s">
        <v>6860</v>
      </c>
      <c r="N1327" s="69" t="s">
        <v>57</v>
      </c>
      <c r="O1327" s="64">
        <v>1</v>
      </c>
      <c r="P1327" s="72">
        <v>16898000</v>
      </c>
      <c r="Q1327" s="69" t="s">
        <v>6768</v>
      </c>
      <c r="R1327" s="69"/>
      <c r="S1327" s="121" t="s">
        <v>758</v>
      </c>
      <c r="T1327" s="56">
        <v>34</v>
      </c>
      <c r="U1327" s="56">
        <v>3</v>
      </c>
    </row>
    <row r="1328" spans="1:21" ht="14.25" customHeight="1" thickBot="1" x14ac:dyDescent="0.4">
      <c r="A1328" s="58">
        <v>1312</v>
      </c>
      <c r="B1328" s="69" t="s">
        <v>79</v>
      </c>
      <c r="C1328" s="69" t="s">
        <v>80</v>
      </c>
      <c r="D1328" s="70" t="s">
        <v>154</v>
      </c>
      <c r="E1328" s="69" t="s">
        <v>147</v>
      </c>
      <c r="F1328" s="69" t="s">
        <v>148</v>
      </c>
      <c r="G1328" s="69" t="s">
        <v>140</v>
      </c>
      <c r="H1328" s="70">
        <v>2015</v>
      </c>
      <c r="I1328" s="69"/>
      <c r="J1328" s="69" t="s">
        <v>6861</v>
      </c>
      <c r="K1328" s="71" t="s">
        <v>6862</v>
      </c>
      <c r="L1328" s="71" t="s">
        <v>6863</v>
      </c>
      <c r="M1328" s="71" t="s">
        <v>6864</v>
      </c>
      <c r="N1328" s="69" t="s">
        <v>57</v>
      </c>
      <c r="O1328" s="64">
        <v>1</v>
      </c>
      <c r="P1328" s="72">
        <v>19430000</v>
      </c>
      <c r="Q1328" s="69" t="s">
        <v>6768</v>
      </c>
      <c r="R1328" s="69"/>
      <c r="S1328" s="121" t="s">
        <v>758</v>
      </c>
      <c r="T1328" s="56">
        <v>34</v>
      </c>
      <c r="U1328" s="56">
        <v>3</v>
      </c>
    </row>
    <row r="1329" spans="1:21" ht="14.25" customHeight="1" x14ac:dyDescent="0.35">
      <c r="A1329" s="47">
        <v>1313</v>
      </c>
      <c r="B1329" s="69" t="s">
        <v>79</v>
      </c>
      <c r="C1329" s="69" t="s">
        <v>80</v>
      </c>
      <c r="D1329" s="70" t="s">
        <v>161</v>
      </c>
      <c r="E1329" s="69" t="s">
        <v>147</v>
      </c>
      <c r="F1329" s="69" t="s">
        <v>148</v>
      </c>
      <c r="G1329" s="69" t="s">
        <v>140</v>
      </c>
      <c r="H1329" s="70">
        <v>2015</v>
      </c>
      <c r="I1329" s="69"/>
      <c r="J1329" s="69" t="s">
        <v>6865</v>
      </c>
      <c r="K1329" s="71" t="s">
        <v>6866</v>
      </c>
      <c r="L1329" s="71" t="s">
        <v>6867</v>
      </c>
      <c r="M1329" s="71" t="s">
        <v>6868</v>
      </c>
      <c r="N1329" s="69" t="s">
        <v>57</v>
      </c>
      <c r="O1329" s="64">
        <v>1</v>
      </c>
      <c r="P1329" s="72">
        <v>19430000</v>
      </c>
      <c r="Q1329" s="69" t="s">
        <v>6768</v>
      </c>
      <c r="R1329" s="69"/>
      <c r="S1329" s="121" t="s">
        <v>758</v>
      </c>
      <c r="T1329" s="56">
        <v>34</v>
      </c>
      <c r="U1329" s="56">
        <v>3</v>
      </c>
    </row>
    <row r="1330" spans="1:21" ht="14.25" customHeight="1" thickBot="1" x14ac:dyDescent="0.4">
      <c r="A1330" s="58">
        <v>1314</v>
      </c>
      <c r="B1330" s="69" t="s">
        <v>2244</v>
      </c>
      <c r="C1330" s="69" t="s">
        <v>2245</v>
      </c>
      <c r="D1330" s="70" t="s">
        <v>51</v>
      </c>
      <c r="E1330" s="69" t="s">
        <v>2246</v>
      </c>
      <c r="F1330" s="69" t="s">
        <v>293</v>
      </c>
      <c r="G1330" s="69" t="s">
        <v>415</v>
      </c>
      <c r="H1330" s="70">
        <v>2019</v>
      </c>
      <c r="I1330" s="69" t="s">
        <v>63</v>
      </c>
      <c r="J1330" s="69" t="s">
        <v>6869</v>
      </c>
      <c r="K1330" s="71" t="s">
        <v>6870</v>
      </c>
      <c r="L1330" s="71" t="s">
        <v>6871</v>
      </c>
      <c r="M1330" s="71" t="s">
        <v>6872</v>
      </c>
      <c r="N1330" s="69" t="s">
        <v>57</v>
      </c>
      <c r="O1330" s="64">
        <v>1</v>
      </c>
      <c r="P1330" s="72">
        <v>33000000</v>
      </c>
      <c r="Q1330" s="69" t="s">
        <v>6768</v>
      </c>
      <c r="R1330" s="69"/>
      <c r="S1330" s="121" t="s">
        <v>758</v>
      </c>
      <c r="T1330" s="56">
        <v>34</v>
      </c>
      <c r="U1330" s="56">
        <v>3</v>
      </c>
    </row>
    <row r="1331" spans="1:21" ht="14.25" customHeight="1" x14ac:dyDescent="0.35">
      <c r="A1331" s="47">
        <v>1315</v>
      </c>
      <c r="B1331" s="69" t="s">
        <v>1553</v>
      </c>
      <c r="C1331" s="69" t="s">
        <v>1554</v>
      </c>
      <c r="D1331" s="70" t="s">
        <v>51</v>
      </c>
      <c r="E1331" s="69" t="s">
        <v>6873</v>
      </c>
      <c r="F1331" s="69" t="s">
        <v>6874</v>
      </c>
      <c r="G1331" s="69" t="s">
        <v>415</v>
      </c>
      <c r="H1331" s="70">
        <v>2013</v>
      </c>
      <c r="I1331" s="69" t="s">
        <v>63</v>
      </c>
      <c r="J1331" s="69" t="s">
        <v>6875</v>
      </c>
      <c r="K1331" s="71" t="s">
        <v>6876</v>
      </c>
      <c r="L1331" s="71" t="s">
        <v>6877</v>
      </c>
      <c r="M1331" s="71" t="s">
        <v>6878</v>
      </c>
      <c r="N1331" s="69" t="s">
        <v>422</v>
      </c>
      <c r="O1331" s="64">
        <v>1</v>
      </c>
      <c r="P1331" s="72">
        <v>212100000</v>
      </c>
      <c r="Q1331" s="69" t="s">
        <v>6879</v>
      </c>
      <c r="R1331" s="69"/>
      <c r="S1331" s="121" t="s">
        <v>758</v>
      </c>
      <c r="T1331" s="56">
        <v>34</v>
      </c>
      <c r="U1331" s="56">
        <v>4</v>
      </c>
    </row>
    <row r="1332" spans="1:21" ht="14.25" customHeight="1" thickBot="1" x14ac:dyDescent="0.4">
      <c r="A1332" s="58">
        <v>1316</v>
      </c>
      <c r="B1332" s="69" t="s">
        <v>2064</v>
      </c>
      <c r="C1332" s="69" t="s">
        <v>2065</v>
      </c>
      <c r="D1332" s="70" t="s">
        <v>51</v>
      </c>
      <c r="E1332" s="69" t="s">
        <v>6613</v>
      </c>
      <c r="F1332" s="69" t="s">
        <v>2023</v>
      </c>
      <c r="G1332" s="69" t="s">
        <v>54</v>
      </c>
      <c r="H1332" s="70">
        <v>2010</v>
      </c>
      <c r="I1332" s="69"/>
      <c r="J1332" s="69" t="s">
        <v>6880</v>
      </c>
      <c r="K1332" s="71" t="s">
        <v>6881</v>
      </c>
      <c r="L1332" s="71" t="s">
        <v>6882</v>
      </c>
      <c r="M1332" s="71" t="s">
        <v>6883</v>
      </c>
      <c r="N1332" s="69" t="s">
        <v>57</v>
      </c>
      <c r="O1332" s="64">
        <v>1</v>
      </c>
      <c r="P1332" s="72">
        <v>310000000</v>
      </c>
      <c r="Q1332" s="69" t="s">
        <v>6884</v>
      </c>
      <c r="R1332" s="69"/>
      <c r="S1332" s="121" t="s">
        <v>775</v>
      </c>
      <c r="T1332" s="56">
        <v>35</v>
      </c>
      <c r="U1332" s="56">
        <v>6</v>
      </c>
    </row>
    <row r="1333" spans="1:21" ht="14.25" customHeight="1" x14ac:dyDescent="0.35">
      <c r="A1333" s="47">
        <v>1317</v>
      </c>
      <c r="B1333" s="69" t="s">
        <v>70</v>
      </c>
      <c r="C1333" s="69" t="s">
        <v>71</v>
      </c>
      <c r="D1333" s="70" t="s">
        <v>51</v>
      </c>
      <c r="E1333" s="69" t="s">
        <v>6885</v>
      </c>
      <c r="F1333" s="69">
        <v>2393</v>
      </c>
      <c r="G1333" s="69" t="s">
        <v>54</v>
      </c>
      <c r="H1333" s="70">
        <v>2022</v>
      </c>
      <c r="I1333" s="69"/>
      <c r="J1333" s="69" t="s">
        <v>6886</v>
      </c>
      <c r="K1333" s="71" t="s">
        <v>6887</v>
      </c>
      <c r="L1333" s="71" t="s">
        <v>6888</v>
      </c>
      <c r="M1333" s="71" t="s">
        <v>6889</v>
      </c>
      <c r="N1333" s="69" t="s">
        <v>44</v>
      </c>
      <c r="O1333" s="64">
        <v>1</v>
      </c>
      <c r="P1333" s="72">
        <v>425500000</v>
      </c>
      <c r="Q1333" s="69"/>
      <c r="R1333" s="69"/>
      <c r="S1333" s="121" t="s">
        <v>775</v>
      </c>
      <c r="T1333" s="56">
        <v>35</v>
      </c>
      <c r="U1333" s="56">
        <v>4</v>
      </c>
    </row>
    <row r="1334" spans="1:21" ht="14.25" customHeight="1" thickBot="1" x14ac:dyDescent="0.4">
      <c r="A1334" s="58">
        <v>1318</v>
      </c>
      <c r="B1334" s="69" t="s">
        <v>79</v>
      </c>
      <c r="C1334" s="69" t="s">
        <v>80</v>
      </c>
      <c r="D1334" s="70" t="s">
        <v>51</v>
      </c>
      <c r="E1334" s="69" t="s">
        <v>216</v>
      </c>
      <c r="F1334" s="69" t="s">
        <v>217</v>
      </c>
      <c r="G1334" s="69" t="s">
        <v>54</v>
      </c>
      <c r="H1334" s="70">
        <v>2012</v>
      </c>
      <c r="I1334" s="69"/>
      <c r="J1334" s="69" t="s">
        <v>6890</v>
      </c>
      <c r="K1334" s="71" t="s">
        <v>6891</v>
      </c>
      <c r="L1334" s="71" t="s">
        <v>6892</v>
      </c>
      <c r="M1334" s="71" t="s">
        <v>6893</v>
      </c>
      <c r="N1334" s="69" t="s">
        <v>57</v>
      </c>
      <c r="O1334" s="64">
        <v>1</v>
      </c>
      <c r="P1334" s="72">
        <v>19426600</v>
      </c>
      <c r="Q1334" s="69" t="s">
        <v>6894</v>
      </c>
      <c r="R1334" s="69"/>
      <c r="S1334" s="121" t="s">
        <v>775</v>
      </c>
      <c r="T1334" s="56">
        <v>35</v>
      </c>
      <c r="U1334" s="56">
        <v>3</v>
      </c>
    </row>
    <row r="1335" spans="1:21" ht="14.25" customHeight="1" x14ac:dyDescent="0.35">
      <c r="A1335" s="47">
        <v>1319</v>
      </c>
      <c r="B1335" s="69" t="s">
        <v>79</v>
      </c>
      <c r="C1335" s="69" t="s">
        <v>80</v>
      </c>
      <c r="D1335" s="70" t="s">
        <v>59</v>
      </c>
      <c r="E1335" s="69" t="s">
        <v>6895</v>
      </c>
      <c r="F1335" s="69" t="s">
        <v>6896</v>
      </c>
      <c r="G1335" s="69" t="s">
        <v>140</v>
      </c>
      <c r="H1335" s="70">
        <v>2010</v>
      </c>
      <c r="I1335" s="69"/>
      <c r="J1335" s="69" t="s">
        <v>6897</v>
      </c>
      <c r="K1335" s="71" t="s">
        <v>6898</v>
      </c>
      <c r="L1335" s="71" t="s">
        <v>6899</v>
      </c>
      <c r="M1335" s="71" t="s">
        <v>6900</v>
      </c>
      <c r="N1335" s="69" t="s">
        <v>57</v>
      </c>
      <c r="O1335" s="64">
        <v>1</v>
      </c>
      <c r="P1335" s="72">
        <v>17950000</v>
      </c>
      <c r="Q1335" s="69"/>
      <c r="R1335" s="69"/>
      <c r="S1335" s="121" t="s">
        <v>775</v>
      </c>
      <c r="T1335" s="56">
        <v>35</v>
      </c>
      <c r="U1335" s="56">
        <v>3</v>
      </c>
    </row>
    <row r="1336" spans="1:21" ht="14.25" customHeight="1" thickBot="1" x14ac:dyDescent="0.4">
      <c r="A1336" s="58">
        <v>1320</v>
      </c>
      <c r="B1336" s="69" t="s">
        <v>79</v>
      </c>
      <c r="C1336" s="69" t="s">
        <v>80</v>
      </c>
      <c r="D1336" s="70" t="s">
        <v>97</v>
      </c>
      <c r="E1336" s="69" t="s">
        <v>147</v>
      </c>
      <c r="F1336" s="69" t="s">
        <v>148</v>
      </c>
      <c r="G1336" s="69" t="s">
        <v>140</v>
      </c>
      <c r="H1336" s="70">
        <v>2015</v>
      </c>
      <c r="I1336" s="69"/>
      <c r="J1336" s="69" t="s">
        <v>6901</v>
      </c>
      <c r="K1336" s="71" t="s">
        <v>6902</v>
      </c>
      <c r="L1336" s="71" t="s">
        <v>6903</v>
      </c>
      <c r="M1336" s="71" t="s">
        <v>6904</v>
      </c>
      <c r="N1336" s="69" t="s">
        <v>57</v>
      </c>
      <c r="O1336" s="64">
        <v>1</v>
      </c>
      <c r="P1336" s="72">
        <v>19430000</v>
      </c>
      <c r="Q1336" s="69" t="s">
        <v>6905</v>
      </c>
      <c r="R1336" s="69"/>
      <c r="S1336" s="121" t="s">
        <v>775</v>
      </c>
      <c r="T1336" s="56">
        <v>35</v>
      </c>
      <c r="U1336" s="56">
        <v>3</v>
      </c>
    </row>
    <row r="1337" spans="1:21" ht="14.25" customHeight="1" x14ac:dyDescent="0.35">
      <c r="A1337" s="47">
        <v>1321</v>
      </c>
      <c r="B1337" s="69" t="s">
        <v>79</v>
      </c>
      <c r="C1337" s="69" t="s">
        <v>80</v>
      </c>
      <c r="D1337" s="70" t="s">
        <v>101</v>
      </c>
      <c r="E1337" s="69" t="s">
        <v>1377</v>
      </c>
      <c r="F1337" s="69" t="s">
        <v>1378</v>
      </c>
      <c r="G1337" s="69" t="s">
        <v>140</v>
      </c>
      <c r="H1337" s="70">
        <v>2014</v>
      </c>
      <c r="I1337" s="69"/>
      <c r="J1337" s="69" t="s">
        <v>6906</v>
      </c>
      <c r="K1337" s="71" t="s">
        <v>6907</v>
      </c>
      <c r="L1337" s="71" t="s">
        <v>6908</v>
      </c>
      <c r="M1337" s="71" t="s">
        <v>6909</v>
      </c>
      <c r="N1337" s="69" t="s">
        <v>57</v>
      </c>
      <c r="O1337" s="64">
        <v>1</v>
      </c>
      <c r="P1337" s="72">
        <v>19189533</v>
      </c>
      <c r="Q1337" s="69" t="s">
        <v>6905</v>
      </c>
      <c r="R1337" s="69"/>
      <c r="S1337" s="121" t="s">
        <v>775</v>
      </c>
      <c r="T1337" s="56">
        <v>35</v>
      </c>
      <c r="U1337" s="56">
        <v>3</v>
      </c>
    </row>
    <row r="1338" spans="1:21" ht="14.25" customHeight="1" thickBot="1" x14ac:dyDescent="0.4">
      <c r="A1338" s="58">
        <v>1322</v>
      </c>
      <c r="B1338" s="69" t="s">
        <v>79</v>
      </c>
      <c r="C1338" s="69" t="s">
        <v>80</v>
      </c>
      <c r="D1338" s="70" t="s">
        <v>107</v>
      </c>
      <c r="E1338" s="69" t="s">
        <v>6895</v>
      </c>
      <c r="F1338" s="69" t="s">
        <v>6896</v>
      </c>
      <c r="G1338" s="69" t="s">
        <v>140</v>
      </c>
      <c r="H1338" s="70">
        <v>2010</v>
      </c>
      <c r="I1338" s="69"/>
      <c r="J1338" s="69" t="s">
        <v>6910</v>
      </c>
      <c r="K1338" s="71" t="s">
        <v>6911</v>
      </c>
      <c r="L1338" s="71" t="s">
        <v>6912</v>
      </c>
      <c r="M1338" s="71"/>
      <c r="N1338" s="69" t="s">
        <v>57</v>
      </c>
      <c r="O1338" s="64">
        <v>1</v>
      </c>
      <c r="P1338" s="72">
        <v>17950000</v>
      </c>
      <c r="Q1338" s="69"/>
      <c r="R1338" s="69"/>
      <c r="S1338" s="121" t="s">
        <v>775</v>
      </c>
      <c r="T1338" s="56">
        <v>35</v>
      </c>
      <c r="U1338" s="56">
        <v>3</v>
      </c>
    </row>
    <row r="1339" spans="1:21" ht="14.25" customHeight="1" x14ac:dyDescent="0.35">
      <c r="A1339" s="47">
        <v>1323</v>
      </c>
      <c r="B1339" s="69" t="s">
        <v>79</v>
      </c>
      <c r="C1339" s="69" t="s">
        <v>80</v>
      </c>
      <c r="D1339" s="70" t="s">
        <v>112</v>
      </c>
      <c r="E1339" s="69" t="s">
        <v>147</v>
      </c>
      <c r="F1339" s="69" t="s">
        <v>148</v>
      </c>
      <c r="G1339" s="69" t="s">
        <v>140</v>
      </c>
      <c r="H1339" s="70">
        <v>2015</v>
      </c>
      <c r="I1339" s="69"/>
      <c r="J1339" s="69" t="s">
        <v>6913</v>
      </c>
      <c r="K1339" s="71" t="s">
        <v>6914</v>
      </c>
      <c r="L1339" s="71" t="s">
        <v>6915</v>
      </c>
      <c r="M1339" s="71" t="s">
        <v>6916</v>
      </c>
      <c r="N1339" s="69" t="s">
        <v>57</v>
      </c>
      <c r="O1339" s="64">
        <v>1</v>
      </c>
      <c r="P1339" s="72">
        <v>19430000</v>
      </c>
      <c r="Q1339" s="69" t="s">
        <v>6917</v>
      </c>
      <c r="R1339" s="69"/>
      <c r="S1339" s="121" t="s">
        <v>775</v>
      </c>
      <c r="T1339" s="56">
        <v>35</v>
      </c>
      <c r="U1339" s="56">
        <v>3</v>
      </c>
    </row>
    <row r="1340" spans="1:21" ht="14.25" customHeight="1" thickBot="1" x14ac:dyDescent="0.4">
      <c r="A1340" s="58">
        <v>1324</v>
      </c>
      <c r="B1340" s="69" t="s">
        <v>79</v>
      </c>
      <c r="C1340" s="69" t="s">
        <v>80</v>
      </c>
      <c r="D1340" s="70" t="s">
        <v>116</v>
      </c>
      <c r="E1340" s="69" t="s">
        <v>3767</v>
      </c>
      <c r="F1340" s="69" t="s">
        <v>148</v>
      </c>
      <c r="G1340" s="69" t="s">
        <v>140</v>
      </c>
      <c r="H1340" s="70">
        <v>2018</v>
      </c>
      <c r="I1340" s="69" t="s">
        <v>63</v>
      </c>
      <c r="J1340" s="69" t="s">
        <v>6918</v>
      </c>
      <c r="K1340" s="71" t="s">
        <v>6919</v>
      </c>
      <c r="L1340" s="71" t="s">
        <v>6920</v>
      </c>
      <c r="M1340" s="71" t="s">
        <v>6921</v>
      </c>
      <c r="N1340" s="69" t="s">
        <v>57</v>
      </c>
      <c r="O1340" s="64">
        <v>1</v>
      </c>
      <c r="P1340" s="72">
        <v>31708000</v>
      </c>
      <c r="Q1340" s="69" t="s">
        <v>168</v>
      </c>
      <c r="R1340" s="69"/>
      <c r="S1340" s="121" t="s">
        <v>775</v>
      </c>
      <c r="T1340" s="56">
        <v>35</v>
      </c>
      <c r="U1340" s="56">
        <v>3</v>
      </c>
    </row>
    <row r="1341" spans="1:21" ht="14.25" customHeight="1" x14ac:dyDescent="0.35">
      <c r="A1341" s="47">
        <v>1325</v>
      </c>
      <c r="B1341" s="69" t="s">
        <v>79</v>
      </c>
      <c r="C1341" s="69" t="s">
        <v>80</v>
      </c>
      <c r="D1341" s="70" t="s">
        <v>841</v>
      </c>
      <c r="E1341" s="69" t="s">
        <v>6922</v>
      </c>
      <c r="F1341" s="69">
        <v>100</v>
      </c>
      <c r="G1341" s="69" t="s">
        <v>2955</v>
      </c>
      <c r="H1341" s="70">
        <v>2007</v>
      </c>
      <c r="I1341" s="69"/>
      <c r="J1341" s="69" t="s">
        <v>6923</v>
      </c>
      <c r="K1341" s="71" t="s">
        <v>6924</v>
      </c>
      <c r="L1341" s="71" t="s">
        <v>6925</v>
      </c>
      <c r="M1341" s="71" t="s">
        <v>6926</v>
      </c>
      <c r="N1341" s="69" t="s">
        <v>57</v>
      </c>
      <c r="O1341" s="64">
        <v>1</v>
      </c>
      <c r="P1341" s="72">
        <v>6500000</v>
      </c>
      <c r="Q1341" s="69"/>
      <c r="R1341" s="69"/>
      <c r="S1341" s="121" t="s">
        <v>775</v>
      </c>
      <c r="T1341" s="56">
        <v>35</v>
      </c>
      <c r="U1341" s="56">
        <v>3</v>
      </c>
    </row>
    <row r="1342" spans="1:21" ht="14.25" customHeight="1" thickBot="1" x14ac:dyDescent="0.4">
      <c r="A1342" s="58">
        <v>1326</v>
      </c>
      <c r="B1342" s="69" t="s">
        <v>70</v>
      </c>
      <c r="C1342" s="69" t="s">
        <v>71</v>
      </c>
      <c r="D1342" s="70" t="s">
        <v>51</v>
      </c>
      <c r="E1342" s="69" t="s">
        <v>2501</v>
      </c>
      <c r="F1342" s="69" t="s">
        <v>1683</v>
      </c>
      <c r="G1342" s="69" t="s">
        <v>140</v>
      </c>
      <c r="H1342" s="70">
        <v>2017</v>
      </c>
      <c r="I1342" s="69" t="s">
        <v>63</v>
      </c>
      <c r="J1342" s="69" t="s">
        <v>6927</v>
      </c>
      <c r="K1342" s="71" t="s">
        <v>6928</v>
      </c>
      <c r="L1342" s="71" t="s">
        <v>6929</v>
      </c>
      <c r="M1342" s="71" t="s">
        <v>6930</v>
      </c>
      <c r="N1342" s="69" t="s">
        <v>57</v>
      </c>
      <c r="O1342" s="64">
        <v>1</v>
      </c>
      <c r="P1342" s="72">
        <v>399250000</v>
      </c>
      <c r="Q1342" s="69" t="s">
        <v>6931</v>
      </c>
      <c r="R1342" s="69"/>
      <c r="S1342" s="121" t="s">
        <v>797</v>
      </c>
      <c r="T1342" s="56">
        <v>36</v>
      </c>
      <c r="U1342" s="56">
        <v>4</v>
      </c>
    </row>
    <row r="1343" spans="1:21" ht="14.25" customHeight="1" x14ac:dyDescent="0.35">
      <c r="A1343" s="47">
        <v>1327</v>
      </c>
      <c r="B1343" s="69" t="s">
        <v>70</v>
      </c>
      <c r="C1343" s="69" t="s">
        <v>71</v>
      </c>
      <c r="D1343" s="70" t="s">
        <v>59</v>
      </c>
      <c r="E1343" s="69" t="s">
        <v>4640</v>
      </c>
      <c r="F1343" s="69">
        <v>2393</v>
      </c>
      <c r="G1343" s="69" t="s">
        <v>63</v>
      </c>
      <c r="H1343" s="70">
        <v>2023</v>
      </c>
      <c r="I1343" s="69" t="s">
        <v>63</v>
      </c>
      <c r="J1343" s="69" t="s">
        <v>6932</v>
      </c>
      <c r="K1343" s="71" t="s">
        <v>6933</v>
      </c>
      <c r="L1343" s="71" t="s">
        <v>6934</v>
      </c>
      <c r="M1343" s="71" t="s">
        <v>6935</v>
      </c>
      <c r="N1343" s="69" t="s">
        <v>44</v>
      </c>
      <c r="O1343" s="64">
        <v>1</v>
      </c>
      <c r="P1343" s="72">
        <v>470900000</v>
      </c>
      <c r="Q1343" s="69" t="s">
        <v>6936</v>
      </c>
      <c r="R1343" s="69"/>
      <c r="S1343" s="121" t="s">
        <v>797</v>
      </c>
      <c r="T1343" s="56">
        <v>36</v>
      </c>
      <c r="U1343" s="56">
        <v>4</v>
      </c>
    </row>
    <row r="1344" spans="1:21" ht="14.25" customHeight="1" thickBot="1" x14ac:dyDescent="0.4">
      <c r="A1344" s="58">
        <v>1328</v>
      </c>
      <c r="B1344" s="69" t="s">
        <v>79</v>
      </c>
      <c r="C1344" s="69" t="s">
        <v>80</v>
      </c>
      <c r="D1344" s="70" t="s">
        <v>51</v>
      </c>
      <c r="E1344" s="69" t="s">
        <v>3767</v>
      </c>
      <c r="F1344" s="69" t="s">
        <v>148</v>
      </c>
      <c r="G1344" s="69" t="s">
        <v>140</v>
      </c>
      <c r="H1344" s="70">
        <v>2018</v>
      </c>
      <c r="I1344" s="69" t="s">
        <v>63</v>
      </c>
      <c r="J1344" s="69" t="s">
        <v>6937</v>
      </c>
      <c r="K1344" s="71" t="s">
        <v>6938</v>
      </c>
      <c r="L1344" s="71" t="s">
        <v>6939</v>
      </c>
      <c r="M1344" s="71" t="s">
        <v>6940</v>
      </c>
      <c r="N1344" s="69" t="s">
        <v>57</v>
      </c>
      <c r="O1344" s="64">
        <v>1</v>
      </c>
      <c r="P1344" s="72">
        <v>31708000</v>
      </c>
      <c r="Q1344" s="69" t="s">
        <v>168</v>
      </c>
      <c r="R1344" s="69"/>
      <c r="S1344" s="121" t="s">
        <v>797</v>
      </c>
      <c r="T1344" s="56">
        <v>36</v>
      </c>
      <c r="U1344" s="56">
        <v>3</v>
      </c>
    </row>
    <row r="1345" spans="1:21" ht="14.25" customHeight="1" x14ac:dyDescent="0.35">
      <c r="A1345" s="47">
        <v>1329</v>
      </c>
      <c r="B1345" s="69" t="s">
        <v>79</v>
      </c>
      <c r="C1345" s="69" t="s">
        <v>80</v>
      </c>
      <c r="D1345" s="70" t="s">
        <v>59</v>
      </c>
      <c r="E1345" s="69" t="s">
        <v>239</v>
      </c>
      <c r="F1345" s="69" t="s">
        <v>148</v>
      </c>
      <c r="G1345" s="69" t="s">
        <v>140</v>
      </c>
      <c r="H1345" s="70">
        <v>2018</v>
      </c>
      <c r="I1345" s="69" t="s">
        <v>63</v>
      </c>
      <c r="J1345" s="69" t="s">
        <v>6941</v>
      </c>
      <c r="K1345" s="71" t="s">
        <v>6942</v>
      </c>
      <c r="L1345" s="71" t="s">
        <v>6943</v>
      </c>
      <c r="M1345" s="71" t="s">
        <v>6944</v>
      </c>
      <c r="N1345" s="69" t="s">
        <v>57</v>
      </c>
      <c r="O1345" s="64">
        <v>1</v>
      </c>
      <c r="P1345" s="72">
        <v>20234710</v>
      </c>
      <c r="Q1345" s="69" t="s">
        <v>168</v>
      </c>
      <c r="R1345" s="69"/>
      <c r="S1345" s="121" t="s">
        <v>797</v>
      </c>
      <c r="T1345" s="56">
        <v>36</v>
      </c>
      <c r="U1345" s="56">
        <v>3</v>
      </c>
    </row>
    <row r="1346" spans="1:21" ht="14.25" customHeight="1" thickBot="1" x14ac:dyDescent="0.4">
      <c r="A1346" s="58">
        <v>1330</v>
      </c>
      <c r="B1346" s="69" t="s">
        <v>79</v>
      </c>
      <c r="C1346" s="69" t="s">
        <v>80</v>
      </c>
      <c r="D1346" s="70" t="s">
        <v>97</v>
      </c>
      <c r="E1346" s="69" t="s">
        <v>201</v>
      </c>
      <c r="F1346" s="69" t="s">
        <v>202</v>
      </c>
      <c r="G1346" s="69" t="s">
        <v>54</v>
      </c>
      <c r="H1346" s="70">
        <v>2012</v>
      </c>
      <c r="I1346" s="69"/>
      <c r="J1346" s="69" t="s">
        <v>6945</v>
      </c>
      <c r="K1346" s="71" t="s">
        <v>6946</v>
      </c>
      <c r="L1346" s="71" t="s">
        <v>6947</v>
      </c>
      <c r="M1346" s="71" t="s">
        <v>6948</v>
      </c>
      <c r="N1346" s="69" t="s">
        <v>57</v>
      </c>
      <c r="O1346" s="64">
        <v>1</v>
      </c>
      <c r="P1346" s="72">
        <v>12577550</v>
      </c>
      <c r="Q1346" s="69" t="s">
        <v>6949</v>
      </c>
      <c r="R1346" s="69"/>
      <c r="S1346" s="121" t="s">
        <v>797</v>
      </c>
      <c r="T1346" s="56">
        <v>36</v>
      </c>
      <c r="U1346" s="56">
        <v>3</v>
      </c>
    </row>
    <row r="1347" spans="1:21" ht="14.25" customHeight="1" x14ac:dyDescent="0.35">
      <c r="A1347" s="47">
        <v>1331</v>
      </c>
      <c r="B1347" s="69" t="s">
        <v>79</v>
      </c>
      <c r="C1347" s="69" t="s">
        <v>80</v>
      </c>
      <c r="D1347" s="70" t="s">
        <v>101</v>
      </c>
      <c r="E1347" s="69" t="s">
        <v>216</v>
      </c>
      <c r="F1347" s="69" t="s">
        <v>217</v>
      </c>
      <c r="G1347" s="69" t="s">
        <v>54</v>
      </c>
      <c r="H1347" s="70">
        <v>2012</v>
      </c>
      <c r="I1347" s="69"/>
      <c r="J1347" s="69" t="s">
        <v>6950</v>
      </c>
      <c r="K1347" s="71" t="s">
        <v>6951</v>
      </c>
      <c r="L1347" s="71" t="s">
        <v>6952</v>
      </c>
      <c r="M1347" s="71" t="s">
        <v>6953</v>
      </c>
      <c r="N1347" s="69" t="s">
        <v>57</v>
      </c>
      <c r="O1347" s="64">
        <v>1</v>
      </c>
      <c r="P1347" s="72">
        <v>19426600</v>
      </c>
      <c r="Q1347" s="69" t="s">
        <v>6949</v>
      </c>
      <c r="R1347" s="69"/>
      <c r="S1347" s="121" t="s">
        <v>797</v>
      </c>
      <c r="T1347" s="56">
        <v>36</v>
      </c>
      <c r="U1347" s="56">
        <v>3</v>
      </c>
    </row>
    <row r="1348" spans="1:21" ht="14.25" customHeight="1" thickBot="1" x14ac:dyDescent="0.4">
      <c r="A1348" s="58">
        <v>1332</v>
      </c>
      <c r="B1348" s="69" t="s">
        <v>79</v>
      </c>
      <c r="C1348" s="69" t="s">
        <v>80</v>
      </c>
      <c r="D1348" s="70" t="s">
        <v>107</v>
      </c>
      <c r="E1348" s="69" t="s">
        <v>3785</v>
      </c>
      <c r="F1348" s="69" t="s">
        <v>148</v>
      </c>
      <c r="G1348" s="69" t="s">
        <v>140</v>
      </c>
      <c r="H1348" s="70">
        <v>2015</v>
      </c>
      <c r="I1348" s="69"/>
      <c r="J1348" s="69" t="s">
        <v>6954</v>
      </c>
      <c r="K1348" s="71" t="s">
        <v>6955</v>
      </c>
      <c r="L1348" s="71" t="s">
        <v>6956</v>
      </c>
      <c r="M1348" s="71" t="s">
        <v>6957</v>
      </c>
      <c r="N1348" s="69" t="s">
        <v>57</v>
      </c>
      <c r="O1348" s="64">
        <v>1</v>
      </c>
      <c r="P1348" s="72">
        <v>19782300</v>
      </c>
      <c r="Q1348" s="69" t="s">
        <v>6958</v>
      </c>
      <c r="R1348" s="69"/>
      <c r="S1348" s="121" t="s">
        <v>797</v>
      </c>
      <c r="T1348" s="56">
        <v>36</v>
      </c>
      <c r="U1348" s="56">
        <v>3</v>
      </c>
    </row>
    <row r="1349" spans="1:21" ht="14.25" customHeight="1" x14ac:dyDescent="0.35">
      <c r="A1349" s="47">
        <v>1333</v>
      </c>
      <c r="B1349" s="69" t="s">
        <v>79</v>
      </c>
      <c r="C1349" s="69" t="s">
        <v>80</v>
      </c>
      <c r="D1349" s="70" t="s">
        <v>112</v>
      </c>
      <c r="E1349" s="69" t="s">
        <v>1110</v>
      </c>
      <c r="F1349" s="69" t="s">
        <v>163</v>
      </c>
      <c r="G1349" s="69" t="s">
        <v>140</v>
      </c>
      <c r="H1349" s="70">
        <v>2017</v>
      </c>
      <c r="I1349" s="69" t="s">
        <v>63</v>
      </c>
      <c r="J1349" s="69" t="s">
        <v>6959</v>
      </c>
      <c r="K1349" s="71" t="s">
        <v>6960</v>
      </c>
      <c r="L1349" s="71" t="s">
        <v>6961</v>
      </c>
      <c r="M1349" s="71" t="s">
        <v>6962</v>
      </c>
      <c r="N1349" s="69" t="s">
        <v>57</v>
      </c>
      <c r="O1349" s="64">
        <v>1</v>
      </c>
      <c r="P1349" s="72">
        <v>15846600</v>
      </c>
      <c r="Q1349" s="69" t="s">
        <v>6931</v>
      </c>
      <c r="R1349" s="69"/>
      <c r="S1349" s="121" t="s">
        <v>797</v>
      </c>
      <c r="T1349" s="56">
        <v>36</v>
      </c>
      <c r="U1349" s="56">
        <v>3</v>
      </c>
    </row>
    <row r="1350" spans="1:21" ht="14.25" customHeight="1" thickBot="1" x14ac:dyDescent="0.4">
      <c r="A1350" s="58">
        <v>1334</v>
      </c>
      <c r="B1350" s="69" t="s">
        <v>79</v>
      </c>
      <c r="C1350" s="69" t="s">
        <v>80</v>
      </c>
      <c r="D1350" s="70" t="s">
        <v>51</v>
      </c>
      <c r="E1350" s="69" t="s">
        <v>201</v>
      </c>
      <c r="F1350" s="69" t="s">
        <v>202</v>
      </c>
      <c r="G1350" s="69" t="s">
        <v>54</v>
      </c>
      <c r="H1350" s="70">
        <v>2012</v>
      </c>
      <c r="I1350" s="69"/>
      <c r="J1350" s="69" t="s">
        <v>6963</v>
      </c>
      <c r="K1350" s="71" t="s">
        <v>6964</v>
      </c>
      <c r="L1350" s="71" t="s">
        <v>6965</v>
      </c>
      <c r="M1350" s="71" t="s">
        <v>6966</v>
      </c>
      <c r="N1350" s="69" t="s">
        <v>57</v>
      </c>
      <c r="O1350" s="64">
        <v>1</v>
      </c>
      <c r="P1350" s="72">
        <v>12577550</v>
      </c>
      <c r="Q1350" s="69" t="s">
        <v>6967</v>
      </c>
      <c r="R1350" s="69"/>
      <c r="S1350" s="203" t="s">
        <v>817</v>
      </c>
      <c r="T1350" s="56">
        <v>37</v>
      </c>
      <c r="U1350" s="56">
        <v>3</v>
      </c>
    </row>
    <row r="1351" spans="1:21" ht="14.25" customHeight="1" x14ac:dyDescent="0.35">
      <c r="A1351" s="47">
        <v>1335</v>
      </c>
      <c r="B1351" s="69" t="s">
        <v>79</v>
      </c>
      <c r="C1351" s="69" t="s">
        <v>80</v>
      </c>
      <c r="D1351" s="70" t="s">
        <v>97</v>
      </c>
      <c r="E1351" s="69" t="s">
        <v>5332</v>
      </c>
      <c r="F1351" s="69" t="s">
        <v>5333</v>
      </c>
      <c r="G1351" s="69" t="s">
        <v>5334</v>
      </c>
      <c r="H1351" s="70">
        <v>2024</v>
      </c>
      <c r="I1351" s="69" t="s">
        <v>63</v>
      </c>
      <c r="J1351" s="69" t="s">
        <v>6968</v>
      </c>
      <c r="K1351" s="71" t="s">
        <v>6969</v>
      </c>
      <c r="L1351" s="71" t="s">
        <v>6970</v>
      </c>
      <c r="M1351" s="71" t="s">
        <v>6971</v>
      </c>
      <c r="N1351" s="69" t="s">
        <v>44</v>
      </c>
      <c r="O1351" s="64">
        <v>1</v>
      </c>
      <c r="P1351" s="72">
        <v>31000000</v>
      </c>
      <c r="Q1351" s="69" t="s">
        <v>6972</v>
      </c>
      <c r="R1351" s="69"/>
      <c r="S1351" s="203" t="s">
        <v>817</v>
      </c>
      <c r="T1351" s="56">
        <v>37</v>
      </c>
      <c r="U1351" s="56">
        <v>3</v>
      </c>
    </row>
    <row r="1352" spans="1:21" ht="14.25" customHeight="1" thickBot="1" x14ac:dyDescent="0.4">
      <c r="A1352" s="58">
        <v>1336</v>
      </c>
      <c r="B1352" s="69" t="s">
        <v>2244</v>
      </c>
      <c r="C1352" s="69" t="s">
        <v>2245</v>
      </c>
      <c r="D1352" s="70" t="s">
        <v>51</v>
      </c>
      <c r="E1352" s="69" t="s">
        <v>6973</v>
      </c>
      <c r="F1352" s="69">
        <v>108</v>
      </c>
      <c r="G1352" s="69" t="s">
        <v>415</v>
      </c>
      <c r="H1352" s="70">
        <v>2019</v>
      </c>
      <c r="I1352" s="69" t="s">
        <v>63</v>
      </c>
      <c r="J1352" s="69" t="s">
        <v>6974</v>
      </c>
      <c r="K1352" s="71" t="s">
        <v>6975</v>
      </c>
      <c r="L1352" s="71" t="s">
        <v>6976</v>
      </c>
      <c r="M1352" s="71" t="s">
        <v>6977</v>
      </c>
      <c r="N1352" s="69" t="s">
        <v>57</v>
      </c>
      <c r="O1352" s="64">
        <v>1</v>
      </c>
      <c r="P1352" s="72">
        <v>17500000</v>
      </c>
      <c r="Q1352" s="69" t="s">
        <v>6978</v>
      </c>
      <c r="R1352" s="69"/>
      <c r="S1352" s="203" t="s">
        <v>817</v>
      </c>
      <c r="T1352" s="56">
        <v>37</v>
      </c>
      <c r="U1352" s="56">
        <v>3</v>
      </c>
    </row>
    <row r="1353" spans="1:21" ht="14.25" customHeight="1" x14ac:dyDescent="0.35">
      <c r="A1353" s="47">
        <v>1337</v>
      </c>
      <c r="B1353" s="69" t="s">
        <v>2244</v>
      </c>
      <c r="C1353" s="69" t="s">
        <v>2245</v>
      </c>
      <c r="D1353" s="70" t="s">
        <v>59</v>
      </c>
      <c r="E1353" s="69" t="s">
        <v>6973</v>
      </c>
      <c r="F1353" s="69">
        <v>108</v>
      </c>
      <c r="G1353" s="69" t="s">
        <v>415</v>
      </c>
      <c r="H1353" s="70">
        <v>2019</v>
      </c>
      <c r="I1353" s="69" t="s">
        <v>63</v>
      </c>
      <c r="J1353" s="69" t="s">
        <v>6979</v>
      </c>
      <c r="K1353" s="71" t="s">
        <v>6980</v>
      </c>
      <c r="L1353" s="71" t="s">
        <v>6981</v>
      </c>
      <c r="M1353" s="71" t="s">
        <v>6982</v>
      </c>
      <c r="N1353" s="69" t="s">
        <v>57</v>
      </c>
      <c r="O1353" s="64">
        <v>1</v>
      </c>
      <c r="P1353" s="72">
        <v>17500000</v>
      </c>
      <c r="Q1353" s="69" t="s">
        <v>6983</v>
      </c>
      <c r="R1353" s="69"/>
      <c r="S1353" s="203" t="s">
        <v>817</v>
      </c>
      <c r="T1353" s="56">
        <v>37</v>
      </c>
      <c r="U1353" s="56">
        <v>3</v>
      </c>
    </row>
    <row r="1354" spans="1:21" ht="14.25" customHeight="1" thickBot="1" x14ac:dyDescent="0.4">
      <c r="A1354" s="58">
        <v>1338</v>
      </c>
      <c r="B1354" s="69" t="s">
        <v>70</v>
      </c>
      <c r="C1354" s="69" t="s">
        <v>71</v>
      </c>
      <c r="D1354" s="70" t="s">
        <v>59</v>
      </c>
      <c r="E1354" s="69" t="s">
        <v>6707</v>
      </c>
      <c r="F1354" s="69" t="s">
        <v>1683</v>
      </c>
      <c r="G1354" s="69" t="s">
        <v>140</v>
      </c>
      <c r="H1354" s="70">
        <v>2024</v>
      </c>
      <c r="I1354" s="69" t="s">
        <v>63</v>
      </c>
      <c r="J1354" s="69" t="s">
        <v>6984</v>
      </c>
      <c r="K1354" s="71" t="s">
        <v>6985</v>
      </c>
      <c r="L1354" s="71" t="s">
        <v>6986</v>
      </c>
      <c r="M1354" s="71" t="s">
        <v>6987</v>
      </c>
      <c r="N1354" s="69" t="s">
        <v>44</v>
      </c>
      <c r="O1354" s="64">
        <v>1</v>
      </c>
      <c r="P1354" s="72">
        <v>477500000</v>
      </c>
      <c r="Q1354" s="69" t="s">
        <v>6712</v>
      </c>
      <c r="R1354" s="69"/>
      <c r="S1354" s="203" t="s">
        <v>838</v>
      </c>
      <c r="T1354" s="56">
        <v>38</v>
      </c>
      <c r="U1354" s="56">
        <v>4</v>
      </c>
    </row>
    <row r="1355" spans="1:21" ht="14.25" customHeight="1" x14ac:dyDescent="0.35">
      <c r="A1355" s="47">
        <v>1339</v>
      </c>
      <c r="B1355" s="69" t="s">
        <v>79</v>
      </c>
      <c r="C1355" s="69" t="s">
        <v>80</v>
      </c>
      <c r="D1355" s="70" t="s">
        <v>51</v>
      </c>
      <c r="E1355" s="69" t="s">
        <v>1377</v>
      </c>
      <c r="F1355" s="69" t="s">
        <v>1378</v>
      </c>
      <c r="G1355" s="69" t="s">
        <v>140</v>
      </c>
      <c r="H1355" s="70">
        <v>2014</v>
      </c>
      <c r="I1355" s="69"/>
      <c r="J1355" s="69" t="s">
        <v>6988</v>
      </c>
      <c r="K1355" s="71" t="s">
        <v>6989</v>
      </c>
      <c r="L1355" s="71" t="s">
        <v>6990</v>
      </c>
      <c r="M1355" s="71" t="s">
        <v>6991</v>
      </c>
      <c r="N1355" s="69" t="s">
        <v>57</v>
      </c>
      <c r="O1355" s="64">
        <v>1</v>
      </c>
      <c r="P1355" s="72">
        <v>19189533</v>
      </c>
      <c r="Q1355" s="69" t="s">
        <v>6992</v>
      </c>
      <c r="R1355" s="69"/>
      <c r="S1355" s="203" t="s">
        <v>838</v>
      </c>
      <c r="T1355" s="56">
        <v>38</v>
      </c>
      <c r="U1355" s="56">
        <v>3</v>
      </c>
    </row>
    <row r="1356" spans="1:21" ht="14.25" customHeight="1" thickBot="1" x14ac:dyDescent="0.4">
      <c r="A1356" s="58">
        <v>1340</v>
      </c>
      <c r="B1356" s="69" t="s">
        <v>79</v>
      </c>
      <c r="C1356" s="69" t="s">
        <v>80</v>
      </c>
      <c r="D1356" s="70" t="s">
        <v>59</v>
      </c>
      <c r="E1356" s="69" t="s">
        <v>201</v>
      </c>
      <c r="F1356" s="69" t="s">
        <v>202</v>
      </c>
      <c r="G1356" s="69" t="s">
        <v>54</v>
      </c>
      <c r="H1356" s="70">
        <v>2012</v>
      </c>
      <c r="I1356" s="69"/>
      <c r="J1356" s="69" t="s">
        <v>6993</v>
      </c>
      <c r="K1356" s="71" t="s">
        <v>6994</v>
      </c>
      <c r="L1356" s="71" t="s">
        <v>6995</v>
      </c>
      <c r="M1356" s="71" t="s">
        <v>6996</v>
      </c>
      <c r="N1356" s="69" t="s">
        <v>57</v>
      </c>
      <c r="O1356" s="64">
        <v>1</v>
      </c>
      <c r="P1356" s="72">
        <v>12577550</v>
      </c>
      <c r="Q1356" s="69" t="s">
        <v>6997</v>
      </c>
      <c r="R1356" s="69"/>
      <c r="S1356" s="203" t="s">
        <v>838</v>
      </c>
      <c r="T1356" s="56">
        <v>38</v>
      </c>
      <c r="U1356" s="56">
        <v>3</v>
      </c>
    </row>
    <row r="1357" spans="1:21" ht="14.25" customHeight="1" x14ac:dyDescent="0.35">
      <c r="A1357" s="47">
        <v>1341</v>
      </c>
      <c r="B1357" s="69" t="s">
        <v>79</v>
      </c>
      <c r="C1357" s="69" t="s">
        <v>80</v>
      </c>
      <c r="D1357" s="70" t="s">
        <v>97</v>
      </c>
      <c r="E1357" s="69" t="s">
        <v>2574</v>
      </c>
      <c r="F1357" s="69" t="s">
        <v>88</v>
      </c>
      <c r="G1357" s="69" t="s">
        <v>140</v>
      </c>
      <c r="H1357" s="70">
        <v>2015</v>
      </c>
      <c r="I1357" s="69"/>
      <c r="J1357" s="69" t="s">
        <v>6998</v>
      </c>
      <c r="K1357" s="71" t="s">
        <v>6999</v>
      </c>
      <c r="L1357" s="71" t="s">
        <v>7000</v>
      </c>
      <c r="M1357" s="71" t="s">
        <v>7001</v>
      </c>
      <c r="N1357" s="69" t="s">
        <v>57</v>
      </c>
      <c r="O1357" s="64">
        <v>1</v>
      </c>
      <c r="P1357" s="72">
        <v>16898000</v>
      </c>
      <c r="Q1357" s="69" t="s">
        <v>7002</v>
      </c>
      <c r="R1357" s="69"/>
      <c r="S1357" s="203" t="s">
        <v>838</v>
      </c>
      <c r="T1357" s="56">
        <v>38</v>
      </c>
      <c r="U1357" s="56">
        <v>3</v>
      </c>
    </row>
    <row r="1358" spans="1:21" ht="14.25" customHeight="1" thickBot="1" x14ac:dyDescent="0.4">
      <c r="A1358" s="58">
        <v>1342</v>
      </c>
      <c r="B1358" s="69" t="s">
        <v>79</v>
      </c>
      <c r="C1358" s="69" t="s">
        <v>80</v>
      </c>
      <c r="D1358" s="70" t="s">
        <v>101</v>
      </c>
      <c r="E1358" s="69" t="s">
        <v>216</v>
      </c>
      <c r="F1358" s="69" t="s">
        <v>217</v>
      </c>
      <c r="G1358" s="69" t="s">
        <v>54</v>
      </c>
      <c r="H1358" s="70">
        <v>2012</v>
      </c>
      <c r="I1358" s="69"/>
      <c r="J1358" s="69" t="s">
        <v>7003</v>
      </c>
      <c r="K1358" s="71" t="s">
        <v>7004</v>
      </c>
      <c r="L1358" s="71" t="s">
        <v>7005</v>
      </c>
      <c r="M1358" s="71" t="s">
        <v>7006</v>
      </c>
      <c r="N1358" s="69" t="s">
        <v>57</v>
      </c>
      <c r="O1358" s="64">
        <v>1</v>
      </c>
      <c r="P1358" s="72">
        <v>19426600</v>
      </c>
      <c r="Q1358" s="69" t="s">
        <v>6997</v>
      </c>
      <c r="R1358" s="69"/>
      <c r="S1358" s="203" t="s">
        <v>838</v>
      </c>
      <c r="T1358" s="56">
        <v>38</v>
      </c>
      <c r="U1358" s="56">
        <v>3</v>
      </c>
    </row>
    <row r="1359" spans="1:21" ht="14.25" customHeight="1" x14ac:dyDescent="0.35">
      <c r="A1359" s="47">
        <v>1343</v>
      </c>
      <c r="B1359" s="69" t="s">
        <v>70</v>
      </c>
      <c r="C1359" s="69" t="s">
        <v>71</v>
      </c>
      <c r="D1359" s="70" t="s">
        <v>51</v>
      </c>
      <c r="E1359" s="69" t="s">
        <v>6707</v>
      </c>
      <c r="F1359" s="69">
        <v>2393</v>
      </c>
      <c r="G1359" s="69" t="s">
        <v>140</v>
      </c>
      <c r="H1359" s="70">
        <v>2024</v>
      </c>
      <c r="I1359" s="69" t="s">
        <v>63</v>
      </c>
      <c r="J1359" s="69" t="s">
        <v>7007</v>
      </c>
      <c r="K1359" s="71" t="s">
        <v>7008</v>
      </c>
      <c r="L1359" s="71" t="s">
        <v>7009</v>
      </c>
      <c r="M1359" s="71" t="s">
        <v>7010</v>
      </c>
      <c r="N1359" s="69" t="s">
        <v>44</v>
      </c>
      <c r="O1359" s="64">
        <v>1</v>
      </c>
      <c r="P1359" s="72">
        <v>477500000</v>
      </c>
      <c r="Q1359" s="69" t="s">
        <v>6712</v>
      </c>
      <c r="R1359" s="69"/>
      <c r="S1359" s="203" t="s">
        <v>859</v>
      </c>
      <c r="T1359" s="56">
        <v>39</v>
      </c>
      <c r="U1359" s="56">
        <v>4</v>
      </c>
    </row>
    <row r="1360" spans="1:21" ht="14.25" customHeight="1" thickBot="1" x14ac:dyDescent="0.4">
      <c r="A1360" s="58">
        <v>1344</v>
      </c>
      <c r="B1360" s="69" t="s">
        <v>79</v>
      </c>
      <c r="C1360" s="69" t="s">
        <v>80</v>
      </c>
      <c r="D1360" s="70" t="s">
        <v>51</v>
      </c>
      <c r="E1360" s="69" t="s">
        <v>1377</v>
      </c>
      <c r="F1360" s="69" t="s">
        <v>1378</v>
      </c>
      <c r="G1360" s="69" t="s">
        <v>140</v>
      </c>
      <c r="H1360" s="70">
        <v>2014</v>
      </c>
      <c r="I1360" s="69"/>
      <c r="J1360" s="69" t="s">
        <v>7011</v>
      </c>
      <c r="K1360" s="71" t="s">
        <v>7012</v>
      </c>
      <c r="L1360" s="71" t="s">
        <v>7013</v>
      </c>
      <c r="M1360" s="71" t="s">
        <v>7014</v>
      </c>
      <c r="N1360" s="69" t="s">
        <v>57</v>
      </c>
      <c r="O1360" s="64">
        <v>1</v>
      </c>
      <c r="P1360" s="72">
        <v>19189533</v>
      </c>
      <c r="Q1360" s="69" t="s">
        <v>859</v>
      </c>
      <c r="R1360" s="69"/>
      <c r="S1360" s="203" t="s">
        <v>859</v>
      </c>
      <c r="T1360" s="56">
        <v>39</v>
      </c>
      <c r="U1360" s="56">
        <v>3</v>
      </c>
    </row>
    <row r="1361" spans="1:21" ht="14.25" customHeight="1" x14ac:dyDescent="0.35">
      <c r="A1361" s="47">
        <v>1345</v>
      </c>
      <c r="B1361" s="69" t="s">
        <v>79</v>
      </c>
      <c r="C1361" s="69" t="s">
        <v>80</v>
      </c>
      <c r="D1361" s="70" t="s">
        <v>101</v>
      </c>
      <c r="E1361" s="69" t="s">
        <v>1888</v>
      </c>
      <c r="F1361" s="69" t="s">
        <v>443</v>
      </c>
      <c r="G1361" s="69" t="s">
        <v>54</v>
      </c>
      <c r="H1361" s="70">
        <v>2013</v>
      </c>
      <c r="I1361" s="69" t="s">
        <v>63</v>
      </c>
      <c r="J1361" s="69" t="s">
        <v>7015</v>
      </c>
      <c r="K1361" s="71" t="s">
        <v>7016</v>
      </c>
      <c r="L1361" s="71" t="s">
        <v>7017</v>
      </c>
      <c r="M1361" s="71" t="s">
        <v>7018</v>
      </c>
      <c r="N1361" s="69" t="s">
        <v>57</v>
      </c>
      <c r="O1361" s="64">
        <v>1</v>
      </c>
      <c r="P1361" s="72">
        <v>14108500</v>
      </c>
      <c r="Q1361" s="69" t="s">
        <v>7019</v>
      </c>
      <c r="R1361" s="69"/>
      <c r="S1361" s="203" t="s">
        <v>859</v>
      </c>
      <c r="T1361" s="56">
        <v>39</v>
      </c>
      <c r="U1361" s="56">
        <v>3</v>
      </c>
    </row>
    <row r="1362" spans="1:21" ht="14.25" customHeight="1" thickBot="1" x14ac:dyDescent="0.4">
      <c r="A1362" s="58">
        <v>1346</v>
      </c>
      <c r="B1362" s="69" t="s">
        <v>79</v>
      </c>
      <c r="C1362" s="69" t="s">
        <v>80</v>
      </c>
      <c r="D1362" s="70" t="s">
        <v>107</v>
      </c>
      <c r="E1362" s="69" t="s">
        <v>201</v>
      </c>
      <c r="F1362" s="69" t="s">
        <v>202</v>
      </c>
      <c r="G1362" s="69" t="s">
        <v>54</v>
      </c>
      <c r="H1362" s="70">
        <v>2012</v>
      </c>
      <c r="I1362" s="69"/>
      <c r="J1362" s="69" t="s">
        <v>7020</v>
      </c>
      <c r="K1362" s="71" t="s">
        <v>7021</v>
      </c>
      <c r="L1362" s="71" t="s">
        <v>7022</v>
      </c>
      <c r="M1362" s="71" t="s">
        <v>7023</v>
      </c>
      <c r="N1362" s="69" t="s">
        <v>57</v>
      </c>
      <c r="O1362" s="64">
        <v>1</v>
      </c>
      <c r="P1362" s="72">
        <v>12577550</v>
      </c>
      <c r="Q1362" s="69" t="s">
        <v>7024</v>
      </c>
      <c r="R1362" s="69"/>
      <c r="S1362" s="203" t="s">
        <v>859</v>
      </c>
      <c r="T1362" s="56">
        <v>39</v>
      </c>
      <c r="U1362" s="56">
        <v>3</v>
      </c>
    </row>
    <row r="1363" spans="1:21" ht="14.25" customHeight="1" x14ac:dyDescent="0.35">
      <c r="A1363" s="47">
        <v>1347</v>
      </c>
      <c r="B1363" s="69" t="s">
        <v>2064</v>
      </c>
      <c r="C1363" s="69" t="s">
        <v>2065</v>
      </c>
      <c r="D1363" s="70" t="s">
        <v>51</v>
      </c>
      <c r="E1363" s="69" t="s">
        <v>6613</v>
      </c>
      <c r="F1363" s="69" t="s">
        <v>2023</v>
      </c>
      <c r="G1363" s="69" t="s">
        <v>54</v>
      </c>
      <c r="H1363" s="70">
        <v>2010</v>
      </c>
      <c r="I1363" s="69"/>
      <c r="J1363" s="69" t="s">
        <v>7025</v>
      </c>
      <c r="K1363" s="71" t="s">
        <v>7026</v>
      </c>
      <c r="L1363" s="71" t="s">
        <v>7027</v>
      </c>
      <c r="M1363" s="71" t="s">
        <v>7028</v>
      </c>
      <c r="N1363" s="69" t="s">
        <v>57</v>
      </c>
      <c r="O1363" s="64">
        <v>1</v>
      </c>
      <c r="P1363" s="72">
        <v>310000000</v>
      </c>
      <c r="Q1363" s="69" t="s">
        <v>7029</v>
      </c>
      <c r="R1363" s="69"/>
      <c r="S1363" s="203" t="s">
        <v>882</v>
      </c>
      <c r="T1363" s="56">
        <v>40</v>
      </c>
      <c r="U1363" s="56">
        <v>6</v>
      </c>
    </row>
    <row r="1364" spans="1:21" ht="14.25" customHeight="1" thickBot="1" x14ac:dyDescent="0.4">
      <c r="A1364" s="58">
        <v>1348</v>
      </c>
      <c r="B1364" s="69" t="s">
        <v>70</v>
      </c>
      <c r="C1364" s="69" t="s">
        <v>71</v>
      </c>
      <c r="D1364" s="70" t="s">
        <v>51</v>
      </c>
      <c r="E1364" s="69" t="s">
        <v>5029</v>
      </c>
      <c r="F1364" s="69" t="s">
        <v>5030</v>
      </c>
      <c r="G1364" s="69" t="s">
        <v>415</v>
      </c>
      <c r="H1364" s="70">
        <v>2009</v>
      </c>
      <c r="I1364" s="69"/>
      <c r="J1364" s="69" t="s">
        <v>7030</v>
      </c>
      <c r="K1364" s="71" t="s">
        <v>7031</v>
      </c>
      <c r="L1364" s="71" t="s">
        <v>7032</v>
      </c>
      <c r="M1364" s="71" t="s">
        <v>7033</v>
      </c>
      <c r="N1364" s="69" t="s">
        <v>57</v>
      </c>
      <c r="O1364" s="64">
        <v>1</v>
      </c>
      <c r="P1364" s="72">
        <v>199500000</v>
      </c>
      <c r="Q1364" s="69"/>
      <c r="R1364" s="69"/>
      <c r="S1364" s="203" t="s">
        <v>882</v>
      </c>
      <c r="T1364" s="56">
        <v>40</v>
      </c>
      <c r="U1364" s="56">
        <v>4</v>
      </c>
    </row>
    <row r="1365" spans="1:21" ht="14.25" customHeight="1" x14ac:dyDescent="0.35">
      <c r="A1365" s="47">
        <v>1349</v>
      </c>
      <c r="B1365" s="69" t="s">
        <v>70</v>
      </c>
      <c r="C1365" s="69" t="s">
        <v>71</v>
      </c>
      <c r="D1365" s="70" t="s">
        <v>97</v>
      </c>
      <c r="E1365" s="69" t="s">
        <v>6885</v>
      </c>
      <c r="F1365" s="69">
        <v>2393</v>
      </c>
      <c r="G1365" s="69" t="s">
        <v>54</v>
      </c>
      <c r="H1365" s="70">
        <v>2022</v>
      </c>
      <c r="I1365" s="69"/>
      <c r="J1365" s="69" t="s">
        <v>7034</v>
      </c>
      <c r="K1365" s="71" t="s">
        <v>7035</v>
      </c>
      <c r="L1365" s="71" t="s">
        <v>7036</v>
      </c>
      <c r="M1365" s="71" t="s">
        <v>7037</v>
      </c>
      <c r="N1365" s="69" t="s">
        <v>44</v>
      </c>
      <c r="O1365" s="64">
        <v>1</v>
      </c>
      <c r="P1365" s="72">
        <v>425500000</v>
      </c>
      <c r="Q1365" s="69"/>
      <c r="R1365" s="69"/>
      <c r="S1365" s="203" t="s">
        <v>882</v>
      </c>
      <c r="T1365" s="56">
        <v>40</v>
      </c>
      <c r="U1365" s="56">
        <v>4</v>
      </c>
    </row>
    <row r="1366" spans="1:21" ht="14.25" customHeight="1" thickBot="1" x14ac:dyDescent="0.4">
      <c r="A1366" s="58">
        <v>1350</v>
      </c>
      <c r="B1366" s="69" t="s">
        <v>79</v>
      </c>
      <c r="C1366" s="69" t="s">
        <v>80</v>
      </c>
      <c r="D1366" s="70" t="s">
        <v>51</v>
      </c>
      <c r="E1366" s="69" t="s">
        <v>299</v>
      </c>
      <c r="F1366" s="69" t="s">
        <v>443</v>
      </c>
      <c r="G1366" s="69" t="s">
        <v>54</v>
      </c>
      <c r="H1366" s="70">
        <v>2006</v>
      </c>
      <c r="I1366" s="69"/>
      <c r="J1366" s="69" t="s">
        <v>7038</v>
      </c>
      <c r="K1366" s="71" t="s">
        <v>7039</v>
      </c>
      <c r="L1366" s="71" t="s">
        <v>7040</v>
      </c>
      <c r="M1366" s="71" t="s">
        <v>7041</v>
      </c>
      <c r="N1366" s="69" t="s">
        <v>57</v>
      </c>
      <c r="O1366" s="64">
        <v>1</v>
      </c>
      <c r="P1366" s="72">
        <v>14500000</v>
      </c>
      <c r="Q1366" s="69" t="s">
        <v>7042</v>
      </c>
      <c r="R1366" s="69"/>
      <c r="S1366" s="203" t="s">
        <v>882</v>
      </c>
      <c r="T1366" s="56">
        <v>40</v>
      </c>
      <c r="U1366" s="56">
        <v>3</v>
      </c>
    </row>
    <row r="1367" spans="1:21" ht="14.25" customHeight="1" x14ac:dyDescent="0.35">
      <c r="A1367" s="47">
        <v>1351</v>
      </c>
      <c r="B1367" s="69" t="s">
        <v>79</v>
      </c>
      <c r="C1367" s="69" t="s">
        <v>80</v>
      </c>
      <c r="D1367" s="70" t="s">
        <v>59</v>
      </c>
      <c r="E1367" s="69" t="s">
        <v>239</v>
      </c>
      <c r="F1367" s="69" t="s">
        <v>148</v>
      </c>
      <c r="G1367" s="69" t="s">
        <v>140</v>
      </c>
      <c r="H1367" s="70">
        <v>2018</v>
      </c>
      <c r="I1367" s="69" t="s">
        <v>63</v>
      </c>
      <c r="J1367" s="69" t="s">
        <v>7043</v>
      </c>
      <c r="K1367" s="71" t="s">
        <v>7044</v>
      </c>
      <c r="L1367" s="71" t="s">
        <v>7045</v>
      </c>
      <c r="M1367" s="71" t="s">
        <v>7046</v>
      </c>
      <c r="N1367" s="69" t="s">
        <v>57</v>
      </c>
      <c r="O1367" s="64">
        <v>1</v>
      </c>
      <c r="P1367" s="72">
        <v>20234710</v>
      </c>
      <c r="Q1367" s="69" t="s">
        <v>168</v>
      </c>
      <c r="R1367" s="69"/>
      <c r="S1367" s="203" t="s">
        <v>882</v>
      </c>
      <c r="T1367" s="56">
        <v>40</v>
      </c>
      <c r="U1367" s="56">
        <v>3</v>
      </c>
    </row>
    <row r="1368" spans="1:21" ht="14.25" customHeight="1" thickBot="1" x14ac:dyDescent="0.4">
      <c r="A1368" s="58">
        <v>1352</v>
      </c>
      <c r="B1368" s="69" t="s">
        <v>79</v>
      </c>
      <c r="C1368" s="69" t="s">
        <v>80</v>
      </c>
      <c r="D1368" s="70" t="s">
        <v>97</v>
      </c>
      <c r="E1368" s="69" t="s">
        <v>6682</v>
      </c>
      <c r="F1368" s="69" t="s">
        <v>148</v>
      </c>
      <c r="G1368" s="69" t="s">
        <v>140</v>
      </c>
      <c r="H1368" s="70">
        <v>2017</v>
      </c>
      <c r="I1368" s="69" t="s">
        <v>63</v>
      </c>
      <c r="J1368" s="69" t="s">
        <v>7047</v>
      </c>
      <c r="K1368" s="71" t="s">
        <v>7048</v>
      </c>
      <c r="L1368" s="71" t="s">
        <v>7049</v>
      </c>
      <c r="M1368" s="71" t="s">
        <v>7050</v>
      </c>
      <c r="N1368" s="69" t="s">
        <v>57</v>
      </c>
      <c r="O1368" s="64">
        <v>1</v>
      </c>
      <c r="P1368" s="72">
        <v>19729667</v>
      </c>
      <c r="Q1368" s="69" t="s">
        <v>7051</v>
      </c>
      <c r="R1368" s="69"/>
      <c r="S1368" s="203" t="s">
        <v>882</v>
      </c>
      <c r="T1368" s="56">
        <v>40</v>
      </c>
      <c r="U1368" s="56">
        <v>3</v>
      </c>
    </row>
    <row r="1369" spans="1:21" ht="14.25" customHeight="1" x14ac:dyDescent="0.35">
      <c r="A1369" s="47">
        <v>1353</v>
      </c>
      <c r="B1369" s="69" t="s">
        <v>79</v>
      </c>
      <c r="C1369" s="69" t="s">
        <v>80</v>
      </c>
      <c r="D1369" s="70" t="s">
        <v>101</v>
      </c>
      <c r="E1369" s="69" t="s">
        <v>201</v>
      </c>
      <c r="F1369" s="69" t="s">
        <v>202</v>
      </c>
      <c r="G1369" s="69" t="s">
        <v>54</v>
      </c>
      <c r="H1369" s="70">
        <v>2012</v>
      </c>
      <c r="I1369" s="69"/>
      <c r="J1369" s="69" t="s">
        <v>7052</v>
      </c>
      <c r="K1369" s="71" t="s">
        <v>7053</v>
      </c>
      <c r="L1369" s="71" t="s">
        <v>7054</v>
      </c>
      <c r="M1369" s="71" t="s">
        <v>7055</v>
      </c>
      <c r="N1369" s="69" t="s">
        <v>57</v>
      </c>
      <c r="O1369" s="64">
        <v>1</v>
      </c>
      <c r="P1369" s="72">
        <v>12577550</v>
      </c>
      <c r="Q1369" s="69" t="s">
        <v>7056</v>
      </c>
      <c r="R1369" s="69"/>
      <c r="S1369" s="203" t="s">
        <v>882</v>
      </c>
      <c r="T1369" s="56">
        <v>40</v>
      </c>
      <c r="U1369" s="56">
        <v>3</v>
      </c>
    </row>
    <row r="1370" spans="1:21" ht="14.25" customHeight="1" thickBot="1" x14ac:dyDescent="0.4">
      <c r="A1370" s="58">
        <v>1354</v>
      </c>
      <c r="B1370" s="69" t="s">
        <v>79</v>
      </c>
      <c r="C1370" s="69" t="s">
        <v>80</v>
      </c>
      <c r="D1370" s="70" t="s">
        <v>107</v>
      </c>
      <c r="E1370" s="69" t="s">
        <v>216</v>
      </c>
      <c r="F1370" s="69" t="s">
        <v>217</v>
      </c>
      <c r="G1370" s="69" t="s">
        <v>54</v>
      </c>
      <c r="H1370" s="70">
        <v>2012</v>
      </c>
      <c r="I1370" s="69"/>
      <c r="J1370" s="69" t="s">
        <v>7057</v>
      </c>
      <c r="K1370" s="71" t="s">
        <v>7058</v>
      </c>
      <c r="L1370" s="71" t="s">
        <v>7059</v>
      </c>
      <c r="M1370" s="71" t="s">
        <v>7060</v>
      </c>
      <c r="N1370" s="69" t="s">
        <v>57</v>
      </c>
      <c r="O1370" s="64">
        <v>1</v>
      </c>
      <c r="P1370" s="72">
        <v>19426600</v>
      </c>
      <c r="Q1370" s="69" t="s">
        <v>7056</v>
      </c>
      <c r="R1370" s="69"/>
      <c r="S1370" s="203" t="s">
        <v>882</v>
      </c>
      <c r="T1370" s="56">
        <v>40</v>
      </c>
      <c r="U1370" s="56">
        <v>3</v>
      </c>
    </row>
    <row r="1371" spans="1:21" ht="14.25" customHeight="1" x14ac:dyDescent="0.35">
      <c r="A1371" s="47">
        <v>1355</v>
      </c>
      <c r="B1371" s="69" t="s">
        <v>79</v>
      </c>
      <c r="C1371" s="69" t="s">
        <v>80</v>
      </c>
      <c r="D1371" s="70" t="s">
        <v>112</v>
      </c>
      <c r="E1371" s="69" t="s">
        <v>3767</v>
      </c>
      <c r="F1371" s="69" t="s">
        <v>148</v>
      </c>
      <c r="G1371" s="69" t="s">
        <v>140</v>
      </c>
      <c r="H1371" s="70">
        <v>2018</v>
      </c>
      <c r="I1371" s="69" t="s">
        <v>63</v>
      </c>
      <c r="J1371" s="69" t="s">
        <v>7061</v>
      </c>
      <c r="K1371" s="71" t="s">
        <v>7062</v>
      </c>
      <c r="L1371" s="71" t="s">
        <v>7063</v>
      </c>
      <c r="M1371" s="71" t="s">
        <v>7064</v>
      </c>
      <c r="N1371" s="69" t="s">
        <v>57</v>
      </c>
      <c r="O1371" s="64">
        <v>1</v>
      </c>
      <c r="P1371" s="72">
        <v>31708000</v>
      </c>
      <c r="Q1371" s="69" t="s">
        <v>168</v>
      </c>
      <c r="R1371" s="69"/>
      <c r="S1371" s="203" t="s">
        <v>882</v>
      </c>
      <c r="T1371" s="56">
        <v>40</v>
      </c>
      <c r="U1371" s="56">
        <v>3</v>
      </c>
    </row>
    <row r="1372" spans="1:21" ht="14.25" customHeight="1" thickBot="1" x14ac:dyDescent="0.4">
      <c r="A1372" s="58">
        <v>1356</v>
      </c>
      <c r="B1372" s="69" t="s">
        <v>1745</v>
      </c>
      <c r="C1372" s="69" t="s">
        <v>1746</v>
      </c>
      <c r="D1372" s="70" t="s">
        <v>51</v>
      </c>
      <c r="E1372" s="69" t="s">
        <v>7065</v>
      </c>
      <c r="F1372" s="69">
        <v>4009</v>
      </c>
      <c r="G1372" s="69" t="s">
        <v>63</v>
      </c>
      <c r="H1372" s="70">
        <v>2019</v>
      </c>
      <c r="I1372" s="69" t="s">
        <v>63</v>
      </c>
      <c r="J1372" s="69" t="s">
        <v>7066</v>
      </c>
      <c r="K1372" s="71" t="s">
        <v>7067</v>
      </c>
      <c r="L1372" s="71" t="s">
        <v>7068</v>
      </c>
      <c r="M1372" s="71" t="s">
        <v>7069</v>
      </c>
      <c r="N1372" s="69" t="s">
        <v>57</v>
      </c>
      <c r="O1372" s="64">
        <v>1</v>
      </c>
      <c r="P1372" s="72">
        <v>795003000</v>
      </c>
      <c r="Q1372" s="69" t="s">
        <v>7070</v>
      </c>
      <c r="R1372" s="69"/>
      <c r="S1372" s="203" t="s">
        <v>903</v>
      </c>
      <c r="T1372" s="56">
        <v>41</v>
      </c>
      <c r="U1372" s="56">
        <v>4</v>
      </c>
    </row>
    <row r="1373" spans="1:21" ht="14.25" customHeight="1" x14ac:dyDescent="0.35">
      <c r="A1373" s="47">
        <v>1357</v>
      </c>
      <c r="B1373" s="69" t="s">
        <v>1806</v>
      </c>
      <c r="C1373" s="69" t="s">
        <v>1807</v>
      </c>
      <c r="D1373" s="70" t="s">
        <v>51</v>
      </c>
      <c r="E1373" s="69" t="s">
        <v>7071</v>
      </c>
      <c r="F1373" s="69"/>
      <c r="G1373" s="69" t="s">
        <v>63</v>
      </c>
      <c r="H1373" s="70">
        <v>2024</v>
      </c>
      <c r="I1373" s="69" t="s">
        <v>63</v>
      </c>
      <c r="J1373" s="69" t="s">
        <v>63</v>
      </c>
      <c r="K1373" s="71" t="s">
        <v>63</v>
      </c>
      <c r="L1373" s="71" t="s">
        <v>63</v>
      </c>
      <c r="M1373" s="71" t="s">
        <v>63</v>
      </c>
      <c r="N1373" s="69" t="s">
        <v>44</v>
      </c>
      <c r="O1373" s="64">
        <v>1</v>
      </c>
      <c r="P1373" s="72">
        <v>484100000</v>
      </c>
      <c r="Q1373" s="69" t="s">
        <v>7072</v>
      </c>
      <c r="R1373" s="69"/>
      <c r="S1373" s="203" t="s">
        <v>903</v>
      </c>
      <c r="T1373" s="56">
        <v>41</v>
      </c>
      <c r="U1373" s="56">
        <v>4</v>
      </c>
    </row>
    <row r="1374" spans="1:21" ht="14.25" customHeight="1" thickBot="1" x14ac:dyDescent="0.4">
      <c r="A1374" s="58">
        <v>1358</v>
      </c>
      <c r="B1374" s="69" t="s">
        <v>2064</v>
      </c>
      <c r="C1374" s="69" t="s">
        <v>2065</v>
      </c>
      <c r="D1374" s="70" t="s">
        <v>51</v>
      </c>
      <c r="E1374" s="69" t="s">
        <v>7073</v>
      </c>
      <c r="F1374" s="69" t="s">
        <v>7074</v>
      </c>
      <c r="G1374" s="69" t="s">
        <v>7075</v>
      </c>
      <c r="H1374" s="70">
        <v>2017</v>
      </c>
      <c r="I1374" s="69" t="s">
        <v>63</v>
      </c>
      <c r="J1374" s="69" t="s">
        <v>7076</v>
      </c>
      <c r="K1374" s="71" t="s">
        <v>7077</v>
      </c>
      <c r="L1374" s="71" t="s">
        <v>7078</v>
      </c>
      <c r="M1374" s="71" t="s">
        <v>63</v>
      </c>
      <c r="N1374" s="69" t="s">
        <v>57</v>
      </c>
      <c r="O1374" s="64">
        <v>1</v>
      </c>
      <c r="P1374" s="72">
        <v>434176000</v>
      </c>
      <c r="Q1374" s="69" t="s">
        <v>7079</v>
      </c>
      <c r="R1374" s="69"/>
      <c r="S1374" s="203" t="s">
        <v>903</v>
      </c>
      <c r="T1374" s="56">
        <v>41</v>
      </c>
      <c r="U1374" s="56">
        <v>6</v>
      </c>
    </row>
    <row r="1375" spans="1:21" ht="14.25" customHeight="1" x14ac:dyDescent="0.35">
      <c r="A1375" s="47">
        <v>1359</v>
      </c>
      <c r="B1375" s="69" t="s">
        <v>70</v>
      </c>
      <c r="C1375" s="69" t="s">
        <v>71</v>
      </c>
      <c r="D1375" s="70" t="s">
        <v>51</v>
      </c>
      <c r="E1375" s="69" t="s">
        <v>7080</v>
      </c>
      <c r="F1375" s="69" t="s">
        <v>1595</v>
      </c>
      <c r="G1375" s="69" t="s">
        <v>140</v>
      </c>
      <c r="H1375" s="70">
        <v>2015</v>
      </c>
      <c r="I1375" s="69"/>
      <c r="J1375" s="69" t="s">
        <v>7081</v>
      </c>
      <c r="K1375" s="71" t="s">
        <v>7082</v>
      </c>
      <c r="L1375" s="71" t="s">
        <v>7083</v>
      </c>
      <c r="M1375" s="71" t="s">
        <v>7084</v>
      </c>
      <c r="N1375" s="69" t="s">
        <v>57</v>
      </c>
      <c r="O1375" s="64">
        <v>1</v>
      </c>
      <c r="P1375" s="72">
        <v>199440000</v>
      </c>
      <c r="Q1375" s="69" t="s">
        <v>2624</v>
      </c>
      <c r="R1375" s="69"/>
      <c r="S1375" s="203" t="s">
        <v>903</v>
      </c>
      <c r="T1375" s="56">
        <v>41</v>
      </c>
      <c r="U1375" s="56">
        <v>4</v>
      </c>
    </row>
    <row r="1376" spans="1:21" ht="14.25" customHeight="1" thickBot="1" x14ac:dyDescent="0.4">
      <c r="A1376" s="58">
        <v>1360</v>
      </c>
      <c r="B1376" s="69" t="s">
        <v>70</v>
      </c>
      <c r="C1376" s="69" t="s">
        <v>71</v>
      </c>
      <c r="D1376" s="70" t="s">
        <v>97</v>
      </c>
      <c r="E1376" s="69" t="s">
        <v>7085</v>
      </c>
      <c r="F1376" s="69"/>
      <c r="G1376" s="69" t="s">
        <v>415</v>
      </c>
      <c r="H1376" s="70">
        <v>2017</v>
      </c>
      <c r="I1376" s="69" t="s">
        <v>63</v>
      </c>
      <c r="J1376" s="69" t="s">
        <v>7086</v>
      </c>
      <c r="K1376" s="71" t="s">
        <v>7087</v>
      </c>
      <c r="L1376" s="71" t="s">
        <v>7088</v>
      </c>
      <c r="M1376" s="71" t="s">
        <v>63</v>
      </c>
      <c r="N1376" s="69" t="s">
        <v>57</v>
      </c>
      <c r="O1376" s="64">
        <v>1</v>
      </c>
      <c r="P1376" s="72">
        <v>456016000</v>
      </c>
      <c r="Q1376" s="69" t="s">
        <v>7089</v>
      </c>
      <c r="R1376" s="69"/>
      <c r="S1376" s="203" t="s">
        <v>903</v>
      </c>
      <c r="T1376" s="56">
        <v>41</v>
      </c>
      <c r="U1376" s="56">
        <v>4</v>
      </c>
    </row>
    <row r="1377" spans="1:21" ht="14.25" customHeight="1" x14ac:dyDescent="0.35">
      <c r="A1377" s="47">
        <v>1361</v>
      </c>
      <c r="B1377" s="69" t="s">
        <v>79</v>
      </c>
      <c r="C1377" s="69" t="s">
        <v>80</v>
      </c>
      <c r="D1377" s="70" t="s">
        <v>51</v>
      </c>
      <c r="E1377" s="69" t="s">
        <v>414</v>
      </c>
      <c r="F1377" s="69" t="s">
        <v>217</v>
      </c>
      <c r="G1377" s="69" t="s">
        <v>415</v>
      </c>
      <c r="H1377" s="70">
        <v>2021</v>
      </c>
      <c r="I1377" s="69" t="s">
        <v>63</v>
      </c>
      <c r="J1377" s="69" t="s">
        <v>7090</v>
      </c>
      <c r="K1377" s="71" t="s">
        <v>7091</v>
      </c>
      <c r="L1377" s="71" t="s">
        <v>7092</v>
      </c>
      <c r="M1377" s="71" t="s">
        <v>7093</v>
      </c>
      <c r="N1377" s="69" t="s">
        <v>57</v>
      </c>
      <c r="O1377" s="64">
        <v>1</v>
      </c>
      <c r="P1377" s="72">
        <v>33100000</v>
      </c>
      <c r="Q1377" s="69" t="s">
        <v>420</v>
      </c>
      <c r="R1377" s="69"/>
      <c r="S1377" s="203" t="s">
        <v>903</v>
      </c>
      <c r="T1377" s="56">
        <v>41</v>
      </c>
      <c r="U1377" s="56">
        <v>3</v>
      </c>
    </row>
    <row r="1378" spans="1:21" ht="14.25" customHeight="1" thickBot="1" x14ac:dyDescent="0.4">
      <c r="A1378" s="58">
        <v>1362</v>
      </c>
      <c r="B1378" s="69" t="s">
        <v>79</v>
      </c>
      <c r="C1378" s="69" t="s">
        <v>80</v>
      </c>
      <c r="D1378" s="70" t="s">
        <v>59</v>
      </c>
      <c r="E1378" s="69" t="s">
        <v>414</v>
      </c>
      <c r="F1378" s="69" t="s">
        <v>217</v>
      </c>
      <c r="G1378" s="69" t="s">
        <v>415</v>
      </c>
      <c r="H1378" s="70">
        <v>2021</v>
      </c>
      <c r="I1378" s="69" t="s">
        <v>63</v>
      </c>
      <c r="J1378" s="69" t="s">
        <v>7094</v>
      </c>
      <c r="K1378" s="71" t="s">
        <v>7095</v>
      </c>
      <c r="L1378" s="71" t="s">
        <v>7096</v>
      </c>
      <c r="M1378" s="71" t="s">
        <v>7097</v>
      </c>
      <c r="N1378" s="69" t="s">
        <v>57</v>
      </c>
      <c r="O1378" s="64">
        <v>1</v>
      </c>
      <c r="P1378" s="72">
        <v>33100000</v>
      </c>
      <c r="Q1378" s="69" t="s">
        <v>420</v>
      </c>
      <c r="R1378" s="69"/>
      <c r="S1378" s="203" t="s">
        <v>903</v>
      </c>
      <c r="T1378" s="56">
        <v>41</v>
      </c>
      <c r="U1378" s="56">
        <v>3</v>
      </c>
    </row>
    <row r="1379" spans="1:21" ht="14.25" customHeight="1" x14ac:dyDescent="0.35">
      <c r="A1379" s="47">
        <v>1363</v>
      </c>
      <c r="B1379" s="69" t="s">
        <v>79</v>
      </c>
      <c r="C1379" s="69" t="s">
        <v>80</v>
      </c>
      <c r="D1379" s="70" t="s">
        <v>97</v>
      </c>
      <c r="E1379" s="69" t="s">
        <v>414</v>
      </c>
      <c r="F1379" s="69" t="s">
        <v>217</v>
      </c>
      <c r="G1379" s="69" t="s">
        <v>415</v>
      </c>
      <c r="H1379" s="70">
        <v>2021</v>
      </c>
      <c r="I1379" s="69" t="s">
        <v>63</v>
      </c>
      <c r="J1379" s="69" t="s">
        <v>7098</v>
      </c>
      <c r="K1379" s="71" t="s">
        <v>7099</v>
      </c>
      <c r="L1379" s="71" t="s">
        <v>7100</v>
      </c>
      <c r="M1379" s="71" t="s">
        <v>7101</v>
      </c>
      <c r="N1379" s="69" t="s">
        <v>57</v>
      </c>
      <c r="O1379" s="64">
        <v>1</v>
      </c>
      <c r="P1379" s="72">
        <v>33100000</v>
      </c>
      <c r="Q1379" s="69" t="s">
        <v>420</v>
      </c>
      <c r="R1379" s="69"/>
      <c r="S1379" s="203" t="s">
        <v>903</v>
      </c>
      <c r="T1379" s="56">
        <v>41</v>
      </c>
      <c r="U1379" s="56">
        <v>3</v>
      </c>
    </row>
    <row r="1380" spans="1:21" ht="14.25" customHeight="1" thickBot="1" x14ac:dyDescent="0.4">
      <c r="A1380" s="58">
        <v>1364</v>
      </c>
      <c r="B1380" s="69" t="s">
        <v>79</v>
      </c>
      <c r="C1380" s="69" t="s">
        <v>80</v>
      </c>
      <c r="D1380" s="70" t="s">
        <v>101</v>
      </c>
      <c r="E1380" s="69" t="s">
        <v>414</v>
      </c>
      <c r="F1380" s="69" t="s">
        <v>217</v>
      </c>
      <c r="G1380" s="69" t="s">
        <v>415</v>
      </c>
      <c r="H1380" s="70">
        <v>2021</v>
      </c>
      <c r="I1380" s="69" t="s">
        <v>63</v>
      </c>
      <c r="J1380" s="69" t="s">
        <v>7102</v>
      </c>
      <c r="K1380" s="71" t="s">
        <v>7103</v>
      </c>
      <c r="L1380" s="71" t="s">
        <v>7104</v>
      </c>
      <c r="M1380" s="71" t="s">
        <v>7105</v>
      </c>
      <c r="N1380" s="69" t="s">
        <v>57</v>
      </c>
      <c r="O1380" s="64">
        <v>1</v>
      </c>
      <c r="P1380" s="72">
        <v>33100000</v>
      </c>
      <c r="Q1380" s="69" t="s">
        <v>420</v>
      </c>
      <c r="R1380" s="69"/>
      <c r="S1380" s="203" t="s">
        <v>903</v>
      </c>
      <c r="T1380" s="56">
        <v>41</v>
      </c>
      <c r="U1380" s="56">
        <v>3</v>
      </c>
    </row>
    <row r="1381" spans="1:21" ht="14.25" customHeight="1" x14ac:dyDescent="0.35">
      <c r="A1381" s="47">
        <v>1365</v>
      </c>
      <c r="B1381" s="69" t="s">
        <v>79</v>
      </c>
      <c r="C1381" s="69" t="s">
        <v>80</v>
      </c>
      <c r="D1381" s="70" t="s">
        <v>107</v>
      </c>
      <c r="E1381" s="69" t="s">
        <v>414</v>
      </c>
      <c r="F1381" s="69" t="s">
        <v>217</v>
      </c>
      <c r="G1381" s="69" t="s">
        <v>415</v>
      </c>
      <c r="H1381" s="70">
        <v>2021</v>
      </c>
      <c r="I1381" s="69" t="s">
        <v>63</v>
      </c>
      <c r="J1381" s="69" t="s">
        <v>7106</v>
      </c>
      <c r="K1381" s="71" t="s">
        <v>7107</v>
      </c>
      <c r="L1381" s="71" t="s">
        <v>7108</v>
      </c>
      <c r="M1381" s="71" t="s">
        <v>7109</v>
      </c>
      <c r="N1381" s="69" t="s">
        <v>57</v>
      </c>
      <c r="O1381" s="64">
        <v>1</v>
      </c>
      <c r="P1381" s="72">
        <v>33100000</v>
      </c>
      <c r="Q1381" s="69" t="s">
        <v>420</v>
      </c>
      <c r="R1381" s="69"/>
      <c r="S1381" s="203" t="s">
        <v>903</v>
      </c>
      <c r="T1381" s="56">
        <v>41</v>
      </c>
      <c r="U1381" s="56">
        <v>3</v>
      </c>
    </row>
    <row r="1382" spans="1:21" ht="14.25" customHeight="1" thickBot="1" x14ac:dyDescent="0.4">
      <c r="A1382" s="58">
        <v>1366</v>
      </c>
      <c r="B1382" s="69" t="s">
        <v>79</v>
      </c>
      <c r="C1382" s="69" t="s">
        <v>80</v>
      </c>
      <c r="D1382" s="70" t="s">
        <v>112</v>
      </c>
      <c r="E1382" s="69" t="s">
        <v>414</v>
      </c>
      <c r="F1382" s="69" t="s">
        <v>217</v>
      </c>
      <c r="G1382" s="69" t="s">
        <v>415</v>
      </c>
      <c r="H1382" s="70">
        <v>2021</v>
      </c>
      <c r="I1382" s="69" t="s">
        <v>63</v>
      </c>
      <c r="J1382" s="69" t="s">
        <v>7110</v>
      </c>
      <c r="K1382" s="71" t="s">
        <v>7111</v>
      </c>
      <c r="L1382" s="71" t="s">
        <v>7112</v>
      </c>
      <c r="M1382" s="71" t="s">
        <v>7113</v>
      </c>
      <c r="N1382" s="69" t="s">
        <v>57</v>
      </c>
      <c r="O1382" s="64">
        <v>1</v>
      </c>
      <c r="P1382" s="72">
        <v>33100000</v>
      </c>
      <c r="Q1382" s="69" t="s">
        <v>420</v>
      </c>
      <c r="R1382" s="69"/>
      <c r="S1382" s="203" t="s">
        <v>903</v>
      </c>
      <c r="T1382" s="56">
        <v>41</v>
      </c>
      <c r="U1382" s="56">
        <v>3</v>
      </c>
    </row>
    <row r="1383" spans="1:21" ht="14.25" customHeight="1" x14ac:dyDescent="0.35">
      <c r="A1383" s="47">
        <v>1367</v>
      </c>
      <c r="B1383" s="69" t="s">
        <v>79</v>
      </c>
      <c r="C1383" s="69" t="s">
        <v>80</v>
      </c>
      <c r="D1383" s="70" t="s">
        <v>116</v>
      </c>
      <c r="E1383" s="69" t="s">
        <v>414</v>
      </c>
      <c r="F1383" s="69" t="s">
        <v>217</v>
      </c>
      <c r="G1383" s="69" t="s">
        <v>415</v>
      </c>
      <c r="H1383" s="70">
        <v>2021</v>
      </c>
      <c r="I1383" s="69" t="s">
        <v>63</v>
      </c>
      <c r="J1383" s="69" t="s">
        <v>7114</v>
      </c>
      <c r="K1383" s="71" t="s">
        <v>7115</v>
      </c>
      <c r="L1383" s="71" t="s">
        <v>7116</v>
      </c>
      <c r="M1383" s="71" t="s">
        <v>7117</v>
      </c>
      <c r="N1383" s="69" t="s">
        <v>57</v>
      </c>
      <c r="O1383" s="64">
        <v>1</v>
      </c>
      <c r="P1383" s="72">
        <v>33100000</v>
      </c>
      <c r="Q1383" s="69" t="s">
        <v>420</v>
      </c>
      <c r="R1383" s="69"/>
      <c r="S1383" s="203" t="s">
        <v>903</v>
      </c>
      <c r="T1383" s="56">
        <v>41</v>
      </c>
      <c r="U1383" s="56">
        <v>3</v>
      </c>
    </row>
    <row r="1384" spans="1:21" ht="14.25" customHeight="1" thickBot="1" x14ac:dyDescent="0.4">
      <c r="A1384" s="58">
        <v>1368</v>
      </c>
      <c r="B1384" s="69" t="s">
        <v>79</v>
      </c>
      <c r="C1384" s="69" t="s">
        <v>80</v>
      </c>
      <c r="D1384" s="70" t="s">
        <v>841</v>
      </c>
      <c r="E1384" s="69" t="s">
        <v>414</v>
      </c>
      <c r="F1384" s="69" t="s">
        <v>217</v>
      </c>
      <c r="G1384" s="69" t="s">
        <v>415</v>
      </c>
      <c r="H1384" s="70">
        <v>2021</v>
      </c>
      <c r="I1384" s="69" t="s">
        <v>63</v>
      </c>
      <c r="J1384" s="69" t="s">
        <v>7118</v>
      </c>
      <c r="K1384" s="71" t="s">
        <v>7119</v>
      </c>
      <c r="L1384" s="71" t="s">
        <v>7120</v>
      </c>
      <c r="M1384" s="71" t="s">
        <v>7121</v>
      </c>
      <c r="N1384" s="69" t="s">
        <v>57</v>
      </c>
      <c r="O1384" s="64">
        <v>1</v>
      </c>
      <c r="P1384" s="72">
        <v>33100000</v>
      </c>
      <c r="Q1384" s="69" t="s">
        <v>420</v>
      </c>
      <c r="R1384" s="69"/>
      <c r="S1384" s="203" t="s">
        <v>903</v>
      </c>
      <c r="T1384" s="56">
        <v>41</v>
      </c>
      <c r="U1384" s="56">
        <v>3</v>
      </c>
    </row>
    <row r="1385" spans="1:21" ht="14.25" customHeight="1" x14ac:dyDescent="0.35">
      <c r="A1385" s="47">
        <v>1369</v>
      </c>
      <c r="B1385" s="69" t="s">
        <v>79</v>
      </c>
      <c r="C1385" s="69" t="s">
        <v>80</v>
      </c>
      <c r="D1385" s="70" t="s">
        <v>904</v>
      </c>
      <c r="E1385" s="69" t="s">
        <v>414</v>
      </c>
      <c r="F1385" s="69" t="s">
        <v>217</v>
      </c>
      <c r="G1385" s="69" t="s">
        <v>415</v>
      </c>
      <c r="H1385" s="70">
        <v>2021</v>
      </c>
      <c r="I1385" s="69" t="s">
        <v>63</v>
      </c>
      <c r="J1385" s="69" t="s">
        <v>7122</v>
      </c>
      <c r="K1385" s="71" t="s">
        <v>7123</v>
      </c>
      <c r="L1385" s="71" t="s">
        <v>7124</v>
      </c>
      <c r="M1385" s="71" t="s">
        <v>7125</v>
      </c>
      <c r="N1385" s="69" t="s">
        <v>57</v>
      </c>
      <c r="O1385" s="64">
        <v>1</v>
      </c>
      <c r="P1385" s="72">
        <v>33100000</v>
      </c>
      <c r="Q1385" s="69" t="s">
        <v>420</v>
      </c>
      <c r="R1385" s="69"/>
      <c r="S1385" s="203" t="s">
        <v>903</v>
      </c>
      <c r="T1385" s="56">
        <v>41</v>
      </c>
      <c r="U1385" s="56">
        <v>3</v>
      </c>
    </row>
    <row r="1386" spans="1:21" ht="14.25" customHeight="1" thickBot="1" x14ac:dyDescent="0.4">
      <c r="A1386" s="58">
        <v>1370</v>
      </c>
      <c r="B1386" s="69" t="s">
        <v>79</v>
      </c>
      <c r="C1386" s="69" t="s">
        <v>80</v>
      </c>
      <c r="D1386" s="70" t="s">
        <v>122</v>
      </c>
      <c r="E1386" s="69" t="s">
        <v>414</v>
      </c>
      <c r="F1386" s="69" t="s">
        <v>217</v>
      </c>
      <c r="G1386" s="69" t="s">
        <v>415</v>
      </c>
      <c r="H1386" s="70">
        <v>2021</v>
      </c>
      <c r="I1386" s="69" t="s">
        <v>63</v>
      </c>
      <c r="J1386" s="69" t="s">
        <v>7126</v>
      </c>
      <c r="K1386" s="71" t="s">
        <v>7127</v>
      </c>
      <c r="L1386" s="71" t="s">
        <v>7128</v>
      </c>
      <c r="M1386" s="71" t="s">
        <v>7129</v>
      </c>
      <c r="N1386" s="69" t="s">
        <v>57</v>
      </c>
      <c r="O1386" s="64">
        <v>1</v>
      </c>
      <c r="P1386" s="72">
        <v>33100000</v>
      </c>
      <c r="Q1386" s="69" t="s">
        <v>420</v>
      </c>
      <c r="R1386" s="69"/>
      <c r="S1386" s="203" t="s">
        <v>903</v>
      </c>
      <c r="T1386" s="56">
        <v>41</v>
      </c>
      <c r="U1386" s="56">
        <v>3</v>
      </c>
    </row>
    <row r="1387" spans="1:21" ht="14.25" customHeight="1" x14ac:dyDescent="0.35">
      <c r="A1387" s="47">
        <v>1371</v>
      </c>
      <c r="B1387" s="69" t="s">
        <v>79</v>
      </c>
      <c r="C1387" s="69" t="s">
        <v>80</v>
      </c>
      <c r="D1387" s="70" t="s">
        <v>126</v>
      </c>
      <c r="E1387" s="69" t="s">
        <v>414</v>
      </c>
      <c r="F1387" s="69" t="s">
        <v>217</v>
      </c>
      <c r="G1387" s="69" t="s">
        <v>415</v>
      </c>
      <c r="H1387" s="70">
        <v>2021</v>
      </c>
      <c r="I1387" s="69" t="s">
        <v>63</v>
      </c>
      <c r="J1387" s="69" t="s">
        <v>7130</v>
      </c>
      <c r="K1387" s="71" t="s">
        <v>7131</v>
      </c>
      <c r="L1387" s="71" t="s">
        <v>7132</v>
      </c>
      <c r="M1387" s="71" t="s">
        <v>7133</v>
      </c>
      <c r="N1387" s="69" t="s">
        <v>57</v>
      </c>
      <c r="O1387" s="64">
        <v>1</v>
      </c>
      <c r="P1387" s="72">
        <v>33100000</v>
      </c>
      <c r="Q1387" s="69" t="s">
        <v>420</v>
      </c>
      <c r="R1387" s="69"/>
      <c r="S1387" s="203" t="s">
        <v>903</v>
      </c>
      <c r="T1387" s="56">
        <v>41</v>
      </c>
      <c r="U1387" s="56">
        <v>3</v>
      </c>
    </row>
    <row r="1388" spans="1:21" ht="14.25" customHeight="1" thickBot="1" x14ac:dyDescent="0.4">
      <c r="A1388" s="58">
        <v>1372</v>
      </c>
      <c r="B1388" s="69" t="s">
        <v>79</v>
      </c>
      <c r="C1388" s="69" t="s">
        <v>80</v>
      </c>
      <c r="D1388" s="70" t="s">
        <v>132</v>
      </c>
      <c r="E1388" s="69" t="s">
        <v>414</v>
      </c>
      <c r="F1388" s="69" t="s">
        <v>217</v>
      </c>
      <c r="G1388" s="69" t="s">
        <v>415</v>
      </c>
      <c r="H1388" s="70">
        <v>2021</v>
      </c>
      <c r="I1388" s="69" t="s">
        <v>63</v>
      </c>
      <c r="J1388" s="69" t="s">
        <v>7134</v>
      </c>
      <c r="K1388" s="71" t="s">
        <v>7135</v>
      </c>
      <c r="L1388" s="71" t="s">
        <v>7136</v>
      </c>
      <c r="M1388" s="71" t="s">
        <v>7137</v>
      </c>
      <c r="N1388" s="69" t="s">
        <v>57</v>
      </c>
      <c r="O1388" s="64">
        <v>1</v>
      </c>
      <c r="P1388" s="72">
        <v>33100000</v>
      </c>
      <c r="Q1388" s="69" t="s">
        <v>420</v>
      </c>
      <c r="R1388" s="69"/>
      <c r="S1388" s="203" t="s">
        <v>903</v>
      </c>
      <c r="T1388" s="56">
        <v>41</v>
      </c>
      <c r="U1388" s="56">
        <v>3</v>
      </c>
    </row>
    <row r="1389" spans="1:21" ht="14.25" customHeight="1" x14ac:dyDescent="0.35">
      <c r="A1389" s="47">
        <v>1373</v>
      </c>
      <c r="B1389" s="69" t="s">
        <v>79</v>
      </c>
      <c r="C1389" s="69" t="s">
        <v>80</v>
      </c>
      <c r="D1389" s="70" t="s">
        <v>137</v>
      </c>
      <c r="E1389" s="69" t="s">
        <v>414</v>
      </c>
      <c r="F1389" s="69" t="s">
        <v>217</v>
      </c>
      <c r="G1389" s="69" t="s">
        <v>415</v>
      </c>
      <c r="H1389" s="70">
        <v>2021</v>
      </c>
      <c r="I1389" s="69" t="s">
        <v>63</v>
      </c>
      <c r="J1389" s="69" t="s">
        <v>7138</v>
      </c>
      <c r="K1389" s="71" t="s">
        <v>7139</v>
      </c>
      <c r="L1389" s="71" t="s">
        <v>7140</v>
      </c>
      <c r="M1389" s="71" t="s">
        <v>7141</v>
      </c>
      <c r="N1389" s="69" t="s">
        <v>57</v>
      </c>
      <c r="O1389" s="64">
        <v>1</v>
      </c>
      <c r="P1389" s="72">
        <v>33100000</v>
      </c>
      <c r="Q1389" s="69" t="s">
        <v>420</v>
      </c>
      <c r="R1389" s="69"/>
      <c r="S1389" s="203" t="s">
        <v>903</v>
      </c>
      <c r="T1389" s="56">
        <v>41</v>
      </c>
      <c r="U1389" s="56">
        <v>3</v>
      </c>
    </row>
    <row r="1390" spans="1:21" ht="14.25" customHeight="1" thickBot="1" x14ac:dyDescent="0.4">
      <c r="A1390" s="58">
        <v>1374</v>
      </c>
      <c r="B1390" s="69" t="s">
        <v>79</v>
      </c>
      <c r="C1390" s="69" t="s">
        <v>80</v>
      </c>
      <c r="D1390" s="70" t="s">
        <v>146</v>
      </c>
      <c r="E1390" s="69" t="s">
        <v>414</v>
      </c>
      <c r="F1390" s="69" t="s">
        <v>217</v>
      </c>
      <c r="G1390" s="69" t="s">
        <v>415</v>
      </c>
      <c r="H1390" s="70">
        <v>2021</v>
      </c>
      <c r="I1390" s="69" t="s">
        <v>63</v>
      </c>
      <c r="J1390" s="69" t="s">
        <v>7142</v>
      </c>
      <c r="K1390" s="71" t="s">
        <v>7143</v>
      </c>
      <c r="L1390" s="71" t="s">
        <v>7144</v>
      </c>
      <c r="M1390" s="71" t="s">
        <v>7145</v>
      </c>
      <c r="N1390" s="69" t="s">
        <v>57</v>
      </c>
      <c r="O1390" s="64">
        <v>1</v>
      </c>
      <c r="P1390" s="72">
        <v>33100000</v>
      </c>
      <c r="Q1390" s="69" t="s">
        <v>420</v>
      </c>
      <c r="R1390" s="69"/>
      <c r="S1390" s="203" t="s">
        <v>903</v>
      </c>
      <c r="T1390" s="56">
        <v>41</v>
      </c>
      <c r="U1390" s="56">
        <v>3</v>
      </c>
    </row>
    <row r="1391" spans="1:21" ht="14.25" customHeight="1" x14ac:dyDescent="0.35">
      <c r="A1391" s="47">
        <v>1375</v>
      </c>
      <c r="B1391" s="69" t="s">
        <v>79</v>
      </c>
      <c r="C1391" s="69" t="s">
        <v>80</v>
      </c>
      <c r="D1391" s="70" t="s">
        <v>154</v>
      </c>
      <c r="E1391" s="69" t="s">
        <v>414</v>
      </c>
      <c r="F1391" s="69" t="s">
        <v>217</v>
      </c>
      <c r="G1391" s="69" t="s">
        <v>415</v>
      </c>
      <c r="H1391" s="70">
        <v>2021</v>
      </c>
      <c r="I1391" s="69" t="s">
        <v>63</v>
      </c>
      <c r="J1391" s="69" t="s">
        <v>7146</v>
      </c>
      <c r="K1391" s="71" t="s">
        <v>7147</v>
      </c>
      <c r="L1391" s="71" t="s">
        <v>7148</v>
      </c>
      <c r="M1391" s="71" t="s">
        <v>7149</v>
      </c>
      <c r="N1391" s="69" t="s">
        <v>57</v>
      </c>
      <c r="O1391" s="64">
        <v>1</v>
      </c>
      <c r="P1391" s="72">
        <v>33100000</v>
      </c>
      <c r="Q1391" s="69" t="s">
        <v>420</v>
      </c>
      <c r="R1391" s="69"/>
      <c r="S1391" s="203" t="s">
        <v>903</v>
      </c>
      <c r="T1391" s="56">
        <v>41</v>
      </c>
      <c r="U1391" s="56">
        <v>3</v>
      </c>
    </row>
    <row r="1392" spans="1:21" ht="14.25" customHeight="1" thickBot="1" x14ac:dyDescent="0.4">
      <c r="A1392" s="58">
        <v>1376</v>
      </c>
      <c r="B1392" s="69" t="s">
        <v>79</v>
      </c>
      <c r="C1392" s="69" t="s">
        <v>80</v>
      </c>
      <c r="D1392" s="70" t="s">
        <v>161</v>
      </c>
      <c r="E1392" s="69" t="s">
        <v>2524</v>
      </c>
      <c r="F1392" s="69" t="s">
        <v>217</v>
      </c>
      <c r="G1392" s="69" t="s">
        <v>2525</v>
      </c>
      <c r="H1392" s="70">
        <v>2020</v>
      </c>
      <c r="I1392" s="69" t="s">
        <v>63</v>
      </c>
      <c r="J1392" s="69" t="s">
        <v>7150</v>
      </c>
      <c r="K1392" s="71" t="s">
        <v>7151</v>
      </c>
      <c r="L1392" s="71" t="s">
        <v>7152</v>
      </c>
      <c r="M1392" s="71" t="s">
        <v>7153</v>
      </c>
      <c r="N1392" s="69" t="s">
        <v>57</v>
      </c>
      <c r="O1392" s="64">
        <v>1</v>
      </c>
      <c r="P1392" s="72">
        <v>33000000</v>
      </c>
      <c r="Q1392" s="69" t="s">
        <v>2530</v>
      </c>
      <c r="R1392" s="69"/>
      <c r="S1392" s="203" t="s">
        <v>903</v>
      </c>
      <c r="T1392" s="56">
        <v>41</v>
      </c>
      <c r="U1392" s="56">
        <v>3</v>
      </c>
    </row>
    <row r="1393" spans="1:21" ht="14.25" customHeight="1" x14ac:dyDescent="0.35">
      <c r="A1393" s="47">
        <v>1377</v>
      </c>
      <c r="B1393" s="69" t="s">
        <v>79</v>
      </c>
      <c r="C1393" s="69" t="s">
        <v>80</v>
      </c>
      <c r="D1393" s="70" t="s">
        <v>169</v>
      </c>
      <c r="E1393" s="69" t="s">
        <v>2524</v>
      </c>
      <c r="F1393" s="69" t="s">
        <v>217</v>
      </c>
      <c r="G1393" s="69" t="s">
        <v>2525</v>
      </c>
      <c r="H1393" s="70">
        <v>2020</v>
      </c>
      <c r="I1393" s="69" t="s">
        <v>63</v>
      </c>
      <c r="J1393" s="69" t="s">
        <v>7154</v>
      </c>
      <c r="K1393" s="71" t="s">
        <v>7155</v>
      </c>
      <c r="L1393" s="71" t="s">
        <v>7156</v>
      </c>
      <c r="M1393" s="71" t="s">
        <v>7157</v>
      </c>
      <c r="N1393" s="69" t="s">
        <v>57</v>
      </c>
      <c r="O1393" s="64">
        <v>1</v>
      </c>
      <c r="P1393" s="72">
        <v>33000000</v>
      </c>
      <c r="Q1393" s="69" t="s">
        <v>2530</v>
      </c>
      <c r="R1393" s="69"/>
      <c r="S1393" s="203" t="s">
        <v>903</v>
      </c>
      <c r="T1393" s="56">
        <v>41</v>
      </c>
      <c r="U1393" s="56">
        <v>3</v>
      </c>
    </row>
    <row r="1394" spans="1:21" ht="14.25" customHeight="1" thickBot="1" x14ac:dyDescent="0.4">
      <c r="A1394" s="58">
        <v>1378</v>
      </c>
      <c r="B1394" s="69" t="s">
        <v>79</v>
      </c>
      <c r="C1394" s="69" t="s">
        <v>80</v>
      </c>
      <c r="D1394" s="70" t="s">
        <v>176</v>
      </c>
      <c r="E1394" s="69" t="s">
        <v>2524</v>
      </c>
      <c r="F1394" s="69" t="s">
        <v>217</v>
      </c>
      <c r="G1394" s="69" t="s">
        <v>2525</v>
      </c>
      <c r="H1394" s="70">
        <v>2020</v>
      </c>
      <c r="I1394" s="69" t="s">
        <v>63</v>
      </c>
      <c r="J1394" s="69" t="s">
        <v>7158</v>
      </c>
      <c r="K1394" s="71" t="s">
        <v>7159</v>
      </c>
      <c r="L1394" s="71" t="s">
        <v>7160</v>
      </c>
      <c r="M1394" s="71" t="s">
        <v>7161</v>
      </c>
      <c r="N1394" s="69" t="s">
        <v>57</v>
      </c>
      <c r="O1394" s="64">
        <v>1</v>
      </c>
      <c r="P1394" s="72">
        <v>33000000</v>
      </c>
      <c r="Q1394" s="69" t="s">
        <v>2530</v>
      </c>
      <c r="R1394" s="69"/>
      <c r="S1394" s="203" t="s">
        <v>903</v>
      </c>
      <c r="T1394" s="56">
        <v>41</v>
      </c>
      <c r="U1394" s="56">
        <v>3</v>
      </c>
    </row>
    <row r="1395" spans="1:21" ht="14.25" customHeight="1" x14ac:dyDescent="0.35">
      <c r="A1395" s="47">
        <v>1379</v>
      </c>
      <c r="B1395" s="69" t="s">
        <v>79</v>
      </c>
      <c r="C1395" s="69" t="s">
        <v>80</v>
      </c>
      <c r="D1395" s="70" t="s">
        <v>1236</v>
      </c>
      <c r="E1395" s="69" t="s">
        <v>2524</v>
      </c>
      <c r="F1395" s="69" t="s">
        <v>217</v>
      </c>
      <c r="G1395" s="69" t="s">
        <v>2525</v>
      </c>
      <c r="H1395" s="70">
        <v>2020</v>
      </c>
      <c r="I1395" s="69" t="s">
        <v>63</v>
      </c>
      <c r="J1395" s="69" t="s">
        <v>7162</v>
      </c>
      <c r="K1395" s="71" t="s">
        <v>7163</v>
      </c>
      <c r="L1395" s="71" t="s">
        <v>7164</v>
      </c>
      <c r="M1395" s="71" t="s">
        <v>7165</v>
      </c>
      <c r="N1395" s="69" t="s">
        <v>57</v>
      </c>
      <c r="O1395" s="64">
        <v>1</v>
      </c>
      <c r="P1395" s="72">
        <v>33000000</v>
      </c>
      <c r="Q1395" s="69" t="s">
        <v>2530</v>
      </c>
      <c r="R1395" s="69"/>
      <c r="S1395" s="203" t="s">
        <v>903</v>
      </c>
      <c r="T1395" s="56">
        <v>41</v>
      </c>
      <c r="U1395" s="56">
        <v>3</v>
      </c>
    </row>
    <row r="1396" spans="1:21" ht="14.25" customHeight="1" thickBot="1" x14ac:dyDescent="0.4">
      <c r="A1396" s="58">
        <v>1380</v>
      </c>
      <c r="B1396" s="69" t="s">
        <v>79</v>
      </c>
      <c r="C1396" s="69" t="s">
        <v>80</v>
      </c>
      <c r="D1396" s="70" t="s">
        <v>181</v>
      </c>
      <c r="E1396" s="69" t="s">
        <v>2524</v>
      </c>
      <c r="F1396" s="69" t="s">
        <v>217</v>
      </c>
      <c r="G1396" s="69" t="s">
        <v>2525</v>
      </c>
      <c r="H1396" s="70">
        <v>2020</v>
      </c>
      <c r="I1396" s="69" t="s">
        <v>63</v>
      </c>
      <c r="J1396" s="69" t="s">
        <v>7166</v>
      </c>
      <c r="K1396" s="71" t="s">
        <v>7167</v>
      </c>
      <c r="L1396" s="71" t="s">
        <v>7168</v>
      </c>
      <c r="M1396" s="71" t="s">
        <v>7169</v>
      </c>
      <c r="N1396" s="69" t="s">
        <v>57</v>
      </c>
      <c r="O1396" s="64">
        <v>1</v>
      </c>
      <c r="P1396" s="72">
        <v>33000000</v>
      </c>
      <c r="Q1396" s="69" t="s">
        <v>2530</v>
      </c>
      <c r="R1396" s="69"/>
      <c r="S1396" s="203" t="s">
        <v>903</v>
      </c>
      <c r="T1396" s="56">
        <v>41</v>
      </c>
      <c r="U1396" s="56">
        <v>3</v>
      </c>
    </row>
    <row r="1397" spans="1:21" ht="14.25" customHeight="1" x14ac:dyDescent="0.35">
      <c r="A1397" s="47">
        <v>1381</v>
      </c>
      <c r="B1397" s="69" t="s">
        <v>79</v>
      </c>
      <c r="C1397" s="69" t="s">
        <v>80</v>
      </c>
      <c r="D1397" s="70" t="s">
        <v>187</v>
      </c>
      <c r="E1397" s="69" t="s">
        <v>2524</v>
      </c>
      <c r="F1397" s="69" t="s">
        <v>217</v>
      </c>
      <c r="G1397" s="69" t="s">
        <v>2525</v>
      </c>
      <c r="H1397" s="70">
        <v>2020</v>
      </c>
      <c r="I1397" s="69" t="s">
        <v>63</v>
      </c>
      <c r="J1397" s="69" t="s">
        <v>7170</v>
      </c>
      <c r="K1397" s="71" t="s">
        <v>7171</v>
      </c>
      <c r="L1397" s="71" t="s">
        <v>7172</v>
      </c>
      <c r="M1397" s="71" t="s">
        <v>7173</v>
      </c>
      <c r="N1397" s="69" t="s">
        <v>57</v>
      </c>
      <c r="O1397" s="64">
        <v>1</v>
      </c>
      <c r="P1397" s="72">
        <v>33000000</v>
      </c>
      <c r="Q1397" s="69" t="s">
        <v>2530</v>
      </c>
      <c r="R1397" s="69"/>
      <c r="S1397" s="203" t="s">
        <v>903</v>
      </c>
      <c r="T1397" s="56">
        <v>41</v>
      </c>
      <c r="U1397" s="56">
        <v>3</v>
      </c>
    </row>
    <row r="1398" spans="1:21" ht="14.25" customHeight="1" thickBot="1" x14ac:dyDescent="0.4">
      <c r="A1398" s="58">
        <v>1382</v>
      </c>
      <c r="B1398" s="69" t="s">
        <v>79</v>
      </c>
      <c r="C1398" s="69" t="s">
        <v>80</v>
      </c>
      <c r="D1398" s="70" t="s">
        <v>190</v>
      </c>
      <c r="E1398" s="69" t="s">
        <v>2524</v>
      </c>
      <c r="F1398" s="69" t="s">
        <v>217</v>
      </c>
      <c r="G1398" s="69" t="s">
        <v>2525</v>
      </c>
      <c r="H1398" s="70">
        <v>2020</v>
      </c>
      <c r="I1398" s="69" t="s">
        <v>63</v>
      </c>
      <c r="J1398" s="69" t="s">
        <v>7174</v>
      </c>
      <c r="K1398" s="71" t="s">
        <v>7175</v>
      </c>
      <c r="L1398" s="71" t="s">
        <v>7176</v>
      </c>
      <c r="M1398" s="71" t="s">
        <v>7177</v>
      </c>
      <c r="N1398" s="69" t="s">
        <v>57</v>
      </c>
      <c r="O1398" s="64">
        <v>1</v>
      </c>
      <c r="P1398" s="72">
        <v>33000000</v>
      </c>
      <c r="Q1398" s="69" t="s">
        <v>2530</v>
      </c>
      <c r="R1398" s="69"/>
      <c r="S1398" s="203" t="s">
        <v>903</v>
      </c>
      <c r="T1398" s="56">
        <v>41</v>
      </c>
      <c r="U1398" s="56">
        <v>3</v>
      </c>
    </row>
    <row r="1399" spans="1:21" ht="14.25" customHeight="1" x14ac:dyDescent="0.35">
      <c r="A1399" s="47">
        <v>1383</v>
      </c>
      <c r="B1399" s="69" t="s">
        <v>79</v>
      </c>
      <c r="C1399" s="69" t="s">
        <v>80</v>
      </c>
      <c r="D1399" s="70" t="s">
        <v>192</v>
      </c>
      <c r="E1399" s="69" t="s">
        <v>2524</v>
      </c>
      <c r="F1399" s="69" t="s">
        <v>217</v>
      </c>
      <c r="G1399" s="69" t="s">
        <v>2525</v>
      </c>
      <c r="H1399" s="70">
        <v>2020</v>
      </c>
      <c r="I1399" s="69" t="s">
        <v>63</v>
      </c>
      <c r="J1399" s="69" t="s">
        <v>7178</v>
      </c>
      <c r="K1399" s="71" t="s">
        <v>7179</v>
      </c>
      <c r="L1399" s="71" t="s">
        <v>7180</v>
      </c>
      <c r="M1399" s="71" t="s">
        <v>7181</v>
      </c>
      <c r="N1399" s="69" t="s">
        <v>57</v>
      </c>
      <c r="O1399" s="64">
        <v>1</v>
      </c>
      <c r="P1399" s="72">
        <v>33000000</v>
      </c>
      <c r="Q1399" s="69" t="s">
        <v>2530</v>
      </c>
      <c r="R1399" s="69"/>
      <c r="S1399" s="203" t="s">
        <v>903</v>
      </c>
      <c r="T1399" s="56">
        <v>41</v>
      </c>
      <c r="U1399" s="56">
        <v>3</v>
      </c>
    </row>
    <row r="1400" spans="1:21" ht="14.25" customHeight="1" thickBot="1" x14ac:dyDescent="0.4">
      <c r="A1400" s="58">
        <v>1384</v>
      </c>
      <c r="B1400" s="69" t="s">
        <v>79</v>
      </c>
      <c r="C1400" s="69" t="s">
        <v>80</v>
      </c>
      <c r="D1400" s="70" t="s">
        <v>195</v>
      </c>
      <c r="E1400" s="69" t="s">
        <v>2524</v>
      </c>
      <c r="F1400" s="69" t="s">
        <v>217</v>
      </c>
      <c r="G1400" s="69" t="s">
        <v>2525</v>
      </c>
      <c r="H1400" s="70">
        <v>2020</v>
      </c>
      <c r="I1400" s="69" t="s">
        <v>63</v>
      </c>
      <c r="J1400" s="69" t="s">
        <v>7182</v>
      </c>
      <c r="K1400" s="71" t="s">
        <v>7183</v>
      </c>
      <c r="L1400" s="71" t="s">
        <v>7184</v>
      </c>
      <c r="M1400" s="71" t="s">
        <v>7185</v>
      </c>
      <c r="N1400" s="69" t="s">
        <v>57</v>
      </c>
      <c r="O1400" s="64">
        <v>1</v>
      </c>
      <c r="P1400" s="72">
        <v>33000000</v>
      </c>
      <c r="Q1400" s="69" t="s">
        <v>2530</v>
      </c>
      <c r="R1400" s="69"/>
      <c r="S1400" s="203" t="s">
        <v>903</v>
      </c>
      <c r="T1400" s="56">
        <v>41</v>
      </c>
      <c r="U1400" s="56">
        <v>3</v>
      </c>
    </row>
    <row r="1401" spans="1:21" ht="14.25" customHeight="1" x14ac:dyDescent="0.35">
      <c r="A1401" s="47">
        <v>1385</v>
      </c>
      <c r="B1401" s="69" t="s">
        <v>79</v>
      </c>
      <c r="C1401" s="69" t="s">
        <v>80</v>
      </c>
      <c r="D1401" s="70" t="s">
        <v>199</v>
      </c>
      <c r="E1401" s="69" t="s">
        <v>2524</v>
      </c>
      <c r="F1401" s="69" t="s">
        <v>217</v>
      </c>
      <c r="G1401" s="69" t="s">
        <v>2525</v>
      </c>
      <c r="H1401" s="70">
        <v>2020</v>
      </c>
      <c r="I1401" s="69" t="s">
        <v>63</v>
      </c>
      <c r="J1401" s="69" t="s">
        <v>7186</v>
      </c>
      <c r="K1401" s="71" t="s">
        <v>7187</v>
      </c>
      <c r="L1401" s="71" t="s">
        <v>7188</v>
      </c>
      <c r="M1401" s="71" t="s">
        <v>7189</v>
      </c>
      <c r="N1401" s="69" t="s">
        <v>57</v>
      </c>
      <c r="O1401" s="64">
        <v>1</v>
      </c>
      <c r="P1401" s="72">
        <v>33000000</v>
      </c>
      <c r="Q1401" s="69" t="s">
        <v>2530</v>
      </c>
      <c r="R1401" s="69"/>
      <c r="S1401" s="203" t="s">
        <v>903</v>
      </c>
      <c r="T1401" s="56">
        <v>41</v>
      </c>
      <c r="U1401" s="56">
        <v>3</v>
      </c>
    </row>
    <row r="1402" spans="1:21" ht="14.25" customHeight="1" thickBot="1" x14ac:dyDescent="0.4">
      <c r="A1402" s="58">
        <v>1386</v>
      </c>
      <c r="B1402" s="69" t="s">
        <v>79</v>
      </c>
      <c r="C1402" s="69" t="s">
        <v>80</v>
      </c>
      <c r="D1402" s="70" t="s">
        <v>200</v>
      </c>
      <c r="E1402" s="69" t="s">
        <v>2524</v>
      </c>
      <c r="F1402" s="69" t="s">
        <v>217</v>
      </c>
      <c r="G1402" s="69" t="s">
        <v>2525</v>
      </c>
      <c r="H1402" s="70">
        <v>2020</v>
      </c>
      <c r="I1402" s="69" t="s">
        <v>63</v>
      </c>
      <c r="J1402" s="69" t="s">
        <v>7190</v>
      </c>
      <c r="K1402" s="71" t="s">
        <v>7191</v>
      </c>
      <c r="L1402" s="71" t="s">
        <v>7192</v>
      </c>
      <c r="M1402" s="71" t="s">
        <v>7193</v>
      </c>
      <c r="N1402" s="69" t="s">
        <v>57</v>
      </c>
      <c r="O1402" s="64">
        <v>1</v>
      </c>
      <c r="P1402" s="72">
        <v>33000000</v>
      </c>
      <c r="Q1402" s="69" t="s">
        <v>2530</v>
      </c>
      <c r="R1402" s="69"/>
      <c r="S1402" s="203" t="s">
        <v>903</v>
      </c>
      <c r="T1402" s="56">
        <v>41</v>
      </c>
      <c r="U1402" s="56">
        <v>3</v>
      </c>
    </row>
    <row r="1403" spans="1:21" ht="14.25" customHeight="1" x14ac:dyDescent="0.35">
      <c r="A1403" s="47">
        <v>1387</v>
      </c>
      <c r="B1403" s="69" t="s">
        <v>79</v>
      </c>
      <c r="C1403" s="69" t="s">
        <v>80</v>
      </c>
      <c r="D1403" s="70" t="s">
        <v>209</v>
      </c>
      <c r="E1403" s="69" t="s">
        <v>2524</v>
      </c>
      <c r="F1403" s="69" t="s">
        <v>217</v>
      </c>
      <c r="G1403" s="69" t="s">
        <v>2525</v>
      </c>
      <c r="H1403" s="70">
        <v>2020</v>
      </c>
      <c r="I1403" s="69" t="s">
        <v>63</v>
      </c>
      <c r="J1403" s="69" t="s">
        <v>7194</v>
      </c>
      <c r="K1403" s="71" t="s">
        <v>7195</v>
      </c>
      <c r="L1403" s="71" t="s">
        <v>7196</v>
      </c>
      <c r="M1403" s="71" t="s">
        <v>7197</v>
      </c>
      <c r="N1403" s="69" t="s">
        <v>57</v>
      </c>
      <c r="O1403" s="64">
        <v>1</v>
      </c>
      <c r="P1403" s="72">
        <v>33000000</v>
      </c>
      <c r="Q1403" s="69" t="s">
        <v>2530</v>
      </c>
      <c r="R1403" s="69"/>
      <c r="S1403" s="203" t="s">
        <v>903</v>
      </c>
      <c r="T1403" s="56">
        <v>41</v>
      </c>
      <c r="U1403" s="56">
        <v>3</v>
      </c>
    </row>
    <row r="1404" spans="1:21" ht="14.25" customHeight="1" thickBot="1" x14ac:dyDescent="0.4">
      <c r="A1404" s="58">
        <v>1388</v>
      </c>
      <c r="B1404" s="69" t="s">
        <v>79</v>
      </c>
      <c r="C1404" s="69" t="s">
        <v>80</v>
      </c>
      <c r="D1404" s="70" t="s">
        <v>215</v>
      </c>
      <c r="E1404" s="69" t="s">
        <v>2524</v>
      </c>
      <c r="F1404" s="69" t="s">
        <v>217</v>
      </c>
      <c r="G1404" s="69" t="s">
        <v>2525</v>
      </c>
      <c r="H1404" s="70">
        <v>2020</v>
      </c>
      <c r="I1404" s="69" t="s">
        <v>63</v>
      </c>
      <c r="J1404" s="69" t="s">
        <v>7198</v>
      </c>
      <c r="K1404" s="71" t="s">
        <v>7199</v>
      </c>
      <c r="L1404" s="71" t="s">
        <v>7200</v>
      </c>
      <c r="M1404" s="71" t="s">
        <v>7201</v>
      </c>
      <c r="N1404" s="69" t="s">
        <v>57</v>
      </c>
      <c r="O1404" s="64">
        <v>1</v>
      </c>
      <c r="P1404" s="72">
        <v>33000000</v>
      </c>
      <c r="Q1404" s="69" t="s">
        <v>2530</v>
      </c>
      <c r="R1404" s="69"/>
      <c r="S1404" s="203" t="s">
        <v>903</v>
      </c>
      <c r="T1404" s="56">
        <v>41</v>
      </c>
      <c r="U1404" s="56">
        <v>3</v>
      </c>
    </row>
    <row r="1405" spans="1:21" ht="14.25" customHeight="1" x14ac:dyDescent="0.35">
      <c r="A1405" s="47">
        <v>1389</v>
      </c>
      <c r="B1405" s="69" t="s">
        <v>79</v>
      </c>
      <c r="C1405" s="69" t="s">
        <v>80</v>
      </c>
      <c r="D1405" s="70" t="s">
        <v>223</v>
      </c>
      <c r="E1405" s="69" t="s">
        <v>2524</v>
      </c>
      <c r="F1405" s="69" t="s">
        <v>217</v>
      </c>
      <c r="G1405" s="69" t="s">
        <v>2525</v>
      </c>
      <c r="H1405" s="70">
        <v>2020</v>
      </c>
      <c r="I1405" s="69" t="s">
        <v>63</v>
      </c>
      <c r="J1405" s="69" t="s">
        <v>7202</v>
      </c>
      <c r="K1405" s="71" t="s">
        <v>7203</v>
      </c>
      <c r="L1405" s="71" t="s">
        <v>7204</v>
      </c>
      <c r="M1405" s="71" t="s">
        <v>7205</v>
      </c>
      <c r="N1405" s="69" t="s">
        <v>57</v>
      </c>
      <c r="O1405" s="64">
        <v>1</v>
      </c>
      <c r="P1405" s="72">
        <v>33000000</v>
      </c>
      <c r="Q1405" s="69" t="s">
        <v>2530</v>
      </c>
      <c r="R1405" s="69"/>
      <c r="S1405" s="203" t="s">
        <v>903</v>
      </c>
      <c r="T1405" s="56">
        <v>41</v>
      </c>
      <c r="U1405" s="56">
        <v>3</v>
      </c>
    </row>
    <row r="1406" spans="1:21" ht="14.25" customHeight="1" thickBot="1" x14ac:dyDescent="0.4">
      <c r="A1406" s="58">
        <v>1390</v>
      </c>
      <c r="B1406" s="69" t="s">
        <v>79</v>
      </c>
      <c r="C1406" s="69" t="s">
        <v>80</v>
      </c>
      <c r="D1406" s="70" t="s">
        <v>229</v>
      </c>
      <c r="E1406" s="69" t="s">
        <v>2524</v>
      </c>
      <c r="F1406" s="69" t="s">
        <v>217</v>
      </c>
      <c r="G1406" s="69" t="s">
        <v>2525</v>
      </c>
      <c r="H1406" s="70">
        <v>2020</v>
      </c>
      <c r="I1406" s="69" t="s">
        <v>63</v>
      </c>
      <c r="J1406" s="69" t="s">
        <v>7206</v>
      </c>
      <c r="K1406" s="71" t="s">
        <v>7207</v>
      </c>
      <c r="L1406" s="71" t="s">
        <v>7208</v>
      </c>
      <c r="M1406" s="71" t="s">
        <v>7209</v>
      </c>
      <c r="N1406" s="69" t="s">
        <v>57</v>
      </c>
      <c r="O1406" s="64">
        <v>1</v>
      </c>
      <c r="P1406" s="72">
        <v>33000000</v>
      </c>
      <c r="Q1406" s="69" t="s">
        <v>2530</v>
      </c>
      <c r="R1406" s="69"/>
      <c r="S1406" s="203" t="s">
        <v>903</v>
      </c>
      <c r="T1406" s="56">
        <v>41</v>
      </c>
      <c r="U1406" s="56">
        <v>3</v>
      </c>
    </row>
    <row r="1407" spans="1:21" ht="14.25" customHeight="1" x14ac:dyDescent="0.35">
      <c r="A1407" s="47">
        <v>1391</v>
      </c>
      <c r="B1407" s="69" t="s">
        <v>79</v>
      </c>
      <c r="C1407" s="69" t="s">
        <v>80</v>
      </c>
      <c r="D1407" s="70" t="s">
        <v>238</v>
      </c>
      <c r="E1407" s="69" t="s">
        <v>2524</v>
      </c>
      <c r="F1407" s="69" t="s">
        <v>217</v>
      </c>
      <c r="G1407" s="69" t="s">
        <v>2525</v>
      </c>
      <c r="H1407" s="70">
        <v>2020</v>
      </c>
      <c r="I1407" s="69" t="s">
        <v>63</v>
      </c>
      <c r="J1407" s="69" t="s">
        <v>7210</v>
      </c>
      <c r="K1407" s="71" t="s">
        <v>7211</v>
      </c>
      <c r="L1407" s="71" t="s">
        <v>7212</v>
      </c>
      <c r="M1407" s="71" t="s">
        <v>7213</v>
      </c>
      <c r="N1407" s="69" t="s">
        <v>57</v>
      </c>
      <c r="O1407" s="64">
        <v>1</v>
      </c>
      <c r="P1407" s="72">
        <v>33000000</v>
      </c>
      <c r="Q1407" s="69" t="s">
        <v>2530</v>
      </c>
      <c r="R1407" s="69"/>
      <c r="S1407" s="203" t="s">
        <v>903</v>
      </c>
      <c r="T1407" s="56">
        <v>41</v>
      </c>
      <c r="U1407" s="56">
        <v>3</v>
      </c>
    </row>
    <row r="1408" spans="1:21" ht="14.25" customHeight="1" thickBot="1" x14ac:dyDescent="0.4">
      <c r="A1408" s="58">
        <v>1392</v>
      </c>
      <c r="B1408" s="69" t="s">
        <v>79</v>
      </c>
      <c r="C1408" s="69" t="s">
        <v>80</v>
      </c>
      <c r="D1408" s="70" t="s">
        <v>244</v>
      </c>
      <c r="E1408" s="69" t="s">
        <v>2524</v>
      </c>
      <c r="F1408" s="69" t="s">
        <v>217</v>
      </c>
      <c r="G1408" s="69" t="s">
        <v>2525</v>
      </c>
      <c r="H1408" s="70">
        <v>2020</v>
      </c>
      <c r="I1408" s="69" t="s">
        <v>63</v>
      </c>
      <c r="J1408" s="69" t="s">
        <v>7214</v>
      </c>
      <c r="K1408" s="71" t="s">
        <v>7215</v>
      </c>
      <c r="L1408" s="71" t="s">
        <v>7216</v>
      </c>
      <c r="M1408" s="71" t="s">
        <v>7217</v>
      </c>
      <c r="N1408" s="69" t="s">
        <v>57</v>
      </c>
      <c r="O1408" s="64">
        <v>1</v>
      </c>
      <c r="P1408" s="72">
        <v>33000000</v>
      </c>
      <c r="Q1408" s="69" t="s">
        <v>2530</v>
      </c>
      <c r="R1408" s="69"/>
      <c r="S1408" s="203" t="s">
        <v>903</v>
      </c>
      <c r="T1408" s="56">
        <v>41</v>
      </c>
      <c r="U1408" s="56">
        <v>3</v>
      </c>
    </row>
    <row r="1409" spans="1:21" ht="14.25" customHeight="1" x14ac:dyDescent="0.35">
      <c r="A1409" s="47">
        <v>1393</v>
      </c>
      <c r="B1409" s="69" t="s">
        <v>79</v>
      </c>
      <c r="C1409" s="69" t="s">
        <v>80</v>
      </c>
      <c r="D1409" s="70" t="s">
        <v>253</v>
      </c>
      <c r="E1409" s="69" t="s">
        <v>2524</v>
      </c>
      <c r="F1409" s="69" t="s">
        <v>217</v>
      </c>
      <c r="G1409" s="69" t="s">
        <v>2525</v>
      </c>
      <c r="H1409" s="70">
        <v>2020</v>
      </c>
      <c r="I1409" s="69" t="s">
        <v>63</v>
      </c>
      <c r="J1409" s="69" t="s">
        <v>7218</v>
      </c>
      <c r="K1409" s="71" t="s">
        <v>7219</v>
      </c>
      <c r="L1409" s="71" t="s">
        <v>7220</v>
      </c>
      <c r="M1409" s="71" t="s">
        <v>7221</v>
      </c>
      <c r="N1409" s="69" t="s">
        <v>57</v>
      </c>
      <c r="O1409" s="64">
        <v>1</v>
      </c>
      <c r="P1409" s="72">
        <v>33000000</v>
      </c>
      <c r="Q1409" s="69" t="s">
        <v>2530</v>
      </c>
      <c r="R1409" s="69"/>
      <c r="S1409" s="203" t="s">
        <v>903</v>
      </c>
      <c r="T1409" s="56">
        <v>41</v>
      </c>
      <c r="U1409" s="56">
        <v>3</v>
      </c>
    </row>
    <row r="1410" spans="1:21" ht="14.25" customHeight="1" thickBot="1" x14ac:dyDescent="0.4">
      <c r="A1410" s="58">
        <v>1394</v>
      </c>
      <c r="B1410" s="69" t="s">
        <v>79</v>
      </c>
      <c r="C1410" s="69" t="s">
        <v>80</v>
      </c>
      <c r="D1410" s="70" t="s">
        <v>259</v>
      </c>
      <c r="E1410" s="69" t="s">
        <v>414</v>
      </c>
      <c r="F1410" s="69" t="s">
        <v>217</v>
      </c>
      <c r="G1410" s="69" t="s">
        <v>415</v>
      </c>
      <c r="H1410" s="70">
        <v>2021</v>
      </c>
      <c r="I1410" s="69" t="s">
        <v>63</v>
      </c>
      <c r="J1410" s="69" t="s">
        <v>7222</v>
      </c>
      <c r="K1410" s="71" t="s">
        <v>63</v>
      </c>
      <c r="L1410" s="71" t="s">
        <v>7223</v>
      </c>
      <c r="M1410" s="71" t="s">
        <v>7224</v>
      </c>
      <c r="N1410" s="69" t="s">
        <v>57</v>
      </c>
      <c r="O1410" s="64">
        <v>1</v>
      </c>
      <c r="P1410" s="72">
        <v>33100000</v>
      </c>
      <c r="Q1410" s="69" t="s">
        <v>420</v>
      </c>
      <c r="R1410" s="69"/>
      <c r="S1410" s="203" t="s">
        <v>903</v>
      </c>
      <c r="T1410" s="56">
        <v>41</v>
      </c>
      <c r="U1410" s="56">
        <v>3</v>
      </c>
    </row>
    <row r="1411" spans="1:21" ht="14.25" customHeight="1" x14ac:dyDescent="0.35">
      <c r="A1411" s="47">
        <v>1395</v>
      </c>
      <c r="B1411" s="69" t="s">
        <v>79</v>
      </c>
      <c r="C1411" s="69" t="s">
        <v>80</v>
      </c>
      <c r="D1411" s="70" t="s">
        <v>264</v>
      </c>
      <c r="E1411" s="69" t="s">
        <v>414</v>
      </c>
      <c r="F1411" s="69" t="s">
        <v>217</v>
      </c>
      <c r="G1411" s="69" t="s">
        <v>415</v>
      </c>
      <c r="H1411" s="70">
        <v>2021</v>
      </c>
      <c r="I1411" s="69" t="s">
        <v>63</v>
      </c>
      <c r="J1411" s="69" t="s">
        <v>7225</v>
      </c>
      <c r="K1411" s="71" t="s">
        <v>7226</v>
      </c>
      <c r="L1411" s="71" t="s">
        <v>7227</v>
      </c>
      <c r="M1411" s="71" t="s">
        <v>7228</v>
      </c>
      <c r="N1411" s="69" t="s">
        <v>57</v>
      </c>
      <c r="O1411" s="64">
        <v>1</v>
      </c>
      <c r="P1411" s="72">
        <v>33100000</v>
      </c>
      <c r="Q1411" s="69" t="s">
        <v>420</v>
      </c>
      <c r="R1411" s="69"/>
      <c r="S1411" s="203" t="s">
        <v>903</v>
      </c>
      <c r="T1411" s="56">
        <v>41</v>
      </c>
      <c r="U1411" s="56">
        <v>3</v>
      </c>
    </row>
    <row r="1412" spans="1:21" ht="14.25" customHeight="1" thickBot="1" x14ac:dyDescent="0.4">
      <c r="A1412" s="58">
        <v>1396</v>
      </c>
      <c r="B1412" s="69" t="s">
        <v>79</v>
      </c>
      <c r="C1412" s="69" t="s">
        <v>80</v>
      </c>
      <c r="D1412" s="70" t="s">
        <v>269</v>
      </c>
      <c r="E1412" s="69" t="s">
        <v>414</v>
      </c>
      <c r="F1412" s="69" t="s">
        <v>217</v>
      </c>
      <c r="G1412" s="69" t="s">
        <v>415</v>
      </c>
      <c r="H1412" s="70">
        <v>2021</v>
      </c>
      <c r="I1412" s="69" t="s">
        <v>63</v>
      </c>
      <c r="J1412" s="69" t="s">
        <v>63</v>
      </c>
      <c r="K1412" s="71" t="s">
        <v>7229</v>
      </c>
      <c r="L1412" s="71" t="s">
        <v>7230</v>
      </c>
      <c r="M1412" s="71" t="s">
        <v>7231</v>
      </c>
      <c r="N1412" s="69" t="s">
        <v>57</v>
      </c>
      <c r="O1412" s="64">
        <v>1</v>
      </c>
      <c r="P1412" s="72">
        <v>33100000</v>
      </c>
      <c r="Q1412" s="69" t="s">
        <v>420</v>
      </c>
      <c r="R1412" s="69"/>
      <c r="S1412" s="203" t="s">
        <v>903</v>
      </c>
      <c r="T1412" s="56">
        <v>41</v>
      </c>
      <c r="U1412" s="56">
        <v>3</v>
      </c>
    </row>
    <row r="1413" spans="1:21" ht="14.25" customHeight="1" x14ac:dyDescent="0.35">
      <c r="A1413" s="47">
        <v>1397</v>
      </c>
      <c r="B1413" s="69" t="s">
        <v>79</v>
      </c>
      <c r="C1413" s="69" t="s">
        <v>80</v>
      </c>
      <c r="D1413" s="70" t="s">
        <v>274</v>
      </c>
      <c r="E1413" s="69" t="s">
        <v>414</v>
      </c>
      <c r="F1413" s="69" t="s">
        <v>217</v>
      </c>
      <c r="G1413" s="69" t="s">
        <v>415</v>
      </c>
      <c r="H1413" s="70">
        <v>2021</v>
      </c>
      <c r="I1413" s="69" t="s">
        <v>63</v>
      </c>
      <c r="J1413" s="69" t="s">
        <v>63</v>
      </c>
      <c r="K1413" s="71" t="s">
        <v>7232</v>
      </c>
      <c r="L1413" s="71" t="s">
        <v>7233</v>
      </c>
      <c r="M1413" s="71" t="s">
        <v>7234</v>
      </c>
      <c r="N1413" s="69" t="s">
        <v>57</v>
      </c>
      <c r="O1413" s="64">
        <v>1</v>
      </c>
      <c r="P1413" s="72">
        <v>33100000</v>
      </c>
      <c r="Q1413" s="69" t="s">
        <v>420</v>
      </c>
      <c r="R1413" s="69"/>
      <c r="S1413" s="203" t="s">
        <v>903</v>
      </c>
      <c r="T1413" s="56">
        <v>41</v>
      </c>
      <c r="U1413" s="56">
        <v>3</v>
      </c>
    </row>
    <row r="1414" spans="1:21" ht="14.25" customHeight="1" thickBot="1" x14ac:dyDescent="0.4">
      <c r="A1414" s="58">
        <v>1398</v>
      </c>
      <c r="B1414" s="69" t="s">
        <v>79</v>
      </c>
      <c r="C1414" s="69" t="s">
        <v>80</v>
      </c>
      <c r="D1414" s="70" t="s">
        <v>280</v>
      </c>
      <c r="E1414" s="69" t="s">
        <v>414</v>
      </c>
      <c r="F1414" s="69" t="s">
        <v>217</v>
      </c>
      <c r="G1414" s="69" t="s">
        <v>415</v>
      </c>
      <c r="H1414" s="70">
        <v>2021</v>
      </c>
      <c r="I1414" s="69" t="s">
        <v>63</v>
      </c>
      <c r="J1414" s="69" t="s">
        <v>63</v>
      </c>
      <c r="K1414" s="71" t="s">
        <v>7235</v>
      </c>
      <c r="L1414" s="71" t="s">
        <v>7236</v>
      </c>
      <c r="M1414" s="71" t="s">
        <v>7237</v>
      </c>
      <c r="N1414" s="69" t="s">
        <v>57</v>
      </c>
      <c r="O1414" s="64">
        <v>1</v>
      </c>
      <c r="P1414" s="72">
        <v>33100000</v>
      </c>
      <c r="Q1414" s="69" t="s">
        <v>420</v>
      </c>
      <c r="R1414" s="69"/>
      <c r="S1414" s="203" t="s">
        <v>903</v>
      </c>
      <c r="T1414" s="56">
        <v>41</v>
      </c>
      <c r="U1414" s="56">
        <v>3</v>
      </c>
    </row>
    <row r="1415" spans="1:21" ht="14.25" customHeight="1" x14ac:dyDescent="0.35">
      <c r="A1415" s="47">
        <v>1399</v>
      </c>
      <c r="B1415" s="69" t="s">
        <v>79</v>
      </c>
      <c r="C1415" s="69" t="s">
        <v>80</v>
      </c>
      <c r="D1415" s="70" t="s">
        <v>286</v>
      </c>
      <c r="E1415" s="69" t="s">
        <v>414</v>
      </c>
      <c r="F1415" s="69" t="s">
        <v>217</v>
      </c>
      <c r="G1415" s="69" t="s">
        <v>415</v>
      </c>
      <c r="H1415" s="70">
        <v>2021</v>
      </c>
      <c r="I1415" s="69" t="s">
        <v>63</v>
      </c>
      <c r="J1415" s="69" t="s">
        <v>63</v>
      </c>
      <c r="K1415" s="71" t="s">
        <v>7238</v>
      </c>
      <c r="L1415" s="71" t="s">
        <v>7239</v>
      </c>
      <c r="M1415" s="71" t="s">
        <v>7240</v>
      </c>
      <c r="N1415" s="69" t="s">
        <v>57</v>
      </c>
      <c r="O1415" s="64">
        <v>1</v>
      </c>
      <c r="P1415" s="72">
        <v>33100000</v>
      </c>
      <c r="Q1415" s="69" t="s">
        <v>420</v>
      </c>
      <c r="R1415" s="69"/>
      <c r="S1415" s="203" t="s">
        <v>903</v>
      </c>
      <c r="T1415" s="56">
        <v>41</v>
      </c>
      <c r="U1415" s="56">
        <v>3</v>
      </c>
    </row>
    <row r="1416" spans="1:21" ht="14.25" customHeight="1" thickBot="1" x14ac:dyDescent="0.4">
      <c r="A1416" s="58">
        <v>1400</v>
      </c>
      <c r="B1416" s="69" t="s">
        <v>79</v>
      </c>
      <c r="C1416" s="69" t="s">
        <v>80</v>
      </c>
      <c r="D1416" s="70" t="s">
        <v>291</v>
      </c>
      <c r="E1416" s="69" t="s">
        <v>414</v>
      </c>
      <c r="F1416" s="69" t="s">
        <v>217</v>
      </c>
      <c r="G1416" s="69" t="s">
        <v>415</v>
      </c>
      <c r="H1416" s="70">
        <v>2021</v>
      </c>
      <c r="I1416" s="69" t="s">
        <v>63</v>
      </c>
      <c r="J1416" s="69" t="s">
        <v>63</v>
      </c>
      <c r="K1416" s="71" t="s">
        <v>7241</v>
      </c>
      <c r="L1416" s="71" t="s">
        <v>7242</v>
      </c>
      <c r="M1416" s="71" t="s">
        <v>7243</v>
      </c>
      <c r="N1416" s="69" t="s">
        <v>57</v>
      </c>
      <c r="O1416" s="64">
        <v>1</v>
      </c>
      <c r="P1416" s="72">
        <v>33100000</v>
      </c>
      <c r="Q1416" s="69" t="s">
        <v>420</v>
      </c>
      <c r="R1416" s="69"/>
      <c r="S1416" s="203" t="s">
        <v>903</v>
      </c>
      <c r="T1416" s="56">
        <v>41</v>
      </c>
      <c r="U1416" s="56">
        <v>3</v>
      </c>
    </row>
    <row r="1417" spans="1:21" ht="14.25" customHeight="1" x14ac:dyDescent="0.35">
      <c r="A1417" s="47">
        <v>1401</v>
      </c>
      <c r="B1417" s="69" t="s">
        <v>79</v>
      </c>
      <c r="C1417" s="69" t="s">
        <v>80</v>
      </c>
      <c r="D1417" s="70" t="s">
        <v>298</v>
      </c>
      <c r="E1417" s="69" t="s">
        <v>414</v>
      </c>
      <c r="F1417" s="69" t="s">
        <v>217</v>
      </c>
      <c r="G1417" s="69" t="s">
        <v>415</v>
      </c>
      <c r="H1417" s="70">
        <v>2021</v>
      </c>
      <c r="I1417" s="69" t="s">
        <v>63</v>
      </c>
      <c r="J1417" s="69" t="s">
        <v>63</v>
      </c>
      <c r="K1417" s="71" t="s">
        <v>7244</v>
      </c>
      <c r="L1417" s="71" t="s">
        <v>7245</v>
      </c>
      <c r="M1417" s="71" t="s">
        <v>7246</v>
      </c>
      <c r="N1417" s="69" t="s">
        <v>57</v>
      </c>
      <c r="O1417" s="64">
        <v>1</v>
      </c>
      <c r="P1417" s="72">
        <v>33100000</v>
      </c>
      <c r="Q1417" s="69" t="s">
        <v>420</v>
      </c>
      <c r="R1417" s="69"/>
      <c r="S1417" s="203" t="s">
        <v>903</v>
      </c>
      <c r="T1417" s="56">
        <v>41</v>
      </c>
      <c r="U1417" s="56">
        <v>3</v>
      </c>
    </row>
    <row r="1418" spans="1:21" ht="14.25" customHeight="1" thickBot="1" x14ac:dyDescent="0.4">
      <c r="A1418" s="58">
        <v>1402</v>
      </c>
      <c r="B1418" s="69" t="s">
        <v>79</v>
      </c>
      <c r="C1418" s="69" t="s">
        <v>80</v>
      </c>
      <c r="D1418" s="70" t="s">
        <v>310</v>
      </c>
      <c r="E1418" s="69" t="s">
        <v>414</v>
      </c>
      <c r="F1418" s="69" t="s">
        <v>217</v>
      </c>
      <c r="G1418" s="69" t="s">
        <v>415</v>
      </c>
      <c r="H1418" s="70">
        <v>2021</v>
      </c>
      <c r="I1418" s="69" t="s">
        <v>63</v>
      </c>
      <c r="J1418" s="69" t="s">
        <v>63</v>
      </c>
      <c r="K1418" s="71" t="s">
        <v>7247</v>
      </c>
      <c r="L1418" s="71" t="s">
        <v>7248</v>
      </c>
      <c r="M1418" s="71" t="s">
        <v>7249</v>
      </c>
      <c r="N1418" s="69" t="s">
        <v>57</v>
      </c>
      <c r="O1418" s="64">
        <v>1</v>
      </c>
      <c r="P1418" s="72">
        <v>33100000</v>
      </c>
      <c r="Q1418" s="69" t="s">
        <v>420</v>
      </c>
      <c r="R1418" s="69"/>
      <c r="S1418" s="203" t="s">
        <v>903</v>
      </c>
      <c r="T1418" s="56">
        <v>41</v>
      </c>
      <c r="U1418" s="56">
        <v>3</v>
      </c>
    </row>
    <row r="1419" spans="1:21" ht="14.25" customHeight="1" x14ac:dyDescent="0.35">
      <c r="A1419" s="47">
        <v>1403</v>
      </c>
      <c r="B1419" s="69" t="s">
        <v>79</v>
      </c>
      <c r="C1419" s="69" t="s">
        <v>80</v>
      </c>
      <c r="D1419" s="70" t="s">
        <v>319</v>
      </c>
      <c r="E1419" s="69" t="s">
        <v>414</v>
      </c>
      <c r="F1419" s="69" t="s">
        <v>217</v>
      </c>
      <c r="G1419" s="69" t="s">
        <v>415</v>
      </c>
      <c r="H1419" s="70">
        <v>2021</v>
      </c>
      <c r="I1419" s="69" t="s">
        <v>63</v>
      </c>
      <c r="J1419" s="69" t="s">
        <v>63</v>
      </c>
      <c r="K1419" s="71" t="s">
        <v>7250</v>
      </c>
      <c r="L1419" s="71" t="s">
        <v>7251</v>
      </c>
      <c r="M1419" s="71" t="s">
        <v>7252</v>
      </c>
      <c r="N1419" s="69" t="s">
        <v>57</v>
      </c>
      <c r="O1419" s="64">
        <v>1</v>
      </c>
      <c r="P1419" s="72">
        <v>33100000</v>
      </c>
      <c r="Q1419" s="69" t="s">
        <v>420</v>
      </c>
      <c r="R1419" s="69"/>
      <c r="S1419" s="203" t="s">
        <v>903</v>
      </c>
      <c r="T1419" s="56">
        <v>41</v>
      </c>
      <c r="U1419" s="56">
        <v>3</v>
      </c>
    </row>
    <row r="1420" spans="1:21" ht="14.25" customHeight="1" thickBot="1" x14ac:dyDescent="0.4">
      <c r="A1420" s="58">
        <v>1404</v>
      </c>
      <c r="B1420" s="69" t="s">
        <v>79</v>
      </c>
      <c r="C1420" s="69" t="s">
        <v>80</v>
      </c>
      <c r="D1420" s="70" t="s">
        <v>325</v>
      </c>
      <c r="E1420" s="69" t="s">
        <v>414</v>
      </c>
      <c r="F1420" s="69" t="s">
        <v>217</v>
      </c>
      <c r="G1420" s="69" t="s">
        <v>415</v>
      </c>
      <c r="H1420" s="70">
        <v>2021</v>
      </c>
      <c r="I1420" s="69" t="s">
        <v>63</v>
      </c>
      <c r="J1420" s="69" t="s">
        <v>63</v>
      </c>
      <c r="K1420" s="71" t="s">
        <v>7253</v>
      </c>
      <c r="L1420" s="71" t="s">
        <v>7254</v>
      </c>
      <c r="M1420" s="71" t="s">
        <v>7255</v>
      </c>
      <c r="N1420" s="69" t="s">
        <v>57</v>
      </c>
      <c r="O1420" s="64">
        <v>1</v>
      </c>
      <c r="P1420" s="72">
        <v>33100000</v>
      </c>
      <c r="Q1420" s="69" t="s">
        <v>420</v>
      </c>
      <c r="R1420" s="69"/>
      <c r="S1420" s="203" t="s">
        <v>903</v>
      </c>
      <c r="T1420" s="56">
        <v>41</v>
      </c>
      <c r="U1420" s="56">
        <v>3</v>
      </c>
    </row>
    <row r="1421" spans="1:21" ht="14.25" customHeight="1" x14ac:dyDescent="0.35">
      <c r="A1421" s="47">
        <v>1405</v>
      </c>
      <c r="B1421" s="69" t="s">
        <v>79</v>
      </c>
      <c r="C1421" s="69" t="s">
        <v>80</v>
      </c>
      <c r="D1421" s="70" t="s">
        <v>332</v>
      </c>
      <c r="E1421" s="69" t="s">
        <v>414</v>
      </c>
      <c r="F1421" s="69" t="s">
        <v>217</v>
      </c>
      <c r="G1421" s="69" t="s">
        <v>415</v>
      </c>
      <c r="H1421" s="70">
        <v>2021</v>
      </c>
      <c r="I1421" s="69" t="s">
        <v>63</v>
      </c>
      <c r="J1421" s="69" t="s">
        <v>63</v>
      </c>
      <c r="K1421" s="71" t="s">
        <v>7256</v>
      </c>
      <c r="L1421" s="71" t="s">
        <v>7257</v>
      </c>
      <c r="M1421" s="71" t="s">
        <v>7258</v>
      </c>
      <c r="N1421" s="69" t="s">
        <v>57</v>
      </c>
      <c r="O1421" s="64">
        <v>1</v>
      </c>
      <c r="P1421" s="72">
        <v>33100000</v>
      </c>
      <c r="Q1421" s="69" t="s">
        <v>420</v>
      </c>
      <c r="R1421" s="69"/>
      <c r="S1421" s="203" t="s">
        <v>903</v>
      </c>
      <c r="T1421" s="56">
        <v>41</v>
      </c>
      <c r="U1421" s="56">
        <v>3</v>
      </c>
    </row>
    <row r="1422" spans="1:21" ht="14.25" customHeight="1" thickBot="1" x14ac:dyDescent="0.4">
      <c r="A1422" s="58">
        <v>1406</v>
      </c>
      <c r="B1422" s="69" t="s">
        <v>79</v>
      </c>
      <c r="C1422" s="69" t="s">
        <v>80</v>
      </c>
      <c r="D1422" s="70" t="s">
        <v>338</v>
      </c>
      <c r="E1422" s="69" t="s">
        <v>414</v>
      </c>
      <c r="F1422" s="69" t="s">
        <v>217</v>
      </c>
      <c r="G1422" s="69" t="s">
        <v>415</v>
      </c>
      <c r="H1422" s="70">
        <v>2021</v>
      </c>
      <c r="I1422" s="69" t="s">
        <v>63</v>
      </c>
      <c r="J1422" s="69" t="s">
        <v>63</v>
      </c>
      <c r="K1422" s="71" t="s">
        <v>7259</v>
      </c>
      <c r="L1422" s="71" t="s">
        <v>7260</v>
      </c>
      <c r="M1422" s="71" t="s">
        <v>7261</v>
      </c>
      <c r="N1422" s="69" t="s">
        <v>57</v>
      </c>
      <c r="O1422" s="64">
        <v>1</v>
      </c>
      <c r="P1422" s="72">
        <v>33100000</v>
      </c>
      <c r="Q1422" s="69" t="s">
        <v>420</v>
      </c>
      <c r="R1422" s="69"/>
      <c r="S1422" s="203" t="s">
        <v>903</v>
      </c>
      <c r="T1422" s="56">
        <v>41</v>
      </c>
      <c r="U1422" s="56">
        <v>3</v>
      </c>
    </row>
    <row r="1423" spans="1:21" ht="14.25" customHeight="1" x14ac:dyDescent="0.35">
      <c r="A1423" s="47">
        <v>1407</v>
      </c>
      <c r="B1423" s="69" t="s">
        <v>79</v>
      </c>
      <c r="C1423" s="69" t="s">
        <v>80</v>
      </c>
      <c r="D1423" s="70" t="s">
        <v>343</v>
      </c>
      <c r="E1423" s="69" t="s">
        <v>414</v>
      </c>
      <c r="F1423" s="69" t="s">
        <v>217</v>
      </c>
      <c r="G1423" s="69" t="s">
        <v>415</v>
      </c>
      <c r="H1423" s="70">
        <v>2021</v>
      </c>
      <c r="I1423" s="69" t="s">
        <v>63</v>
      </c>
      <c r="J1423" s="69" t="s">
        <v>7262</v>
      </c>
      <c r="K1423" s="71" t="s">
        <v>7263</v>
      </c>
      <c r="L1423" s="71" t="s">
        <v>7264</v>
      </c>
      <c r="M1423" s="71" t="s">
        <v>7265</v>
      </c>
      <c r="N1423" s="69" t="s">
        <v>57</v>
      </c>
      <c r="O1423" s="64">
        <v>1</v>
      </c>
      <c r="P1423" s="72">
        <v>33100000</v>
      </c>
      <c r="Q1423" s="69" t="s">
        <v>420</v>
      </c>
      <c r="R1423" s="69"/>
      <c r="S1423" s="203" t="s">
        <v>903</v>
      </c>
      <c r="T1423" s="56">
        <v>41</v>
      </c>
      <c r="U1423" s="56">
        <v>3</v>
      </c>
    </row>
    <row r="1424" spans="1:21" ht="14.25" customHeight="1" thickBot="1" x14ac:dyDescent="0.4">
      <c r="A1424" s="58">
        <v>1408</v>
      </c>
      <c r="B1424" s="69" t="s">
        <v>79</v>
      </c>
      <c r="C1424" s="69" t="s">
        <v>80</v>
      </c>
      <c r="D1424" s="70" t="s">
        <v>348</v>
      </c>
      <c r="E1424" s="69" t="s">
        <v>414</v>
      </c>
      <c r="F1424" s="69" t="s">
        <v>217</v>
      </c>
      <c r="G1424" s="69" t="s">
        <v>415</v>
      </c>
      <c r="H1424" s="70">
        <v>2021</v>
      </c>
      <c r="I1424" s="69" t="s">
        <v>63</v>
      </c>
      <c r="J1424" s="69" t="s">
        <v>63</v>
      </c>
      <c r="K1424" s="71" t="s">
        <v>7266</v>
      </c>
      <c r="L1424" s="71" t="s">
        <v>7267</v>
      </c>
      <c r="M1424" s="71" t="s">
        <v>7268</v>
      </c>
      <c r="N1424" s="69" t="s">
        <v>57</v>
      </c>
      <c r="O1424" s="64">
        <v>1</v>
      </c>
      <c r="P1424" s="72">
        <v>33100000</v>
      </c>
      <c r="Q1424" s="69" t="s">
        <v>420</v>
      </c>
      <c r="R1424" s="69"/>
      <c r="S1424" s="203" t="s">
        <v>903</v>
      </c>
      <c r="T1424" s="56">
        <v>41</v>
      </c>
      <c r="U1424" s="56">
        <v>3</v>
      </c>
    </row>
    <row r="1425" spans="1:21" ht="14.25" customHeight="1" x14ac:dyDescent="0.35">
      <c r="A1425" s="47">
        <v>1409</v>
      </c>
      <c r="B1425" s="69" t="s">
        <v>79</v>
      </c>
      <c r="C1425" s="69" t="s">
        <v>80</v>
      </c>
      <c r="D1425" s="70" t="s">
        <v>353</v>
      </c>
      <c r="E1425" s="69" t="s">
        <v>414</v>
      </c>
      <c r="F1425" s="69" t="s">
        <v>217</v>
      </c>
      <c r="G1425" s="69" t="s">
        <v>415</v>
      </c>
      <c r="H1425" s="70">
        <v>2021</v>
      </c>
      <c r="I1425" s="69" t="s">
        <v>63</v>
      </c>
      <c r="J1425" s="69" t="s">
        <v>63</v>
      </c>
      <c r="K1425" s="71" t="s">
        <v>7269</v>
      </c>
      <c r="L1425" s="71" t="s">
        <v>7270</v>
      </c>
      <c r="M1425" s="71" t="s">
        <v>7271</v>
      </c>
      <c r="N1425" s="69" t="s">
        <v>57</v>
      </c>
      <c r="O1425" s="64">
        <v>1</v>
      </c>
      <c r="P1425" s="72">
        <v>33100000</v>
      </c>
      <c r="Q1425" s="69" t="s">
        <v>420</v>
      </c>
      <c r="R1425" s="69"/>
      <c r="S1425" s="203" t="s">
        <v>903</v>
      </c>
      <c r="T1425" s="56">
        <v>41</v>
      </c>
      <c r="U1425" s="56">
        <v>3</v>
      </c>
    </row>
    <row r="1426" spans="1:21" ht="14.25" customHeight="1" thickBot="1" x14ac:dyDescent="0.4">
      <c r="A1426" s="58">
        <v>1410</v>
      </c>
      <c r="B1426" s="69" t="s">
        <v>79</v>
      </c>
      <c r="C1426" s="69" t="s">
        <v>80</v>
      </c>
      <c r="D1426" s="70" t="s">
        <v>359</v>
      </c>
      <c r="E1426" s="69" t="s">
        <v>414</v>
      </c>
      <c r="F1426" s="69" t="s">
        <v>217</v>
      </c>
      <c r="G1426" s="69" t="s">
        <v>415</v>
      </c>
      <c r="H1426" s="70">
        <v>2021</v>
      </c>
      <c r="I1426" s="69" t="s">
        <v>63</v>
      </c>
      <c r="J1426" s="69" t="s">
        <v>63</v>
      </c>
      <c r="K1426" s="71" t="s">
        <v>7272</v>
      </c>
      <c r="L1426" s="71" t="s">
        <v>7273</v>
      </c>
      <c r="M1426" s="71" t="s">
        <v>7274</v>
      </c>
      <c r="N1426" s="69" t="s">
        <v>57</v>
      </c>
      <c r="O1426" s="64">
        <v>1</v>
      </c>
      <c r="P1426" s="72">
        <v>33100000</v>
      </c>
      <c r="Q1426" s="69" t="s">
        <v>420</v>
      </c>
      <c r="R1426" s="69"/>
      <c r="S1426" s="203" t="s">
        <v>903</v>
      </c>
      <c r="T1426" s="56">
        <v>41</v>
      </c>
      <c r="U1426" s="56">
        <v>3</v>
      </c>
    </row>
    <row r="1427" spans="1:21" ht="14.25" customHeight="1" x14ac:dyDescent="0.35">
      <c r="A1427" s="47">
        <v>1411</v>
      </c>
      <c r="B1427" s="69" t="s">
        <v>79</v>
      </c>
      <c r="C1427" s="69" t="s">
        <v>80</v>
      </c>
      <c r="D1427" s="70" t="s">
        <v>366</v>
      </c>
      <c r="E1427" s="69" t="s">
        <v>414</v>
      </c>
      <c r="F1427" s="69" t="s">
        <v>217</v>
      </c>
      <c r="G1427" s="69" t="s">
        <v>415</v>
      </c>
      <c r="H1427" s="70">
        <v>2021</v>
      </c>
      <c r="I1427" s="69" t="s">
        <v>63</v>
      </c>
      <c r="J1427" s="69" t="s">
        <v>63</v>
      </c>
      <c r="K1427" s="71" t="s">
        <v>7275</v>
      </c>
      <c r="L1427" s="71" t="s">
        <v>7276</v>
      </c>
      <c r="M1427" s="71" t="s">
        <v>7277</v>
      </c>
      <c r="N1427" s="69" t="s">
        <v>57</v>
      </c>
      <c r="O1427" s="64">
        <v>1</v>
      </c>
      <c r="P1427" s="72">
        <v>33100000</v>
      </c>
      <c r="Q1427" s="69" t="s">
        <v>420</v>
      </c>
      <c r="R1427" s="69"/>
      <c r="S1427" s="203" t="s">
        <v>903</v>
      </c>
      <c r="T1427" s="56">
        <v>41</v>
      </c>
      <c r="U1427" s="56">
        <v>3</v>
      </c>
    </row>
    <row r="1428" spans="1:21" ht="14.25" customHeight="1" thickBot="1" x14ac:dyDescent="0.4">
      <c r="A1428" s="58">
        <v>1412</v>
      </c>
      <c r="B1428" s="69" t="s">
        <v>79</v>
      </c>
      <c r="C1428" s="69" t="s">
        <v>80</v>
      </c>
      <c r="D1428" s="70" t="s">
        <v>371</v>
      </c>
      <c r="E1428" s="69" t="s">
        <v>414</v>
      </c>
      <c r="F1428" s="69" t="s">
        <v>217</v>
      </c>
      <c r="G1428" s="69" t="s">
        <v>415</v>
      </c>
      <c r="H1428" s="70">
        <v>2021</v>
      </c>
      <c r="I1428" s="69" t="s">
        <v>63</v>
      </c>
      <c r="J1428" s="69" t="s">
        <v>63</v>
      </c>
      <c r="K1428" s="71" t="s">
        <v>7278</v>
      </c>
      <c r="L1428" s="71" t="s">
        <v>7279</v>
      </c>
      <c r="M1428" s="71" t="s">
        <v>7280</v>
      </c>
      <c r="N1428" s="69" t="s">
        <v>57</v>
      </c>
      <c r="O1428" s="64">
        <v>1</v>
      </c>
      <c r="P1428" s="72">
        <v>33100000</v>
      </c>
      <c r="Q1428" s="69" t="s">
        <v>420</v>
      </c>
      <c r="R1428" s="69"/>
      <c r="S1428" s="203" t="s">
        <v>903</v>
      </c>
      <c r="T1428" s="56">
        <v>41</v>
      </c>
      <c r="U1428" s="56">
        <v>3</v>
      </c>
    </row>
    <row r="1429" spans="1:21" ht="14.25" customHeight="1" x14ac:dyDescent="0.35">
      <c r="A1429" s="47">
        <v>1413</v>
      </c>
      <c r="B1429" s="69" t="s">
        <v>79</v>
      </c>
      <c r="C1429" s="69" t="s">
        <v>80</v>
      </c>
      <c r="D1429" s="70" t="s">
        <v>376</v>
      </c>
      <c r="E1429" s="69" t="s">
        <v>414</v>
      </c>
      <c r="F1429" s="69" t="s">
        <v>217</v>
      </c>
      <c r="G1429" s="69" t="s">
        <v>415</v>
      </c>
      <c r="H1429" s="70">
        <v>2021</v>
      </c>
      <c r="I1429" s="69" t="s">
        <v>63</v>
      </c>
      <c r="J1429" s="69" t="s">
        <v>63</v>
      </c>
      <c r="K1429" s="71" t="s">
        <v>7281</v>
      </c>
      <c r="L1429" s="71" t="s">
        <v>7282</v>
      </c>
      <c r="M1429" s="71" t="s">
        <v>7283</v>
      </c>
      <c r="N1429" s="69" t="s">
        <v>57</v>
      </c>
      <c r="O1429" s="64">
        <v>1</v>
      </c>
      <c r="P1429" s="72">
        <v>33100000</v>
      </c>
      <c r="Q1429" s="69" t="s">
        <v>420</v>
      </c>
      <c r="R1429" s="69"/>
      <c r="S1429" s="203" t="s">
        <v>903</v>
      </c>
      <c r="T1429" s="56">
        <v>41</v>
      </c>
      <c r="U1429" s="56">
        <v>3</v>
      </c>
    </row>
    <row r="1430" spans="1:21" ht="14.25" customHeight="1" thickBot="1" x14ac:dyDescent="0.4">
      <c r="A1430" s="58">
        <v>1414</v>
      </c>
      <c r="B1430" s="69" t="s">
        <v>79</v>
      </c>
      <c r="C1430" s="69" t="s">
        <v>80</v>
      </c>
      <c r="D1430" s="70" t="s">
        <v>392</v>
      </c>
      <c r="E1430" s="69" t="s">
        <v>414</v>
      </c>
      <c r="F1430" s="69" t="s">
        <v>217</v>
      </c>
      <c r="G1430" s="69" t="s">
        <v>415</v>
      </c>
      <c r="H1430" s="70">
        <v>2021</v>
      </c>
      <c r="I1430" s="69" t="s">
        <v>63</v>
      </c>
      <c r="J1430" s="69" t="s">
        <v>63</v>
      </c>
      <c r="K1430" s="71" t="s">
        <v>7284</v>
      </c>
      <c r="L1430" s="71" t="s">
        <v>7285</v>
      </c>
      <c r="M1430" s="71" t="s">
        <v>7286</v>
      </c>
      <c r="N1430" s="69" t="s">
        <v>57</v>
      </c>
      <c r="O1430" s="64">
        <v>1</v>
      </c>
      <c r="P1430" s="72">
        <v>33100000</v>
      </c>
      <c r="Q1430" s="69" t="s">
        <v>420</v>
      </c>
      <c r="R1430" s="69"/>
      <c r="S1430" s="203" t="s">
        <v>903</v>
      </c>
      <c r="T1430" s="56">
        <v>41</v>
      </c>
      <c r="U1430" s="56">
        <v>3</v>
      </c>
    </row>
    <row r="1431" spans="1:21" ht="14.25" customHeight="1" x14ac:dyDescent="0.35">
      <c r="A1431" s="47">
        <v>1415</v>
      </c>
      <c r="B1431" s="69" t="s">
        <v>79</v>
      </c>
      <c r="C1431" s="69" t="s">
        <v>80</v>
      </c>
      <c r="D1431" s="70" t="s">
        <v>403</v>
      </c>
      <c r="E1431" s="69" t="s">
        <v>414</v>
      </c>
      <c r="F1431" s="69" t="s">
        <v>217</v>
      </c>
      <c r="G1431" s="69" t="s">
        <v>415</v>
      </c>
      <c r="H1431" s="70">
        <v>2021</v>
      </c>
      <c r="I1431" s="69" t="s">
        <v>63</v>
      </c>
      <c r="J1431" s="69" t="s">
        <v>63</v>
      </c>
      <c r="K1431" s="71" t="s">
        <v>7287</v>
      </c>
      <c r="L1431" s="71" t="s">
        <v>7288</v>
      </c>
      <c r="M1431" s="71" t="s">
        <v>7289</v>
      </c>
      <c r="N1431" s="69" t="s">
        <v>57</v>
      </c>
      <c r="O1431" s="64">
        <v>1</v>
      </c>
      <c r="P1431" s="72">
        <v>33100000</v>
      </c>
      <c r="Q1431" s="69" t="s">
        <v>420</v>
      </c>
      <c r="R1431" s="69"/>
      <c r="S1431" s="203" t="s">
        <v>903</v>
      </c>
      <c r="T1431" s="56">
        <v>41</v>
      </c>
      <c r="U1431" s="56">
        <v>3</v>
      </c>
    </row>
    <row r="1432" spans="1:21" ht="14.25" customHeight="1" thickBot="1" x14ac:dyDescent="0.4">
      <c r="A1432" s="58">
        <v>1416</v>
      </c>
      <c r="B1432" s="69" t="s">
        <v>79</v>
      </c>
      <c r="C1432" s="69" t="s">
        <v>80</v>
      </c>
      <c r="D1432" s="70" t="s">
        <v>408</v>
      </c>
      <c r="E1432" s="69" t="s">
        <v>414</v>
      </c>
      <c r="F1432" s="69" t="s">
        <v>217</v>
      </c>
      <c r="G1432" s="69" t="s">
        <v>415</v>
      </c>
      <c r="H1432" s="70">
        <v>2021</v>
      </c>
      <c r="I1432" s="69" t="s">
        <v>63</v>
      </c>
      <c r="J1432" s="69" t="s">
        <v>63</v>
      </c>
      <c r="K1432" s="71" t="s">
        <v>7290</v>
      </c>
      <c r="L1432" s="71" t="s">
        <v>7291</v>
      </c>
      <c r="M1432" s="71" t="s">
        <v>7292</v>
      </c>
      <c r="N1432" s="69" t="s">
        <v>57</v>
      </c>
      <c r="O1432" s="64">
        <v>1</v>
      </c>
      <c r="P1432" s="72">
        <v>33100000</v>
      </c>
      <c r="Q1432" s="69" t="s">
        <v>420</v>
      </c>
      <c r="R1432" s="69"/>
      <c r="S1432" s="203" t="s">
        <v>903</v>
      </c>
      <c r="T1432" s="56">
        <v>41</v>
      </c>
      <c r="U1432" s="56">
        <v>3</v>
      </c>
    </row>
    <row r="1433" spans="1:21" ht="14.25" customHeight="1" x14ac:dyDescent="0.35">
      <c r="A1433" s="47">
        <v>1417</v>
      </c>
      <c r="B1433" s="69" t="s">
        <v>79</v>
      </c>
      <c r="C1433" s="69" t="s">
        <v>80</v>
      </c>
      <c r="D1433" s="70" t="s">
        <v>413</v>
      </c>
      <c r="E1433" s="69" t="s">
        <v>414</v>
      </c>
      <c r="F1433" s="69" t="s">
        <v>217</v>
      </c>
      <c r="G1433" s="69" t="s">
        <v>415</v>
      </c>
      <c r="H1433" s="70">
        <v>2021</v>
      </c>
      <c r="I1433" s="69" t="s">
        <v>63</v>
      </c>
      <c r="J1433" s="69" t="s">
        <v>63</v>
      </c>
      <c r="K1433" s="71" t="s">
        <v>7293</v>
      </c>
      <c r="L1433" s="71" t="s">
        <v>7294</v>
      </c>
      <c r="M1433" s="71" t="s">
        <v>7295</v>
      </c>
      <c r="N1433" s="69" t="s">
        <v>57</v>
      </c>
      <c r="O1433" s="64">
        <v>1</v>
      </c>
      <c r="P1433" s="72">
        <v>33100000</v>
      </c>
      <c r="Q1433" s="69" t="s">
        <v>420</v>
      </c>
      <c r="R1433" s="69"/>
      <c r="S1433" s="203" t="s">
        <v>903</v>
      </c>
      <c r="T1433" s="56">
        <v>41</v>
      </c>
      <c r="U1433" s="56">
        <v>3</v>
      </c>
    </row>
    <row r="1434" spans="1:21" ht="14.25" customHeight="1" thickBot="1" x14ac:dyDescent="0.4">
      <c r="A1434" s="58">
        <v>1418</v>
      </c>
      <c r="B1434" s="69" t="s">
        <v>79</v>
      </c>
      <c r="C1434" s="69" t="s">
        <v>80</v>
      </c>
      <c r="D1434" s="70" t="s">
        <v>3141</v>
      </c>
      <c r="E1434" s="69" t="s">
        <v>414</v>
      </c>
      <c r="F1434" s="69" t="s">
        <v>217</v>
      </c>
      <c r="G1434" s="69" t="s">
        <v>415</v>
      </c>
      <c r="H1434" s="70">
        <v>2021</v>
      </c>
      <c r="I1434" s="69" t="s">
        <v>63</v>
      </c>
      <c r="J1434" s="69" t="s">
        <v>63</v>
      </c>
      <c r="K1434" s="71" t="s">
        <v>7296</v>
      </c>
      <c r="L1434" s="71" t="s">
        <v>7297</v>
      </c>
      <c r="M1434" s="71" t="s">
        <v>7298</v>
      </c>
      <c r="N1434" s="69" t="s">
        <v>57</v>
      </c>
      <c r="O1434" s="64">
        <v>1</v>
      </c>
      <c r="P1434" s="72">
        <v>33100000</v>
      </c>
      <c r="Q1434" s="69" t="s">
        <v>420</v>
      </c>
      <c r="R1434" s="69"/>
      <c r="S1434" s="203" t="s">
        <v>903</v>
      </c>
      <c r="T1434" s="56">
        <v>41</v>
      </c>
      <c r="U1434" s="56">
        <v>3</v>
      </c>
    </row>
    <row r="1435" spans="1:21" ht="14.25" customHeight="1" x14ac:dyDescent="0.35">
      <c r="A1435" s="47">
        <v>1419</v>
      </c>
      <c r="B1435" s="69" t="s">
        <v>79</v>
      </c>
      <c r="C1435" s="69" t="s">
        <v>80</v>
      </c>
      <c r="D1435" s="70" t="s">
        <v>1450</v>
      </c>
      <c r="E1435" s="69" t="s">
        <v>414</v>
      </c>
      <c r="F1435" s="69" t="s">
        <v>217</v>
      </c>
      <c r="G1435" s="69" t="s">
        <v>415</v>
      </c>
      <c r="H1435" s="70">
        <v>2021</v>
      </c>
      <c r="I1435" s="69" t="s">
        <v>63</v>
      </c>
      <c r="J1435" s="69" t="s">
        <v>63</v>
      </c>
      <c r="K1435" s="71" t="s">
        <v>7299</v>
      </c>
      <c r="L1435" s="71" t="s">
        <v>7300</v>
      </c>
      <c r="M1435" s="71" t="s">
        <v>7301</v>
      </c>
      <c r="N1435" s="69" t="s">
        <v>57</v>
      </c>
      <c r="O1435" s="64">
        <v>1</v>
      </c>
      <c r="P1435" s="72">
        <v>33100000</v>
      </c>
      <c r="Q1435" s="69" t="s">
        <v>420</v>
      </c>
      <c r="R1435" s="69"/>
      <c r="S1435" s="203" t="s">
        <v>903</v>
      </c>
      <c r="T1435" s="56">
        <v>41</v>
      </c>
      <c r="U1435" s="56">
        <v>3</v>
      </c>
    </row>
    <row r="1436" spans="1:21" ht="14.25" customHeight="1" thickBot="1" x14ac:dyDescent="0.4">
      <c r="A1436" s="58">
        <v>1420</v>
      </c>
      <c r="B1436" s="69" t="s">
        <v>79</v>
      </c>
      <c r="C1436" s="69" t="s">
        <v>80</v>
      </c>
      <c r="D1436" s="70" t="s">
        <v>1456</v>
      </c>
      <c r="E1436" s="69" t="s">
        <v>414</v>
      </c>
      <c r="F1436" s="69" t="s">
        <v>217</v>
      </c>
      <c r="G1436" s="69" t="s">
        <v>415</v>
      </c>
      <c r="H1436" s="70">
        <v>2021</v>
      </c>
      <c r="I1436" s="69" t="s">
        <v>63</v>
      </c>
      <c r="J1436" s="69" t="s">
        <v>63</v>
      </c>
      <c r="K1436" s="71" t="s">
        <v>7302</v>
      </c>
      <c r="L1436" s="71" t="s">
        <v>7303</v>
      </c>
      <c r="M1436" s="71" t="s">
        <v>7304</v>
      </c>
      <c r="N1436" s="69" t="s">
        <v>57</v>
      </c>
      <c r="O1436" s="64">
        <v>1</v>
      </c>
      <c r="P1436" s="72">
        <v>33100000</v>
      </c>
      <c r="Q1436" s="69" t="s">
        <v>420</v>
      </c>
      <c r="R1436" s="69"/>
      <c r="S1436" s="203" t="s">
        <v>903</v>
      </c>
      <c r="T1436" s="56">
        <v>41</v>
      </c>
      <c r="U1436" s="56">
        <v>3</v>
      </c>
    </row>
    <row r="1437" spans="1:21" ht="14.25" customHeight="1" x14ac:dyDescent="0.35">
      <c r="A1437" s="47">
        <v>1421</v>
      </c>
      <c r="B1437" s="69" t="s">
        <v>79</v>
      </c>
      <c r="C1437" s="69" t="s">
        <v>80</v>
      </c>
      <c r="D1437" s="70" t="s">
        <v>1462</v>
      </c>
      <c r="E1437" s="69" t="s">
        <v>414</v>
      </c>
      <c r="F1437" s="69" t="s">
        <v>217</v>
      </c>
      <c r="G1437" s="69" t="s">
        <v>415</v>
      </c>
      <c r="H1437" s="70">
        <v>2021</v>
      </c>
      <c r="I1437" s="69" t="s">
        <v>63</v>
      </c>
      <c r="J1437" s="69" t="s">
        <v>63</v>
      </c>
      <c r="K1437" s="71" t="s">
        <v>7305</v>
      </c>
      <c r="L1437" s="71" t="s">
        <v>7306</v>
      </c>
      <c r="M1437" s="71" t="s">
        <v>7307</v>
      </c>
      <c r="N1437" s="69" t="s">
        <v>57</v>
      </c>
      <c r="O1437" s="64">
        <v>1</v>
      </c>
      <c r="P1437" s="72">
        <v>33100000</v>
      </c>
      <c r="Q1437" s="69" t="s">
        <v>420</v>
      </c>
      <c r="R1437" s="69"/>
      <c r="S1437" s="203" t="s">
        <v>903</v>
      </c>
      <c r="T1437" s="56">
        <v>41</v>
      </c>
      <c r="U1437" s="56">
        <v>3</v>
      </c>
    </row>
    <row r="1438" spans="1:21" ht="14.25" customHeight="1" thickBot="1" x14ac:dyDescent="0.4">
      <c r="A1438" s="58">
        <v>1422</v>
      </c>
      <c r="B1438" s="69" t="s">
        <v>79</v>
      </c>
      <c r="C1438" s="69" t="s">
        <v>80</v>
      </c>
      <c r="D1438" s="70" t="s">
        <v>1469</v>
      </c>
      <c r="E1438" s="69" t="s">
        <v>414</v>
      </c>
      <c r="F1438" s="69" t="s">
        <v>217</v>
      </c>
      <c r="G1438" s="69" t="s">
        <v>415</v>
      </c>
      <c r="H1438" s="70">
        <v>2021</v>
      </c>
      <c r="I1438" s="69" t="s">
        <v>63</v>
      </c>
      <c r="J1438" s="69" t="s">
        <v>63</v>
      </c>
      <c r="K1438" s="71" t="s">
        <v>7308</v>
      </c>
      <c r="L1438" s="71" t="s">
        <v>7309</v>
      </c>
      <c r="M1438" s="71" t="s">
        <v>7310</v>
      </c>
      <c r="N1438" s="69" t="s">
        <v>57</v>
      </c>
      <c r="O1438" s="64">
        <v>1</v>
      </c>
      <c r="P1438" s="72">
        <v>33100000</v>
      </c>
      <c r="Q1438" s="69" t="s">
        <v>420</v>
      </c>
      <c r="R1438" s="69"/>
      <c r="S1438" s="203" t="s">
        <v>903</v>
      </c>
      <c r="T1438" s="56">
        <v>41</v>
      </c>
      <c r="U1438" s="56">
        <v>3</v>
      </c>
    </row>
    <row r="1439" spans="1:21" ht="14.25" customHeight="1" x14ac:dyDescent="0.35">
      <c r="A1439" s="47">
        <v>1423</v>
      </c>
      <c r="B1439" s="69" t="s">
        <v>79</v>
      </c>
      <c r="C1439" s="69" t="s">
        <v>80</v>
      </c>
      <c r="D1439" s="70" t="s">
        <v>1475</v>
      </c>
      <c r="E1439" s="69" t="s">
        <v>414</v>
      </c>
      <c r="F1439" s="69" t="s">
        <v>217</v>
      </c>
      <c r="G1439" s="69" t="s">
        <v>415</v>
      </c>
      <c r="H1439" s="70">
        <v>2021</v>
      </c>
      <c r="I1439" s="69" t="s">
        <v>63</v>
      </c>
      <c r="J1439" s="69" t="s">
        <v>63</v>
      </c>
      <c r="K1439" s="71" t="s">
        <v>7311</v>
      </c>
      <c r="L1439" s="71" t="s">
        <v>7312</v>
      </c>
      <c r="M1439" s="71" t="s">
        <v>7313</v>
      </c>
      <c r="N1439" s="69" t="s">
        <v>57</v>
      </c>
      <c r="O1439" s="64">
        <v>1</v>
      </c>
      <c r="P1439" s="72">
        <v>33100000</v>
      </c>
      <c r="Q1439" s="69" t="s">
        <v>420</v>
      </c>
      <c r="R1439" s="69"/>
      <c r="S1439" s="203" t="s">
        <v>903</v>
      </c>
      <c r="T1439" s="56">
        <v>41</v>
      </c>
      <c r="U1439" s="56">
        <v>3</v>
      </c>
    </row>
    <row r="1440" spans="1:21" ht="14.25" customHeight="1" thickBot="1" x14ac:dyDescent="0.4">
      <c r="A1440" s="58">
        <v>1424</v>
      </c>
      <c r="B1440" s="69" t="s">
        <v>79</v>
      </c>
      <c r="C1440" s="69" t="s">
        <v>80</v>
      </c>
      <c r="D1440" s="70" t="s">
        <v>1480</v>
      </c>
      <c r="E1440" s="69" t="s">
        <v>414</v>
      </c>
      <c r="F1440" s="69" t="s">
        <v>217</v>
      </c>
      <c r="G1440" s="69" t="s">
        <v>415</v>
      </c>
      <c r="H1440" s="70">
        <v>2021</v>
      </c>
      <c r="I1440" s="69" t="s">
        <v>63</v>
      </c>
      <c r="J1440" s="69" t="s">
        <v>63</v>
      </c>
      <c r="K1440" s="71" t="s">
        <v>7314</v>
      </c>
      <c r="L1440" s="71" t="s">
        <v>7315</v>
      </c>
      <c r="M1440" s="71" t="s">
        <v>7316</v>
      </c>
      <c r="N1440" s="69" t="s">
        <v>57</v>
      </c>
      <c r="O1440" s="64">
        <v>1</v>
      </c>
      <c r="P1440" s="72">
        <v>33100000</v>
      </c>
      <c r="Q1440" s="69" t="s">
        <v>420</v>
      </c>
      <c r="R1440" s="69"/>
      <c r="S1440" s="203" t="s">
        <v>903</v>
      </c>
      <c r="T1440" s="56">
        <v>41</v>
      </c>
      <c r="U1440" s="56">
        <v>3</v>
      </c>
    </row>
    <row r="1441" spans="1:21" ht="14.25" customHeight="1" x14ac:dyDescent="0.35">
      <c r="A1441" s="47">
        <v>1425</v>
      </c>
      <c r="B1441" s="69" t="s">
        <v>79</v>
      </c>
      <c r="C1441" s="69" t="s">
        <v>80</v>
      </c>
      <c r="D1441" s="70" t="s">
        <v>1485</v>
      </c>
      <c r="E1441" s="69" t="s">
        <v>414</v>
      </c>
      <c r="F1441" s="69" t="s">
        <v>217</v>
      </c>
      <c r="G1441" s="69" t="s">
        <v>415</v>
      </c>
      <c r="H1441" s="70">
        <v>2021</v>
      </c>
      <c r="I1441" s="69" t="s">
        <v>63</v>
      </c>
      <c r="J1441" s="69" t="s">
        <v>63</v>
      </c>
      <c r="K1441" s="71" t="s">
        <v>7317</v>
      </c>
      <c r="L1441" s="71" t="s">
        <v>7318</v>
      </c>
      <c r="M1441" s="71" t="s">
        <v>7319</v>
      </c>
      <c r="N1441" s="69" t="s">
        <v>57</v>
      </c>
      <c r="O1441" s="64">
        <v>1</v>
      </c>
      <c r="P1441" s="72">
        <v>33100000</v>
      </c>
      <c r="Q1441" s="69" t="s">
        <v>420</v>
      </c>
      <c r="R1441" s="69"/>
      <c r="S1441" s="203" t="s">
        <v>903</v>
      </c>
      <c r="T1441" s="56">
        <v>41</v>
      </c>
      <c r="U1441" s="56">
        <v>3</v>
      </c>
    </row>
    <row r="1442" spans="1:21" ht="14.25" customHeight="1" thickBot="1" x14ac:dyDescent="0.4">
      <c r="A1442" s="58">
        <v>1426</v>
      </c>
      <c r="B1442" s="69" t="s">
        <v>79</v>
      </c>
      <c r="C1442" s="69" t="s">
        <v>80</v>
      </c>
      <c r="D1442" s="70" t="s">
        <v>1490</v>
      </c>
      <c r="E1442" s="69" t="s">
        <v>414</v>
      </c>
      <c r="F1442" s="69" t="s">
        <v>217</v>
      </c>
      <c r="G1442" s="69" t="s">
        <v>415</v>
      </c>
      <c r="H1442" s="70">
        <v>2021</v>
      </c>
      <c r="I1442" s="69" t="s">
        <v>63</v>
      </c>
      <c r="J1442" s="69" t="s">
        <v>63</v>
      </c>
      <c r="K1442" s="71" t="s">
        <v>7320</v>
      </c>
      <c r="L1442" s="71" t="s">
        <v>7321</v>
      </c>
      <c r="M1442" s="71" t="s">
        <v>7322</v>
      </c>
      <c r="N1442" s="69" t="s">
        <v>57</v>
      </c>
      <c r="O1442" s="64">
        <v>1</v>
      </c>
      <c r="P1442" s="72">
        <v>33100000</v>
      </c>
      <c r="Q1442" s="69" t="s">
        <v>420</v>
      </c>
      <c r="R1442" s="69"/>
      <c r="S1442" s="203" t="s">
        <v>903</v>
      </c>
      <c r="T1442" s="56">
        <v>41</v>
      </c>
      <c r="U1442" s="56">
        <v>3</v>
      </c>
    </row>
    <row r="1443" spans="1:21" ht="14.25" customHeight="1" x14ac:dyDescent="0.35">
      <c r="A1443" s="47">
        <v>1427</v>
      </c>
      <c r="B1443" s="69" t="s">
        <v>79</v>
      </c>
      <c r="C1443" s="69" t="s">
        <v>80</v>
      </c>
      <c r="D1443" s="70" t="s">
        <v>1498</v>
      </c>
      <c r="E1443" s="69" t="s">
        <v>414</v>
      </c>
      <c r="F1443" s="69" t="s">
        <v>217</v>
      </c>
      <c r="G1443" s="69" t="s">
        <v>415</v>
      </c>
      <c r="H1443" s="70">
        <v>2021</v>
      </c>
      <c r="I1443" s="69" t="s">
        <v>63</v>
      </c>
      <c r="J1443" s="69" t="s">
        <v>63</v>
      </c>
      <c r="K1443" s="71" t="s">
        <v>7323</v>
      </c>
      <c r="L1443" s="71" t="s">
        <v>7324</v>
      </c>
      <c r="M1443" s="71" t="s">
        <v>7325</v>
      </c>
      <c r="N1443" s="69" t="s">
        <v>57</v>
      </c>
      <c r="O1443" s="64">
        <v>1</v>
      </c>
      <c r="P1443" s="72">
        <v>33100000</v>
      </c>
      <c r="Q1443" s="69" t="s">
        <v>420</v>
      </c>
      <c r="R1443" s="69"/>
      <c r="S1443" s="203" t="s">
        <v>903</v>
      </c>
      <c r="T1443" s="56">
        <v>41</v>
      </c>
      <c r="U1443" s="56">
        <v>3</v>
      </c>
    </row>
    <row r="1444" spans="1:21" ht="14.25" customHeight="1" thickBot="1" x14ac:dyDescent="0.4">
      <c r="A1444" s="58">
        <v>1428</v>
      </c>
      <c r="B1444" s="69" t="s">
        <v>79</v>
      </c>
      <c r="C1444" s="69" t="s">
        <v>80</v>
      </c>
      <c r="D1444" s="70" t="s">
        <v>1506</v>
      </c>
      <c r="E1444" s="69" t="s">
        <v>414</v>
      </c>
      <c r="F1444" s="69" t="s">
        <v>217</v>
      </c>
      <c r="G1444" s="69" t="s">
        <v>415</v>
      </c>
      <c r="H1444" s="70">
        <v>2021</v>
      </c>
      <c r="I1444" s="69" t="s">
        <v>63</v>
      </c>
      <c r="J1444" s="69" t="s">
        <v>63</v>
      </c>
      <c r="K1444" s="71" t="s">
        <v>7326</v>
      </c>
      <c r="L1444" s="71" t="s">
        <v>7327</v>
      </c>
      <c r="M1444" s="71" t="s">
        <v>7328</v>
      </c>
      <c r="N1444" s="69" t="s">
        <v>57</v>
      </c>
      <c r="O1444" s="64">
        <v>1</v>
      </c>
      <c r="P1444" s="72">
        <v>33100000</v>
      </c>
      <c r="Q1444" s="69" t="s">
        <v>420</v>
      </c>
      <c r="R1444" s="69"/>
      <c r="S1444" s="203" t="s">
        <v>903</v>
      </c>
      <c r="T1444" s="56">
        <v>41</v>
      </c>
      <c r="U1444" s="56">
        <v>3</v>
      </c>
    </row>
    <row r="1445" spans="1:21" ht="14.25" customHeight="1" x14ac:dyDescent="0.35">
      <c r="A1445" s="47">
        <v>1429</v>
      </c>
      <c r="B1445" s="69" t="s">
        <v>79</v>
      </c>
      <c r="C1445" s="69" t="s">
        <v>80</v>
      </c>
      <c r="D1445" s="70" t="s">
        <v>1511</v>
      </c>
      <c r="E1445" s="69" t="s">
        <v>414</v>
      </c>
      <c r="F1445" s="69" t="s">
        <v>217</v>
      </c>
      <c r="G1445" s="69" t="s">
        <v>415</v>
      </c>
      <c r="H1445" s="70">
        <v>2021</v>
      </c>
      <c r="I1445" s="69" t="s">
        <v>63</v>
      </c>
      <c r="J1445" s="69" t="s">
        <v>63</v>
      </c>
      <c r="K1445" s="71" t="s">
        <v>7329</v>
      </c>
      <c r="L1445" s="71" t="s">
        <v>7330</v>
      </c>
      <c r="M1445" s="71" t="s">
        <v>7331</v>
      </c>
      <c r="N1445" s="69" t="s">
        <v>57</v>
      </c>
      <c r="O1445" s="64">
        <v>1</v>
      </c>
      <c r="P1445" s="72">
        <v>33100000</v>
      </c>
      <c r="Q1445" s="69" t="s">
        <v>420</v>
      </c>
      <c r="R1445" s="69"/>
      <c r="S1445" s="203" t="s">
        <v>903</v>
      </c>
      <c r="T1445" s="56">
        <v>41</v>
      </c>
      <c r="U1445" s="56">
        <v>3</v>
      </c>
    </row>
    <row r="1446" spans="1:21" ht="14.25" customHeight="1" thickBot="1" x14ac:dyDescent="0.4">
      <c r="A1446" s="58">
        <v>1430</v>
      </c>
      <c r="B1446" s="69" t="s">
        <v>79</v>
      </c>
      <c r="C1446" s="69" t="s">
        <v>80</v>
      </c>
      <c r="D1446" s="70" t="s">
        <v>1520</v>
      </c>
      <c r="E1446" s="69" t="s">
        <v>414</v>
      </c>
      <c r="F1446" s="69" t="s">
        <v>217</v>
      </c>
      <c r="G1446" s="69" t="s">
        <v>415</v>
      </c>
      <c r="H1446" s="70">
        <v>2021</v>
      </c>
      <c r="I1446" s="69" t="s">
        <v>63</v>
      </c>
      <c r="J1446" s="69" t="s">
        <v>63</v>
      </c>
      <c r="K1446" s="71" t="s">
        <v>7332</v>
      </c>
      <c r="L1446" s="71" t="s">
        <v>7333</v>
      </c>
      <c r="M1446" s="71" t="s">
        <v>7334</v>
      </c>
      <c r="N1446" s="69" t="s">
        <v>57</v>
      </c>
      <c r="O1446" s="64">
        <v>1</v>
      </c>
      <c r="P1446" s="72">
        <v>33100000</v>
      </c>
      <c r="Q1446" s="69" t="s">
        <v>420</v>
      </c>
      <c r="R1446" s="69"/>
      <c r="S1446" s="203" t="s">
        <v>903</v>
      </c>
      <c r="T1446" s="56">
        <v>41</v>
      </c>
      <c r="U1446" s="56">
        <v>3</v>
      </c>
    </row>
    <row r="1447" spans="1:21" ht="14.25" customHeight="1" x14ac:dyDescent="0.35">
      <c r="A1447" s="47">
        <v>1431</v>
      </c>
      <c r="B1447" s="69" t="s">
        <v>79</v>
      </c>
      <c r="C1447" s="69" t="s">
        <v>80</v>
      </c>
      <c r="D1447" s="70" t="s">
        <v>1526</v>
      </c>
      <c r="E1447" s="69" t="s">
        <v>414</v>
      </c>
      <c r="F1447" s="69" t="s">
        <v>217</v>
      </c>
      <c r="G1447" s="69" t="s">
        <v>415</v>
      </c>
      <c r="H1447" s="70">
        <v>2021</v>
      </c>
      <c r="I1447" s="69" t="s">
        <v>63</v>
      </c>
      <c r="J1447" s="69" t="s">
        <v>63</v>
      </c>
      <c r="K1447" s="71" t="s">
        <v>7335</v>
      </c>
      <c r="L1447" s="71" t="s">
        <v>7336</v>
      </c>
      <c r="M1447" s="71" t="s">
        <v>7337</v>
      </c>
      <c r="N1447" s="69" t="s">
        <v>57</v>
      </c>
      <c r="O1447" s="64">
        <v>1</v>
      </c>
      <c r="P1447" s="72">
        <v>33100000</v>
      </c>
      <c r="Q1447" s="69" t="s">
        <v>420</v>
      </c>
      <c r="R1447" s="69"/>
      <c r="S1447" s="203" t="s">
        <v>903</v>
      </c>
      <c r="T1447" s="56">
        <v>41</v>
      </c>
      <c r="U1447" s="56">
        <v>3</v>
      </c>
    </row>
    <row r="1448" spans="1:21" ht="14.25" customHeight="1" thickBot="1" x14ac:dyDescent="0.4">
      <c r="A1448" s="58">
        <v>1432</v>
      </c>
      <c r="B1448" s="69" t="s">
        <v>79</v>
      </c>
      <c r="C1448" s="69" t="s">
        <v>80</v>
      </c>
      <c r="D1448" s="70" t="s">
        <v>1532</v>
      </c>
      <c r="E1448" s="69" t="s">
        <v>414</v>
      </c>
      <c r="F1448" s="69" t="s">
        <v>217</v>
      </c>
      <c r="G1448" s="69" t="s">
        <v>415</v>
      </c>
      <c r="H1448" s="70">
        <v>2021</v>
      </c>
      <c r="I1448" s="69" t="s">
        <v>63</v>
      </c>
      <c r="J1448" s="69" t="s">
        <v>63</v>
      </c>
      <c r="K1448" s="71" t="s">
        <v>7338</v>
      </c>
      <c r="L1448" s="71" t="s">
        <v>7339</v>
      </c>
      <c r="M1448" s="71" t="s">
        <v>7340</v>
      </c>
      <c r="N1448" s="69" t="s">
        <v>57</v>
      </c>
      <c r="O1448" s="64">
        <v>1</v>
      </c>
      <c r="P1448" s="72">
        <v>33100000</v>
      </c>
      <c r="Q1448" s="69" t="s">
        <v>420</v>
      </c>
      <c r="R1448" s="69"/>
      <c r="S1448" s="203" t="s">
        <v>903</v>
      </c>
      <c r="T1448" s="56">
        <v>41</v>
      </c>
      <c r="U1448" s="56">
        <v>3</v>
      </c>
    </row>
    <row r="1449" spans="1:21" ht="14.25" customHeight="1" x14ac:dyDescent="0.35">
      <c r="A1449" s="47">
        <v>1433</v>
      </c>
      <c r="B1449" s="69" t="s">
        <v>79</v>
      </c>
      <c r="C1449" s="69" t="s">
        <v>80</v>
      </c>
      <c r="D1449" s="70" t="s">
        <v>1537</v>
      </c>
      <c r="E1449" s="69" t="s">
        <v>414</v>
      </c>
      <c r="F1449" s="69" t="s">
        <v>217</v>
      </c>
      <c r="G1449" s="69" t="s">
        <v>415</v>
      </c>
      <c r="H1449" s="70">
        <v>2021</v>
      </c>
      <c r="I1449" s="69" t="s">
        <v>63</v>
      </c>
      <c r="J1449" s="69" t="s">
        <v>63</v>
      </c>
      <c r="K1449" s="71" t="s">
        <v>7341</v>
      </c>
      <c r="L1449" s="71" t="s">
        <v>7342</v>
      </c>
      <c r="M1449" s="71" t="s">
        <v>7343</v>
      </c>
      <c r="N1449" s="69" t="s">
        <v>57</v>
      </c>
      <c r="O1449" s="64">
        <v>1</v>
      </c>
      <c r="P1449" s="72">
        <v>33100000</v>
      </c>
      <c r="Q1449" s="69" t="s">
        <v>420</v>
      </c>
      <c r="R1449" s="69"/>
      <c r="S1449" s="203" t="s">
        <v>903</v>
      </c>
      <c r="T1449" s="56">
        <v>41</v>
      </c>
      <c r="U1449" s="56">
        <v>3</v>
      </c>
    </row>
    <row r="1450" spans="1:21" ht="14.25" customHeight="1" thickBot="1" x14ac:dyDescent="0.4">
      <c r="A1450" s="58">
        <v>1434</v>
      </c>
      <c r="B1450" s="69" t="s">
        <v>79</v>
      </c>
      <c r="C1450" s="69" t="s">
        <v>80</v>
      </c>
      <c r="D1450" s="70" t="s">
        <v>1543</v>
      </c>
      <c r="E1450" s="69" t="s">
        <v>414</v>
      </c>
      <c r="F1450" s="69" t="s">
        <v>217</v>
      </c>
      <c r="G1450" s="69" t="s">
        <v>415</v>
      </c>
      <c r="H1450" s="70">
        <v>2021</v>
      </c>
      <c r="I1450" s="69" t="s">
        <v>63</v>
      </c>
      <c r="J1450" s="69" t="s">
        <v>7344</v>
      </c>
      <c r="K1450" s="71" t="s">
        <v>7345</v>
      </c>
      <c r="L1450" s="71" t="s">
        <v>7346</v>
      </c>
      <c r="M1450" s="71" t="s">
        <v>7347</v>
      </c>
      <c r="N1450" s="69" t="s">
        <v>57</v>
      </c>
      <c r="O1450" s="64">
        <v>1</v>
      </c>
      <c r="P1450" s="72">
        <v>33100000</v>
      </c>
      <c r="Q1450" s="69" t="s">
        <v>420</v>
      </c>
      <c r="R1450" s="69"/>
      <c r="S1450" s="203" t="s">
        <v>903</v>
      </c>
      <c r="T1450" s="56">
        <v>41</v>
      </c>
      <c r="U1450" s="56">
        <v>3</v>
      </c>
    </row>
    <row r="1451" spans="1:21" ht="14.25" customHeight="1" x14ac:dyDescent="0.35">
      <c r="A1451" s="47">
        <v>1435</v>
      </c>
      <c r="B1451" s="69" t="s">
        <v>79</v>
      </c>
      <c r="C1451" s="69" t="s">
        <v>80</v>
      </c>
      <c r="D1451" s="70" t="s">
        <v>7348</v>
      </c>
      <c r="E1451" s="69" t="s">
        <v>414</v>
      </c>
      <c r="F1451" s="69" t="s">
        <v>217</v>
      </c>
      <c r="G1451" s="69" t="s">
        <v>415</v>
      </c>
      <c r="H1451" s="70">
        <v>2021</v>
      </c>
      <c r="I1451" s="69" t="s">
        <v>63</v>
      </c>
      <c r="J1451" s="69" t="s">
        <v>63</v>
      </c>
      <c r="K1451" s="71" t="s">
        <v>7349</v>
      </c>
      <c r="L1451" s="71" t="s">
        <v>7350</v>
      </c>
      <c r="M1451" s="71" t="s">
        <v>7351</v>
      </c>
      <c r="N1451" s="69" t="s">
        <v>57</v>
      </c>
      <c r="O1451" s="64">
        <v>1</v>
      </c>
      <c r="P1451" s="72">
        <v>33100000</v>
      </c>
      <c r="Q1451" s="69" t="s">
        <v>420</v>
      </c>
      <c r="R1451" s="69"/>
      <c r="S1451" s="203" t="s">
        <v>903</v>
      </c>
      <c r="T1451" s="56">
        <v>41</v>
      </c>
      <c r="U1451" s="56">
        <v>3</v>
      </c>
    </row>
    <row r="1452" spans="1:21" ht="14.25" customHeight="1" thickBot="1" x14ac:dyDescent="0.4">
      <c r="A1452" s="58">
        <v>1436</v>
      </c>
      <c r="B1452" s="69" t="s">
        <v>79</v>
      </c>
      <c r="C1452" s="69" t="s">
        <v>80</v>
      </c>
      <c r="D1452" s="70" t="s">
        <v>6098</v>
      </c>
      <c r="E1452" s="69" t="s">
        <v>414</v>
      </c>
      <c r="F1452" s="69" t="s">
        <v>217</v>
      </c>
      <c r="G1452" s="69" t="s">
        <v>415</v>
      </c>
      <c r="H1452" s="70">
        <v>2021</v>
      </c>
      <c r="I1452" s="69" t="s">
        <v>63</v>
      </c>
      <c r="J1452" s="69" t="s">
        <v>63</v>
      </c>
      <c r="K1452" s="71" t="s">
        <v>7352</v>
      </c>
      <c r="L1452" s="71" t="s">
        <v>7353</v>
      </c>
      <c r="M1452" s="71" t="s">
        <v>7354</v>
      </c>
      <c r="N1452" s="69" t="s">
        <v>57</v>
      </c>
      <c r="O1452" s="64">
        <v>1</v>
      </c>
      <c r="P1452" s="72">
        <v>33100000</v>
      </c>
      <c r="Q1452" s="69" t="s">
        <v>420</v>
      </c>
      <c r="R1452" s="69"/>
      <c r="S1452" s="203" t="s">
        <v>903</v>
      </c>
      <c r="T1452" s="56">
        <v>41</v>
      </c>
      <c r="U1452" s="56">
        <v>3</v>
      </c>
    </row>
    <row r="1453" spans="1:21" ht="14.25" customHeight="1" x14ac:dyDescent="0.35">
      <c r="A1453" s="47">
        <v>1437</v>
      </c>
      <c r="B1453" s="69" t="s">
        <v>79</v>
      </c>
      <c r="C1453" s="69" t="s">
        <v>80</v>
      </c>
      <c r="D1453" s="70" t="s">
        <v>6103</v>
      </c>
      <c r="E1453" s="69" t="s">
        <v>414</v>
      </c>
      <c r="F1453" s="69" t="s">
        <v>217</v>
      </c>
      <c r="G1453" s="69" t="s">
        <v>415</v>
      </c>
      <c r="H1453" s="70">
        <v>2021</v>
      </c>
      <c r="I1453" s="69" t="s">
        <v>63</v>
      </c>
      <c r="J1453" s="69" t="s">
        <v>63</v>
      </c>
      <c r="K1453" s="71" t="s">
        <v>7355</v>
      </c>
      <c r="L1453" s="71" t="s">
        <v>7356</v>
      </c>
      <c r="M1453" s="71" t="s">
        <v>7357</v>
      </c>
      <c r="N1453" s="69" t="s">
        <v>57</v>
      </c>
      <c r="O1453" s="64">
        <v>1</v>
      </c>
      <c r="P1453" s="72">
        <v>33100000</v>
      </c>
      <c r="Q1453" s="69" t="s">
        <v>420</v>
      </c>
      <c r="R1453" s="69"/>
      <c r="S1453" s="203" t="s">
        <v>903</v>
      </c>
      <c r="T1453" s="56">
        <v>41</v>
      </c>
      <c r="U1453" s="56">
        <v>3</v>
      </c>
    </row>
    <row r="1454" spans="1:21" ht="14.25" customHeight="1" thickBot="1" x14ac:dyDescent="0.4">
      <c r="A1454" s="58">
        <v>1438</v>
      </c>
      <c r="B1454" s="69" t="s">
        <v>79</v>
      </c>
      <c r="C1454" s="69" t="s">
        <v>80</v>
      </c>
      <c r="D1454" s="70" t="s">
        <v>6107</v>
      </c>
      <c r="E1454" s="69" t="s">
        <v>414</v>
      </c>
      <c r="F1454" s="69" t="s">
        <v>217</v>
      </c>
      <c r="G1454" s="69" t="s">
        <v>415</v>
      </c>
      <c r="H1454" s="70">
        <v>2021</v>
      </c>
      <c r="I1454" s="69" t="s">
        <v>63</v>
      </c>
      <c r="J1454" s="69" t="s">
        <v>63</v>
      </c>
      <c r="K1454" s="71" t="s">
        <v>7358</v>
      </c>
      <c r="L1454" s="71" t="s">
        <v>7359</v>
      </c>
      <c r="M1454" s="71" t="s">
        <v>7360</v>
      </c>
      <c r="N1454" s="69" t="s">
        <v>57</v>
      </c>
      <c r="O1454" s="64">
        <v>1</v>
      </c>
      <c r="P1454" s="72">
        <v>33100000</v>
      </c>
      <c r="Q1454" s="69" t="s">
        <v>420</v>
      </c>
      <c r="R1454" s="69"/>
      <c r="S1454" s="203" t="s">
        <v>903</v>
      </c>
      <c r="T1454" s="56">
        <v>41</v>
      </c>
      <c r="U1454" s="56">
        <v>3</v>
      </c>
    </row>
    <row r="1455" spans="1:21" ht="14.25" customHeight="1" x14ac:dyDescent="0.35">
      <c r="A1455" s="47">
        <v>1439</v>
      </c>
      <c r="B1455" s="69" t="s">
        <v>79</v>
      </c>
      <c r="C1455" s="69" t="s">
        <v>80</v>
      </c>
      <c r="D1455" s="70" t="s">
        <v>6111</v>
      </c>
      <c r="E1455" s="69" t="s">
        <v>414</v>
      </c>
      <c r="F1455" s="69" t="s">
        <v>217</v>
      </c>
      <c r="G1455" s="69" t="s">
        <v>415</v>
      </c>
      <c r="H1455" s="70">
        <v>2021</v>
      </c>
      <c r="I1455" s="69" t="s">
        <v>63</v>
      </c>
      <c r="J1455" s="69" t="s">
        <v>63</v>
      </c>
      <c r="K1455" s="71" t="s">
        <v>7361</v>
      </c>
      <c r="L1455" s="71" t="s">
        <v>7362</v>
      </c>
      <c r="M1455" s="71" t="s">
        <v>7363</v>
      </c>
      <c r="N1455" s="69" t="s">
        <v>57</v>
      </c>
      <c r="O1455" s="64">
        <v>1</v>
      </c>
      <c r="P1455" s="72">
        <v>33100000</v>
      </c>
      <c r="Q1455" s="69" t="s">
        <v>420</v>
      </c>
      <c r="R1455" s="69"/>
      <c r="S1455" s="203" t="s">
        <v>903</v>
      </c>
      <c r="T1455" s="56">
        <v>41</v>
      </c>
      <c r="U1455" s="56">
        <v>3</v>
      </c>
    </row>
    <row r="1456" spans="1:21" ht="14.25" customHeight="1" thickBot="1" x14ac:dyDescent="0.4">
      <c r="A1456" s="58">
        <v>1440</v>
      </c>
      <c r="B1456" s="69" t="s">
        <v>79</v>
      </c>
      <c r="C1456" s="69" t="s">
        <v>80</v>
      </c>
      <c r="D1456" s="70" t="s">
        <v>7364</v>
      </c>
      <c r="E1456" s="69" t="s">
        <v>414</v>
      </c>
      <c r="F1456" s="69" t="s">
        <v>217</v>
      </c>
      <c r="G1456" s="69" t="s">
        <v>415</v>
      </c>
      <c r="H1456" s="70">
        <v>2021</v>
      </c>
      <c r="I1456" s="69" t="s">
        <v>63</v>
      </c>
      <c r="J1456" s="69" t="s">
        <v>63</v>
      </c>
      <c r="K1456" s="71" t="s">
        <v>7365</v>
      </c>
      <c r="L1456" s="71" t="s">
        <v>7366</v>
      </c>
      <c r="M1456" s="71" t="s">
        <v>7367</v>
      </c>
      <c r="N1456" s="69" t="s">
        <v>57</v>
      </c>
      <c r="O1456" s="64">
        <v>1</v>
      </c>
      <c r="P1456" s="72">
        <v>33100000</v>
      </c>
      <c r="Q1456" s="69" t="s">
        <v>420</v>
      </c>
      <c r="R1456" s="69"/>
      <c r="S1456" s="203" t="s">
        <v>903</v>
      </c>
      <c r="T1456" s="56">
        <v>41</v>
      </c>
      <c r="U1456" s="56">
        <v>3</v>
      </c>
    </row>
    <row r="1457" spans="1:21" ht="14.25" customHeight="1" x14ac:dyDescent="0.35">
      <c r="A1457" s="47">
        <v>1441</v>
      </c>
      <c r="B1457" s="69" t="s">
        <v>79</v>
      </c>
      <c r="C1457" s="69" t="s">
        <v>80</v>
      </c>
      <c r="D1457" s="70" t="s">
        <v>6114</v>
      </c>
      <c r="E1457" s="69" t="s">
        <v>414</v>
      </c>
      <c r="F1457" s="69" t="s">
        <v>217</v>
      </c>
      <c r="G1457" s="69" t="s">
        <v>415</v>
      </c>
      <c r="H1457" s="70">
        <v>2021</v>
      </c>
      <c r="I1457" s="69" t="s">
        <v>63</v>
      </c>
      <c r="J1457" s="69" t="s">
        <v>63</v>
      </c>
      <c r="K1457" s="71" t="s">
        <v>7368</v>
      </c>
      <c r="L1457" s="71" t="s">
        <v>7369</v>
      </c>
      <c r="M1457" s="71" t="s">
        <v>7370</v>
      </c>
      <c r="N1457" s="69" t="s">
        <v>57</v>
      </c>
      <c r="O1457" s="64">
        <v>1</v>
      </c>
      <c r="P1457" s="72">
        <v>33100000</v>
      </c>
      <c r="Q1457" s="69" t="s">
        <v>420</v>
      </c>
      <c r="R1457" s="69"/>
      <c r="S1457" s="203" t="s">
        <v>903</v>
      </c>
      <c r="T1457" s="56">
        <v>41</v>
      </c>
      <c r="U1457" s="56">
        <v>3</v>
      </c>
    </row>
    <row r="1458" spans="1:21" ht="14.25" customHeight="1" thickBot="1" x14ac:dyDescent="0.4">
      <c r="A1458" s="58">
        <v>1442</v>
      </c>
      <c r="B1458" s="69" t="s">
        <v>79</v>
      </c>
      <c r="C1458" s="69" t="s">
        <v>80</v>
      </c>
      <c r="D1458" s="70" t="s">
        <v>7371</v>
      </c>
      <c r="E1458" s="69" t="s">
        <v>414</v>
      </c>
      <c r="F1458" s="69" t="s">
        <v>217</v>
      </c>
      <c r="G1458" s="69" t="s">
        <v>415</v>
      </c>
      <c r="H1458" s="70">
        <v>2021</v>
      </c>
      <c r="I1458" s="69" t="s">
        <v>63</v>
      </c>
      <c r="J1458" s="69" t="s">
        <v>63</v>
      </c>
      <c r="K1458" s="71" t="s">
        <v>7372</v>
      </c>
      <c r="L1458" s="71" t="s">
        <v>7373</v>
      </c>
      <c r="M1458" s="71" t="s">
        <v>7374</v>
      </c>
      <c r="N1458" s="69" t="s">
        <v>57</v>
      </c>
      <c r="O1458" s="64">
        <v>1</v>
      </c>
      <c r="P1458" s="72">
        <v>33100000</v>
      </c>
      <c r="Q1458" s="69" t="s">
        <v>420</v>
      </c>
      <c r="R1458" s="69"/>
      <c r="S1458" s="203" t="s">
        <v>903</v>
      </c>
      <c r="T1458" s="56">
        <v>41</v>
      </c>
      <c r="U1458" s="56">
        <v>3</v>
      </c>
    </row>
    <row r="1459" spans="1:21" ht="14.25" customHeight="1" x14ac:dyDescent="0.35">
      <c r="A1459" s="47">
        <v>1443</v>
      </c>
      <c r="B1459" s="69" t="s">
        <v>79</v>
      </c>
      <c r="C1459" s="69" t="s">
        <v>80</v>
      </c>
      <c r="D1459" s="70" t="s">
        <v>6119</v>
      </c>
      <c r="E1459" s="69" t="s">
        <v>414</v>
      </c>
      <c r="F1459" s="69" t="s">
        <v>217</v>
      </c>
      <c r="G1459" s="69" t="s">
        <v>415</v>
      </c>
      <c r="H1459" s="70">
        <v>2021</v>
      </c>
      <c r="I1459" s="69" t="s">
        <v>63</v>
      </c>
      <c r="J1459" s="69" t="s">
        <v>63</v>
      </c>
      <c r="K1459" s="71" t="s">
        <v>7375</v>
      </c>
      <c r="L1459" s="71" t="s">
        <v>7376</v>
      </c>
      <c r="M1459" s="71" t="s">
        <v>7377</v>
      </c>
      <c r="N1459" s="69" t="s">
        <v>57</v>
      </c>
      <c r="O1459" s="64">
        <v>1</v>
      </c>
      <c r="P1459" s="72">
        <v>33100000</v>
      </c>
      <c r="Q1459" s="69" t="s">
        <v>420</v>
      </c>
      <c r="R1459" s="69"/>
      <c r="S1459" s="203" t="s">
        <v>903</v>
      </c>
      <c r="T1459" s="56">
        <v>41</v>
      </c>
      <c r="U1459" s="56">
        <v>3</v>
      </c>
    </row>
    <row r="1460" spans="1:21" ht="14.25" customHeight="1" thickBot="1" x14ac:dyDescent="0.4">
      <c r="A1460" s="58">
        <v>1444</v>
      </c>
      <c r="B1460" s="69" t="s">
        <v>79</v>
      </c>
      <c r="C1460" s="69" t="s">
        <v>80</v>
      </c>
      <c r="D1460" s="70" t="s">
        <v>6124</v>
      </c>
      <c r="E1460" s="69" t="s">
        <v>414</v>
      </c>
      <c r="F1460" s="69" t="s">
        <v>217</v>
      </c>
      <c r="G1460" s="69" t="s">
        <v>415</v>
      </c>
      <c r="H1460" s="70">
        <v>2021</v>
      </c>
      <c r="I1460" s="69" t="s">
        <v>63</v>
      </c>
      <c r="J1460" s="69" t="s">
        <v>63</v>
      </c>
      <c r="K1460" s="71" t="s">
        <v>7378</v>
      </c>
      <c r="L1460" s="71" t="s">
        <v>7379</v>
      </c>
      <c r="M1460" s="71" t="s">
        <v>7380</v>
      </c>
      <c r="N1460" s="69" t="s">
        <v>57</v>
      </c>
      <c r="O1460" s="64">
        <v>1</v>
      </c>
      <c r="P1460" s="72">
        <v>33100000</v>
      </c>
      <c r="Q1460" s="69" t="s">
        <v>420</v>
      </c>
      <c r="R1460" s="69"/>
      <c r="S1460" s="203" t="s">
        <v>903</v>
      </c>
      <c r="T1460" s="56">
        <v>41</v>
      </c>
      <c r="U1460" s="56">
        <v>3</v>
      </c>
    </row>
    <row r="1461" spans="1:21" ht="14.25" customHeight="1" x14ac:dyDescent="0.35">
      <c r="A1461" s="47">
        <v>1445</v>
      </c>
      <c r="B1461" s="69" t="s">
        <v>79</v>
      </c>
      <c r="C1461" s="69" t="s">
        <v>80</v>
      </c>
      <c r="D1461" s="70" t="s">
        <v>6130</v>
      </c>
      <c r="E1461" s="69" t="s">
        <v>414</v>
      </c>
      <c r="F1461" s="69" t="s">
        <v>217</v>
      </c>
      <c r="G1461" s="69" t="s">
        <v>415</v>
      </c>
      <c r="H1461" s="70">
        <v>2021</v>
      </c>
      <c r="I1461" s="69" t="s">
        <v>63</v>
      </c>
      <c r="J1461" s="69" t="s">
        <v>63</v>
      </c>
      <c r="K1461" s="71" t="s">
        <v>7381</v>
      </c>
      <c r="L1461" s="71" t="s">
        <v>7382</v>
      </c>
      <c r="M1461" s="71" t="s">
        <v>7383</v>
      </c>
      <c r="N1461" s="69" t="s">
        <v>57</v>
      </c>
      <c r="O1461" s="64">
        <v>1</v>
      </c>
      <c r="P1461" s="72">
        <v>33100000</v>
      </c>
      <c r="Q1461" s="69" t="s">
        <v>420</v>
      </c>
      <c r="R1461" s="69"/>
      <c r="S1461" s="203" t="s">
        <v>903</v>
      </c>
      <c r="T1461" s="56">
        <v>41</v>
      </c>
      <c r="U1461" s="56">
        <v>3</v>
      </c>
    </row>
    <row r="1462" spans="1:21" ht="14.25" customHeight="1" thickBot="1" x14ac:dyDescent="0.4">
      <c r="A1462" s="58">
        <v>1446</v>
      </c>
      <c r="B1462" s="69" t="s">
        <v>79</v>
      </c>
      <c r="C1462" s="69" t="s">
        <v>80</v>
      </c>
      <c r="D1462" s="70" t="s">
        <v>6142</v>
      </c>
      <c r="E1462" s="69" t="s">
        <v>414</v>
      </c>
      <c r="F1462" s="69" t="s">
        <v>217</v>
      </c>
      <c r="G1462" s="69" t="s">
        <v>415</v>
      </c>
      <c r="H1462" s="70">
        <v>2021</v>
      </c>
      <c r="I1462" s="69" t="s">
        <v>63</v>
      </c>
      <c r="J1462" s="69" t="s">
        <v>63</v>
      </c>
      <c r="K1462" s="71" t="s">
        <v>7384</v>
      </c>
      <c r="L1462" s="71" t="s">
        <v>7385</v>
      </c>
      <c r="M1462" s="71" t="s">
        <v>7386</v>
      </c>
      <c r="N1462" s="69" t="s">
        <v>57</v>
      </c>
      <c r="O1462" s="64">
        <v>1</v>
      </c>
      <c r="P1462" s="72">
        <v>33100000</v>
      </c>
      <c r="Q1462" s="69" t="s">
        <v>420</v>
      </c>
      <c r="R1462" s="69"/>
      <c r="S1462" s="203" t="s">
        <v>903</v>
      </c>
      <c r="T1462" s="56">
        <v>41</v>
      </c>
      <c r="U1462" s="56">
        <v>3</v>
      </c>
    </row>
    <row r="1463" spans="1:21" ht="14.25" customHeight="1" x14ac:dyDescent="0.35">
      <c r="A1463" s="47">
        <v>1447</v>
      </c>
      <c r="B1463" s="69" t="s">
        <v>79</v>
      </c>
      <c r="C1463" s="69" t="s">
        <v>80</v>
      </c>
      <c r="D1463" s="70" t="s">
        <v>6148</v>
      </c>
      <c r="E1463" s="69" t="s">
        <v>414</v>
      </c>
      <c r="F1463" s="69" t="s">
        <v>217</v>
      </c>
      <c r="G1463" s="69" t="s">
        <v>415</v>
      </c>
      <c r="H1463" s="70">
        <v>2021</v>
      </c>
      <c r="I1463" s="69" t="s">
        <v>63</v>
      </c>
      <c r="J1463" s="69" t="s">
        <v>63</v>
      </c>
      <c r="K1463" s="71" t="s">
        <v>7387</v>
      </c>
      <c r="L1463" s="71" t="s">
        <v>7388</v>
      </c>
      <c r="M1463" s="71" t="s">
        <v>7389</v>
      </c>
      <c r="N1463" s="69" t="s">
        <v>57</v>
      </c>
      <c r="O1463" s="64">
        <v>1</v>
      </c>
      <c r="P1463" s="72">
        <v>33100000</v>
      </c>
      <c r="Q1463" s="69" t="s">
        <v>420</v>
      </c>
      <c r="R1463" s="69"/>
      <c r="S1463" s="203" t="s">
        <v>903</v>
      </c>
      <c r="T1463" s="56">
        <v>41</v>
      </c>
      <c r="U1463" s="56">
        <v>3</v>
      </c>
    </row>
    <row r="1464" spans="1:21" ht="14.25" customHeight="1" thickBot="1" x14ac:dyDescent="0.4">
      <c r="A1464" s="58">
        <v>1448</v>
      </c>
      <c r="B1464" s="69" t="s">
        <v>79</v>
      </c>
      <c r="C1464" s="69" t="s">
        <v>80</v>
      </c>
      <c r="D1464" s="70" t="s">
        <v>6154</v>
      </c>
      <c r="E1464" s="69" t="s">
        <v>2648</v>
      </c>
      <c r="F1464" s="69" t="s">
        <v>63</v>
      </c>
      <c r="G1464" s="69" t="s">
        <v>63</v>
      </c>
      <c r="H1464" s="70">
        <v>2019</v>
      </c>
      <c r="I1464" s="69" t="s">
        <v>63</v>
      </c>
      <c r="J1464" s="69" t="s">
        <v>63</v>
      </c>
      <c r="K1464" s="71" t="s">
        <v>7390</v>
      </c>
      <c r="L1464" s="71" t="s">
        <v>7391</v>
      </c>
      <c r="M1464" s="71" t="s">
        <v>7392</v>
      </c>
      <c r="N1464" s="69" t="s">
        <v>57</v>
      </c>
      <c r="O1464" s="64">
        <v>1</v>
      </c>
      <c r="P1464" s="72">
        <v>33000000</v>
      </c>
      <c r="Q1464" s="69" t="s">
        <v>7393</v>
      </c>
      <c r="R1464" s="69"/>
      <c r="S1464" s="203" t="s">
        <v>903</v>
      </c>
      <c r="T1464" s="56">
        <v>41</v>
      </c>
      <c r="U1464" s="56">
        <v>3</v>
      </c>
    </row>
    <row r="1465" spans="1:21" ht="14.25" customHeight="1" x14ac:dyDescent="0.35">
      <c r="A1465" s="47">
        <v>1449</v>
      </c>
      <c r="B1465" s="69" t="s">
        <v>79</v>
      </c>
      <c r="C1465" s="69" t="s">
        <v>80</v>
      </c>
      <c r="D1465" s="70" t="s">
        <v>6160</v>
      </c>
      <c r="E1465" s="69" t="s">
        <v>2648</v>
      </c>
      <c r="F1465" s="69" t="s">
        <v>63</v>
      </c>
      <c r="G1465" s="69" t="s">
        <v>63</v>
      </c>
      <c r="H1465" s="70">
        <v>2019</v>
      </c>
      <c r="I1465" s="69" t="s">
        <v>63</v>
      </c>
      <c r="J1465" s="69" t="s">
        <v>63</v>
      </c>
      <c r="K1465" s="71" t="s">
        <v>7394</v>
      </c>
      <c r="L1465" s="71" t="s">
        <v>7395</v>
      </c>
      <c r="M1465" s="71" t="s">
        <v>7396</v>
      </c>
      <c r="N1465" s="69" t="s">
        <v>57</v>
      </c>
      <c r="O1465" s="64">
        <v>1</v>
      </c>
      <c r="P1465" s="72">
        <v>33000000</v>
      </c>
      <c r="Q1465" s="69" t="s">
        <v>7393</v>
      </c>
      <c r="R1465" s="69"/>
      <c r="S1465" s="203" t="s">
        <v>903</v>
      </c>
      <c r="T1465" s="56">
        <v>41</v>
      </c>
      <c r="U1465" s="56">
        <v>3</v>
      </c>
    </row>
    <row r="1466" spans="1:21" ht="14.25" customHeight="1" thickBot="1" x14ac:dyDescent="0.4">
      <c r="A1466" s="58">
        <v>1450</v>
      </c>
      <c r="B1466" s="69" t="s">
        <v>79</v>
      </c>
      <c r="C1466" s="69" t="s">
        <v>80</v>
      </c>
      <c r="D1466" s="70" t="s">
        <v>6166</v>
      </c>
      <c r="E1466" s="69" t="s">
        <v>2648</v>
      </c>
      <c r="F1466" s="69" t="s">
        <v>63</v>
      </c>
      <c r="G1466" s="69" t="s">
        <v>63</v>
      </c>
      <c r="H1466" s="70">
        <v>2019</v>
      </c>
      <c r="I1466" s="69" t="s">
        <v>63</v>
      </c>
      <c r="J1466" s="69" t="s">
        <v>63</v>
      </c>
      <c r="K1466" s="71" t="s">
        <v>7397</v>
      </c>
      <c r="L1466" s="71" t="s">
        <v>7398</v>
      </c>
      <c r="M1466" s="71" t="s">
        <v>7399</v>
      </c>
      <c r="N1466" s="69" t="s">
        <v>57</v>
      </c>
      <c r="O1466" s="64">
        <v>1</v>
      </c>
      <c r="P1466" s="72">
        <v>33000000</v>
      </c>
      <c r="Q1466" s="69" t="s">
        <v>7393</v>
      </c>
      <c r="R1466" s="69"/>
      <c r="S1466" s="203" t="s">
        <v>903</v>
      </c>
      <c r="T1466" s="56">
        <v>41</v>
      </c>
      <c r="U1466" s="56">
        <v>3</v>
      </c>
    </row>
    <row r="1467" spans="1:21" ht="14.25" customHeight="1" x14ac:dyDescent="0.35">
      <c r="A1467" s="47">
        <v>1451</v>
      </c>
      <c r="B1467" s="69" t="s">
        <v>79</v>
      </c>
      <c r="C1467" s="69" t="s">
        <v>80</v>
      </c>
      <c r="D1467" s="70" t="s">
        <v>6172</v>
      </c>
      <c r="E1467" s="69" t="s">
        <v>2648</v>
      </c>
      <c r="F1467" s="69" t="s">
        <v>63</v>
      </c>
      <c r="G1467" s="69" t="s">
        <v>63</v>
      </c>
      <c r="H1467" s="70">
        <v>2019</v>
      </c>
      <c r="I1467" s="69" t="s">
        <v>63</v>
      </c>
      <c r="J1467" s="69" t="s">
        <v>63</v>
      </c>
      <c r="K1467" s="71" t="s">
        <v>7400</v>
      </c>
      <c r="L1467" s="71" t="s">
        <v>7401</v>
      </c>
      <c r="M1467" s="71" t="s">
        <v>7402</v>
      </c>
      <c r="N1467" s="69" t="s">
        <v>57</v>
      </c>
      <c r="O1467" s="64">
        <v>1</v>
      </c>
      <c r="P1467" s="72">
        <v>33000000</v>
      </c>
      <c r="Q1467" s="69" t="s">
        <v>7393</v>
      </c>
      <c r="R1467" s="69"/>
      <c r="S1467" s="203" t="s">
        <v>903</v>
      </c>
      <c r="T1467" s="56">
        <v>41</v>
      </c>
      <c r="U1467" s="56">
        <v>3</v>
      </c>
    </row>
    <row r="1468" spans="1:21" ht="14.25" customHeight="1" thickBot="1" x14ac:dyDescent="0.4">
      <c r="A1468" s="58">
        <v>1452</v>
      </c>
      <c r="B1468" s="69" t="s">
        <v>79</v>
      </c>
      <c r="C1468" s="69" t="s">
        <v>80</v>
      </c>
      <c r="D1468" s="70" t="s">
        <v>6178</v>
      </c>
      <c r="E1468" s="69" t="s">
        <v>414</v>
      </c>
      <c r="F1468" s="69" t="s">
        <v>217</v>
      </c>
      <c r="G1468" s="69" t="s">
        <v>415</v>
      </c>
      <c r="H1468" s="70">
        <v>2021</v>
      </c>
      <c r="I1468" s="69" t="s">
        <v>63</v>
      </c>
      <c r="J1468" s="69" t="s">
        <v>63</v>
      </c>
      <c r="K1468" s="71" t="s">
        <v>7403</v>
      </c>
      <c r="L1468" s="71" t="s">
        <v>7404</v>
      </c>
      <c r="M1468" s="71" t="s">
        <v>7405</v>
      </c>
      <c r="N1468" s="69" t="s">
        <v>57</v>
      </c>
      <c r="O1468" s="64">
        <v>1</v>
      </c>
      <c r="P1468" s="72">
        <v>33100000</v>
      </c>
      <c r="Q1468" s="69" t="s">
        <v>420</v>
      </c>
      <c r="R1468" s="69"/>
      <c r="S1468" s="203" t="s">
        <v>903</v>
      </c>
      <c r="T1468" s="56">
        <v>41</v>
      </c>
      <c r="U1468" s="56">
        <v>3</v>
      </c>
    </row>
    <row r="1469" spans="1:21" ht="14.25" customHeight="1" x14ac:dyDescent="0.35">
      <c r="A1469" s="47">
        <v>1453</v>
      </c>
      <c r="B1469" s="69" t="s">
        <v>79</v>
      </c>
      <c r="C1469" s="69" t="s">
        <v>80</v>
      </c>
      <c r="D1469" s="70" t="s">
        <v>6184</v>
      </c>
      <c r="E1469" s="69" t="s">
        <v>414</v>
      </c>
      <c r="F1469" s="69" t="s">
        <v>217</v>
      </c>
      <c r="G1469" s="69" t="s">
        <v>415</v>
      </c>
      <c r="H1469" s="70">
        <v>2021</v>
      </c>
      <c r="I1469" s="69" t="s">
        <v>63</v>
      </c>
      <c r="J1469" s="69" t="s">
        <v>63</v>
      </c>
      <c r="K1469" s="71" t="s">
        <v>7406</v>
      </c>
      <c r="L1469" s="71" t="s">
        <v>7407</v>
      </c>
      <c r="M1469" s="71" t="s">
        <v>7408</v>
      </c>
      <c r="N1469" s="69" t="s">
        <v>57</v>
      </c>
      <c r="O1469" s="64">
        <v>1</v>
      </c>
      <c r="P1469" s="72">
        <v>33100000</v>
      </c>
      <c r="Q1469" s="69" t="s">
        <v>420</v>
      </c>
      <c r="R1469" s="69"/>
      <c r="S1469" s="203" t="s">
        <v>903</v>
      </c>
      <c r="T1469" s="56">
        <v>41</v>
      </c>
      <c r="U1469" s="56">
        <v>3</v>
      </c>
    </row>
    <row r="1470" spans="1:21" ht="14.25" customHeight="1" thickBot="1" x14ac:dyDescent="0.4">
      <c r="A1470" s="58">
        <v>1454</v>
      </c>
      <c r="B1470" s="69" t="s">
        <v>79</v>
      </c>
      <c r="C1470" s="69" t="s">
        <v>80</v>
      </c>
      <c r="D1470" s="70" t="s">
        <v>6190</v>
      </c>
      <c r="E1470" s="69" t="s">
        <v>414</v>
      </c>
      <c r="F1470" s="69" t="s">
        <v>217</v>
      </c>
      <c r="G1470" s="69" t="s">
        <v>415</v>
      </c>
      <c r="H1470" s="70">
        <v>2021</v>
      </c>
      <c r="I1470" s="69" t="s">
        <v>63</v>
      </c>
      <c r="J1470" s="69" t="s">
        <v>63</v>
      </c>
      <c r="K1470" s="71" t="s">
        <v>7409</v>
      </c>
      <c r="L1470" s="71" t="s">
        <v>7410</v>
      </c>
      <c r="M1470" s="71" t="s">
        <v>7411</v>
      </c>
      <c r="N1470" s="69" t="s">
        <v>57</v>
      </c>
      <c r="O1470" s="64">
        <v>1</v>
      </c>
      <c r="P1470" s="72">
        <v>33100000</v>
      </c>
      <c r="Q1470" s="69" t="s">
        <v>420</v>
      </c>
      <c r="R1470" s="69"/>
      <c r="S1470" s="203" t="s">
        <v>903</v>
      </c>
      <c r="T1470" s="56">
        <v>41</v>
      </c>
      <c r="U1470" s="56">
        <v>3</v>
      </c>
    </row>
    <row r="1471" spans="1:21" ht="14.25" customHeight="1" x14ac:dyDescent="0.35">
      <c r="A1471" s="47">
        <v>1455</v>
      </c>
      <c r="B1471" s="69" t="s">
        <v>79</v>
      </c>
      <c r="C1471" s="69" t="s">
        <v>80</v>
      </c>
      <c r="D1471" s="70" t="s">
        <v>6196</v>
      </c>
      <c r="E1471" s="69" t="s">
        <v>414</v>
      </c>
      <c r="F1471" s="69" t="s">
        <v>217</v>
      </c>
      <c r="G1471" s="69" t="s">
        <v>415</v>
      </c>
      <c r="H1471" s="70">
        <v>2021</v>
      </c>
      <c r="I1471" s="69" t="s">
        <v>63</v>
      </c>
      <c r="J1471" s="69" t="s">
        <v>63</v>
      </c>
      <c r="K1471" s="71" t="s">
        <v>7412</v>
      </c>
      <c r="L1471" s="71" t="s">
        <v>7413</v>
      </c>
      <c r="M1471" s="71" t="s">
        <v>7414</v>
      </c>
      <c r="N1471" s="69" t="s">
        <v>57</v>
      </c>
      <c r="O1471" s="64">
        <v>1</v>
      </c>
      <c r="P1471" s="72">
        <v>33100000</v>
      </c>
      <c r="Q1471" s="69" t="s">
        <v>420</v>
      </c>
      <c r="R1471" s="69"/>
      <c r="S1471" s="203" t="s">
        <v>903</v>
      </c>
      <c r="T1471" s="56">
        <v>41</v>
      </c>
      <c r="U1471" s="56">
        <v>3</v>
      </c>
    </row>
    <row r="1472" spans="1:21" ht="14.25" customHeight="1" thickBot="1" x14ac:dyDescent="0.4">
      <c r="A1472" s="58">
        <v>1456</v>
      </c>
      <c r="B1472" s="69" t="s">
        <v>79</v>
      </c>
      <c r="C1472" s="69" t="s">
        <v>80</v>
      </c>
      <c r="D1472" s="70" t="s">
        <v>6202</v>
      </c>
      <c r="E1472" s="69" t="s">
        <v>414</v>
      </c>
      <c r="F1472" s="69" t="s">
        <v>217</v>
      </c>
      <c r="G1472" s="69" t="s">
        <v>415</v>
      </c>
      <c r="H1472" s="70">
        <v>2021</v>
      </c>
      <c r="I1472" s="69" t="s">
        <v>63</v>
      </c>
      <c r="J1472" s="69" t="s">
        <v>63</v>
      </c>
      <c r="K1472" s="71" t="s">
        <v>7415</v>
      </c>
      <c r="L1472" s="71" t="s">
        <v>7416</v>
      </c>
      <c r="M1472" s="71" t="s">
        <v>7417</v>
      </c>
      <c r="N1472" s="69" t="s">
        <v>57</v>
      </c>
      <c r="O1472" s="64">
        <v>1</v>
      </c>
      <c r="P1472" s="72">
        <v>33100000</v>
      </c>
      <c r="Q1472" s="69" t="s">
        <v>420</v>
      </c>
      <c r="R1472" s="69"/>
      <c r="S1472" s="203" t="s">
        <v>903</v>
      </c>
      <c r="T1472" s="56">
        <v>41</v>
      </c>
      <c r="U1472" s="56">
        <v>3</v>
      </c>
    </row>
    <row r="1473" spans="1:21" ht="14.25" customHeight="1" x14ac:dyDescent="0.35">
      <c r="A1473" s="47">
        <v>1457</v>
      </c>
      <c r="B1473" s="69" t="s">
        <v>79</v>
      </c>
      <c r="C1473" s="69" t="s">
        <v>80</v>
      </c>
      <c r="D1473" s="70" t="s">
        <v>6208</v>
      </c>
      <c r="E1473" s="69" t="s">
        <v>2513</v>
      </c>
      <c r="F1473" s="69" t="s">
        <v>202</v>
      </c>
      <c r="G1473" s="69" t="s">
        <v>54</v>
      </c>
      <c r="H1473" s="70">
        <v>2010</v>
      </c>
      <c r="I1473" s="69"/>
      <c r="J1473" s="69" t="s">
        <v>7418</v>
      </c>
      <c r="K1473" s="71" t="s">
        <v>7419</v>
      </c>
      <c r="L1473" s="71" t="s">
        <v>7420</v>
      </c>
      <c r="M1473" s="71" t="s">
        <v>7421</v>
      </c>
      <c r="N1473" s="69" t="s">
        <v>57</v>
      </c>
      <c r="O1473" s="64">
        <v>1</v>
      </c>
      <c r="P1473" s="72">
        <v>16050000</v>
      </c>
      <c r="Q1473" s="69" t="s">
        <v>7422</v>
      </c>
      <c r="R1473" s="69"/>
      <c r="S1473" s="203" t="s">
        <v>903</v>
      </c>
      <c r="T1473" s="56">
        <v>41</v>
      </c>
      <c r="U1473" s="56">
        <v>3</v>
      </c>
    </row>
    <row r="1474" spans="1:21" ht="14.25" customHeight="1" thickBot="1" x14ac:dyDescent="0.4">
      <c r="A1474" s="58">
        <v>1458</v>
      </c>
      <c r="B1474" s="69" t="s">
        <v>79</v>
      </c>
      <c r="C1474" s="69" t="s">
        <v>80</v>
      </c>
      <c r="D1474" s="70" t="s">
        <v>7423</v>
      </c>
      <c r="E1474" s="69" t="s">
        <v>2173</v>
      </c>
      <c r="F1474" s="69" t="s">
        <v>88</v>
      </c>
      <c r="G1474" s="69" t="s">
        <v>54</v>
      </c>
      <c r="H1474" s="70">
        <v>2008</v>
      </c>
      <c r="I1474" s="69"/>
      <c r="J1474" s="69" t="s">
        <v>7424</v>
      </c>
      <c r="K1474" s="71" t="s">
        <v>7425</v>
      </c>
      <c r="L1474" s="71" t="s">
        <v>7426</v>
      </c>
      <c r="M1474" s="71" t="s">
        <v>7427</v>
      </c>
      <c r="N1474" s="69" t="s">
        <v>57</v>
      </c>
      <c r="O1474" s="64">
        <v>1</v>
      </c>
      <c r="P1474" s="72">
        <v>16950000</v>
      </c>
      <c r="Q1474" s="69" t="s">
        <v>7428</v>
      </c>
      <c r="R1474" s="69"/>
      <c r="S1474" s="203" t="s">
        <v>903</v>
      </c>
      <c r="T1474" s="56">
        <v>41</v>
      </c>
      <c r="U1474" s="56">
        <v>3</v>
      </c>
    </row>
    <row r="1475" spans="1:21" ht="14.25" customHeight="1" x14ac:dyDescent="0.35">
      <c r="A1475" s="47">
        <v>1459</v>
      </c>
      <c r="B1475" s="69" t="s">
        <v>79</v>
      </c>
      <c r="C1475" s="69" t="s">
        <v>80</v>
      </c>
      <c r="D1475" s="70" t="s">
        <v>7429</v>
      </c>
      <c r="E1475" s="69" t="s">
        <v>2648</v>
      </c>
      <c r="F1475" s="69" t="s">
        <v>63</v>
      </c>
      <c r="G1475" s="69" t="s">
        <v>63</v>
      </c>
      <c r="H1475" s="70">
        <v>2019</v>
      </c>
      <c r="I1475" s="69" t="s">
        <v>63</v>
      </c>
      <c r="J1475" s="69" t="s">
        <v>63</v>
      </c>
      <c r="K1475" s="71" t="s">
        <v>7430</v>
      </c>
      <c r="L1475" s="71" t="s">
        <v>7431</v>
      </c>
      <c r="M1475" s="71" t="s">
        <v>7432</v>
      </c>
      <c r="N1475" s="69" t="s">
        <v>57</v>
      </c>
      <c r="O1475" s="64">
        <v>1</v>
      </c>
      <c r="P1475" s="72">
        <v>33000000</v>
      </c>
      <c r="Q1475" s="69" t="s">
        <v>7393</v>
      </c>
      <c r="R1475" s="69"/>
      <c r="S1475" s="203" t="s">
        <v>903</v>
      </c>
      <c r="T1475" s="56">
        <v>41</v>
      </c>
      <c r="U1475" s="56">
        <v>3</v>
      </c>
    </row>
    <row r="1476" spans="1:21" ht="14.25" customHeight="1" thickBot="1" x14ac:dyDescent="0.4">
      <c r="A1476" s="58">
        <v>1460</v>
      </c>
      <c r="B1476" s="69" t="s">
        <v>79</v>
      </c>
      <c r="C1476" s="69" t="s">
        <v>80</v>
      </c>
      <c r="D1476" s="70" t="s">
        <v>7433</v>
      </c>
      <c r="E1476" s="69" t="s">
        <v>2648</v>
      </c>
      <c r="F1476" s="69" t="s">
        <v>63</v>
      </c>
      <c r="G1476" s="69" t="s">
        <v>63</v>
      </c>
      <c r="H1476" s="70">
        <v>2019</v>
      </c>
      <c r="I1476" s="69" t="s">
        <v>63</v>
      </c>
      <c r="J1476" s="69" t="s">
        <v>63</v>
      </c>
      <c r="K1476" s="71" t="s">
        <v>7434</v>
      </c>
      <c r="L1476" s="71" t="s">
        <v>7435</v>
      </c>
      <c r="M1476" s="71" t="s">
        <v>7436</v>
      </c>
      <c r="N1476" s="69" t="s">
        <v>57</v>
      </c>
      <c r="O1476" s="64">
        <v>1</v>
      </c>
      <c r="P1476" s="72">
        <v>33000000</v>
      </c>
      <c r="Q1476" s="69" t="s">
        <v>7393</v>
      </c>
      <c r="R1476" s="69"/>
      <c r="S1476" s="203" t="s">
        <v>903</v>
      </c>
      <c r="T1476" s="56">
        <v>41</v>
      </c>
      <c r="U1476" s="56">
        <v>3</v>
      </c>
    </row>
    <row r="1477" spans="1:21" ht="14.25" customHeight="1" x14ac:dyDescent="0.35">
      <c r="A1477" s="47">
        <v>1461</v>
      </c>
      <c r="B1477" s="69" t="s">
        <v>79</v>
      </c>
      <c r="C1477" s="69" t="s">
        <v>80</v>
      </c>
      <c r="D1477" s="70" t="s">
        <v>6220</v>
      </c>
      <c r="E1477" s="69" t="s">
        <v>2648</v>
      </c>
      <c r="F1477" s="69" t="s">
        <v>63</v>
      </c>
      <c r="G1477" s="69" t="s">
        <v>63</v>
      </c>
      <c r="H1477" s="70">
        <v>2019</v>
      </c>
      <c r="I1477" s="69" t="s">
        <v>63</v>
      </c>
      <c r="J1477" s="69" t="s">
        <v>63</v>
      </c>
      <c r="K1477" s="71" t="s">
        <v>7437</v>
      </c>
      <c r="L1477" s="71" t="s">
        <v>7438</v>
      </c>
      <c r="M1477" s="71" t="s">
        <v>7439</v>
      </c>
      <c r="N1477" s="69" t="s">
        <v>57</v>
      </c>
      <c r="O1477" s="64">
        <v>1</v>
      </c>
      <c r="P1477" s="72">
        <v>33000000</v>
      </c>
      <c r="Q1477" s="69" t="s">
        <v>7393</v>
      </c>
      <c r="R1477" s="69"/>
      <c r="S1477" s="203" t="s">
        <v>903</v>
      </c>
      <c r="T1477" s="56">
        <v>41</v>
      </c>
      <c r="U1477" s="56">
        <v>3</v>
      </c>
    </row>
    <row r="1478" spans="1:21" ht="14.25" customHeight="1" thickBot="1" x14ac:dyDescent="0.4">
      <c r="A1478" s="58">
        <v>1462</v>
      </c>
      <c r="B1478" s="69" t="s">
        <v>79</v>
      </c>
      <c r="C1478" s="69" t="s">
        <v>80</v>
      </c>
      <c r="D1478" s="70" t="s">
        <v>6226</v>
      </c>
      <c r="E1478" s="69" t="s">
        <v>2648</v>
      </c>
      <c r="F1478" s="69" t="s">
        <v>63</v>
      </c>
      <c r="G1478" s="69" t="s">
        <v>63</v>
      </c>
      <c r="H1478" s="70">
        <v>2019</v>
      </c>
      <c r="I1478" s="69" t="s">
        <v>63</v>
      </c>
      <c r="J1478" s="69" t="s">
        <v>63</v>
      </c>
      <c r="K1478" s="71" t="s">
        <v>7440</v>
      </c>
      <c r="L1478" s="71" t="s">
        <v>7441</v>
      </c>
      <c r="M1478" s="71" t="s">
        <v>7442</v>
      </c>
      <c r="N1478" s="69" t="s">
        <v>57</v>
      </c>
      <c r="O1478" s="64">
        <v>1</v>
      </c>
      <c r="P1478" s="72">
        <v>33000000</v>
      </c>
      <c r="Q1478" s="69" t="s">
        <v>7393</v>
      </c>
      <c r="R1478" s="69"/>
      <c r="S1478" s="203" t="s">
        <v>903</v>
      </c>
      <c r="T1478" s="56">
        <v>41</v>
      </c>
      <c r="U1478" s="56">
        <v>3</v>
      </c>
    </row>
    <row r="1479" spans="1:21" ht="14.25" customHeight="1" x14ac:dyDescent="0.35">
      <c r="A1479" s="47">
        <v>1463</v>
      </c>
      <c r="B1479" s="69" t="s">
        <v>79</v>
      </c>
      <c r="C1479" s="69" t="s">
        <v>80</v>
      </c>
      <c r="D1479" s="70" t="s">
        <v>6232</v>
      </c>
      <c r="E1479" s="69" t="s">
        <v>2648</v>
      </c>
      <c r="F1479" s="69" t="s">
        <v>63</v>
      </c>
      <c r="G1479" s="69" t="s">
        <v>63</v>
      </c>
      <c r="H1479" s="70">
        <v>2019</v>
      </c>
      <c r="I1479" s="69" t="s">
        <v>63</v>
      </c>
      <c r="J1479" s="69" t="s">
        <v>63</v>
      </c>
      <c r="K1479" s="71" t="s">
        <v>7443</v>
      </c>
      <c r="L1479" s="71" t="s">
        <v>7444</v>
      </c>
      <c r="M1479" s="71" t="s">
        <v>7445</v>
      </c>
      <c r="N1479" s="69" t="s">
        <v>57</v>
      </c>
      <c r="O1479" s="64">
        <v>1</v>
      </c>
      <c r="P1479" s="72">
        <v>33000000</v>
      </c>
      <c r="Q1479" s="69" t="s">
        <v>7393</v>
      </c>
      <c r="R1479" s="69"/>
      <c r="S1479" s="203" t="s">
        <v>903</v>
      </c>
      <c r="T1479" s="56">
        <v>41</v>
      </c>
      <c r="U1479" s="56">
        <v>3</v>
      </c>
    </row>
    <row r="1480" spans="1:21" ht="14.25" customHeight="1" thickBot="1" x14ac:dyDescent="0.4">
      <c r="A1480" s="58">
        <v>1464</v>
      </c>
      <c r="B1480" s="69" t="s">
        <v>79</v>
      </c>
      <c r="C1480" s="69" t="s">
        <v>80</v>
      </c>
      <c r="D1480" s="70" t="s">
        <v>6238</v>
      </c>
      <c r="E1480" s="69" t="s">
        <v>2648</v>
      </c>
      <c r="F1480" s="69" t="s">
        <v>63</v>
      </c>
      <c r="G1480" s="69" t="s">
        <v>63</v>
      </c>
      <c r="H1480" s="70">
        <v>2019</v>
      </c>
      <c r="I1480" s="69" t="s">
        <v>63</v>
      </c>
      <c r="J1480" s="69" t="s">
        <v>63</v>
      </c>
      <c r="K1480" s="71" t="s">
        <v>7446</v>
      </c>
      <c r="L1480" s="71" t="s">
        <v>7447</v>
      </c>
      <c r="M1480" s="71" t="s">
        <v>7448</v>
      </c>
      <c r="N1480" s="69" t="s">
        <v>57</v>
      </c>
      <c r="O1480" s="64">
        <v>1</v>
      </c>
      <c r="P1480" s="72">
        <v>33000000</v>
      </c>
      <c r="Q1480" s="69" t="s">
        <v>7393</v>
      </c>
      <c r="R1480" s="69"/>
      <c r="S1480" s="203" t="s">
        <v>903</v>
      </c>
      <c r="T1480" s="56">
        <v>41</v>
      </c>
      <c r="U1480" s="56">
        <v>3</v>
      </c>
    </row>
    <row r="1481" spans="1:21" ht="14.25" customHeight="1" x14ac:dyDescent="0.35">
      <c r="A1481" s="47">
        <v>1465</v>
      </c>
      <c r="B1481" s="69" t="s">
        <v>79</v>
      </c>
      <c r="C1481" s="69" t="s">
        <v>80</v>
      </c>
      <c r="D1481" s="70" t="s">
        <v>6244</v>
      </c>
      <c r="E1481" s="69" t="s">
        <v>2648</v>
      </c>
      <c r="F1481" s="69" t="s">
        <v>63</v>
      </c>
      <c r="G1481" s="69" t="s">
        <v>63</v>
      </c>
      <c r="H1481" s="70">
        <v>2019</v>
      </c>
      <c r="I1481" s="69" t="s">
        <v>63</v>
      </c>
      <c r="J1481" s="69" t="s">
        <v>63</v>
      </c>
      <c r="K1481" s="71" t="s">
        <v>7449</v>
      </c>
      <c r="L1481" s="71" t="s">
        <v>7450</v>
      </c>
      <c r="M1481" s="71" t="s">
        <v>7451</v>
      </c>
      <c r="N1481" s="69" t="s">
        <v>57</v>
      </c>
      <c r="O1481" s="64">
        <v>1</v>
      </c>
      <c r="P1481" s="72">
        <v>33000000</v>
      </c>
      <c r="Q1481" s="69" t="s">
        <v>7393</v>
      </c>
      <c r="R1481" s="69"/>
      <c r="S1481" s="203" t="s">
        <v>903</v>
      </c>
      <c r="T1481" s="56">
        <v>41</v>
      </c>
      <c r="U1481" s="56">
        <v>3</v>
      </c>
    </row>
    <row r="1482" spans="1:21" ht="14.25" customHeight="1" thickBot="1" x14ac:dyDescent="0.4">
      <c r="A1482" s="58">
        <v>1466</v>
      </c>
      <c r="B1482" s="69" t="s">
        <v>79</v>
      </c>
      <c r="C1482" s="69" t="s">
        <v>80</v>
      </c>
      <c r="D1482" s="70" t="s">
        <v>6250</v>
      </c>
      <c r="E1482" s="69" t="s">
        <v>2648</v>
      </c>
      <c r="F1482" s="69" t="s">
        <v>63</v>
      </c>
      <c r="G1482" s="69" t="s">
        <v>63</v>
      </c>
      <c r="H1482" s="70">
        <v>2019</v>
      </c>
      <c r="I1482" s="69" t="s">
        <v>63</v>
      </c>
      <c r="J1482" s="69" t="s">
        <v>63</v>
      </c>
      <c r="K1482" s="71" t="s">
        <v>7452</v>
      </c>
      <c r="L1482" s="71" t="s">
        <v>7453</v>
      </c>
      <c r="M1482" s="71" t="s">
        <v>7454</v>
      </c>
      <c r="N1482" s="69" t="s">
        <v>57</v>
      </c>
      <c r="O1482" s="64">
        <v>1</v>
      </c>
      <c r="P1482" s="72">
        <v>33000000</v>
      </c>
      <c r="Q1482" s="69" t="s">
        <v>7393</v>
      </c>
      <c r="R1482" s="69"/>
      <c r="S1482" s="203" t="s">
        <v>903</v>
      </c>
      <c r="T1482" s="56">
        <v>41</v>
      </c>
      <c r="U1482" s="56">
        <v>3</v>
      </c>
    </row>
    <row r="1483" spans="1:21" ht="14.25" customHeight="1" x14ac:dyDescent="0.35">
      <c r="A1483" s="47">
        <v>1467</v>
      </c>
      <c r="B1483" s="69" t="s">
        <v>79</v>
      </c>
      <c r="C1483" s="69" t="s">
        <v>80</v>
      </c>
      <c r="D1483" s="70" t="s">
        <v>6256</v>
      </c>
      <c r="E1483" s="69" t="s">
        <v>2648</v>
      </c>
      <c r="F1483" s="69" t="s">
        <v>483</v>
      </c>
      <c r="G1483" s="69" t="s">
        <v>415</v>
      </c>
      <c r="H1483" s="70">
        <v>2019</v>
      </c>
      <c r="I1483" s="69" t="s">
        <v>63</v>
      </c>
      <c r="J1483" s="69" t="s">
        <v>7455</v>
      </c>
      <c r="K1483" s="71" t="s">
        <v>7456</v>
      </c>
      <c r="L1483" s="71" t="s">
        <v>7457</v>
      </c>
      <c r="M1483" s="71" t="s">
        <v>7458</v>
      </c>
      <c r="N1483" s="69" t="s">
        <v>57</v>
      </c>
      <c r="O1483" s="64">
        <v>1</v>
      </c>
      <c r="P1483" s="72">
        <v>33000000</v>
      </c>
      <c r="Q1483" s="69" t="s">
        <v>7393</v>
      </c>
      <c r="R1483" s="69"/>
      <c r="S1483" s="203" t="s">
        <v>903</v>
      </c>
      <c r="T1483" s="56">
        <v>41</v>
      </c>
      <c r="U1483" s="56">
        <v>3</v>
      </c>
    </row>
    <row r="1484" spans="1:21" ht="14.25" customHeight="1" thickBot="1" x14ac:dyDescent="0.4">
      <c r="A1484" s="58">
        <v>1468</v>
      </c>
      <c r="B1484" s="69" t="s">
        <v>79</v>
      </c>
      <c r="C1484" s="69" t="s">
        <v>80</v>
      </c>
      <c r="D1484" s="70" t="s">
        <v>6262</v>
      </c>
      <c r="E1484" s="69" t="s">
        <v>2648</v>
      </c>
      <c r="F1484" s="69" t="s">
        <v>63</v>
      </c>
      <c r="G1484" s="69" t="s">
        <v>63</v>
      </c>
      <c r="H1484" s="70">
        <v>2019</v>
      </c>
      <c r="I1484" s="69" t="s">
        <v>63</v>
      </c>
      <c r="J1484" s="69" t="s">
        <v>63</v>
      </c>
      <c r="K1484" s="71" t="s">
        <v>7459</v>
      </c>
      <c r="L1484" s="71" t="s">
        <v>7460</v>
      </c>
      <c r="M1484" s="71" t="s">
        <v>7461</v>
      </c>
      <c r="N1484" s="69" t="s">
        <v>57</v>
      </c>
      <c r="O1484" s="64">
        <v>1</v>
      </c>
      <c r="P1484" s="72">
        <v>33000000</v>
      </c>
      <c r="Q1484" s="69" t="s">
        <v>7393</v>
      </c>
      <c r="R1484" s="69"/>
      <c r="S1484" s="203" t="s">
        <v>903</v>
      </c>
      <c r="T1484" s="56">
        <v>41</v>
      </c>
      <c r="U1484" s="56">
        <v>3</v>
      </c>
    </row>
    <row r="1485" spans="1:21" ht="14.25" customHeight="1" x14ac:dyDescent="0.35">
      <c r="A1485" s="47">
        <v>1469</v>
      </c>
      <c r="B1485" s="69" t="s">
        <v>79</v>
      </c>
      <c r="C1485" s="69" t="s">
        <v>80</v>
      </c>
      <c r="D1485" s="70" t="s">
        <v>6268</v>
      </c>
      <c r="E1485" s="69" t="s">
        <v>2648</v>
      </c>
      <c r="F1485" s="69" t="s">
        <v>63</v>
      </c>
      <c r="G1485" s="69" t="s">
        <v>63</v>
      </c>
      <c r="H1485" s="70">
        <v>2019</v>
      </c>
      <c r="I1485" s="69" t="s">
        <v>63</v>
      </c>
      <c r="J1485" s="69" t="s">
        <v>63</v>
      </c>
      <c r="K1485" s="71" t="s">
        <v>7462</v>
      </c>
      <c r="L1485" s="71" t="s">
        <v>7463</v>
      </c>
      <c r="M1485" s="71" t="s">
        <v>7464</v>
      </c>
      <c r="N1485" s="69" t="s">
        <v>57</v>
      </c>
      <c r="O1485" s="64">
        <v>1</v>
      </c>
      <c r="P1485" s="72">
        <v>33000000</v>
      </c>
      <c r="Q1485" s="69" t="s">
        <v>7393</v>
      </c>
      <c r="R1485" s="69"/>
      <c r="S1485" s="203" t="s">
        <v>903</v>
      </c>
      <c r="T1485" s="56">
        <v>41</v>
      </c>
      <c r="U1485" s="56">
        <v>3</v>
      </c>
    </row>
    <row r="1486" spans="1:21" ht="14.25" customHeight="1" thickBot="1" x14ac:dyDescent="0.4">
      <c r="A1486" s="58">
        <v>1470</v>
      </c>
      <c r="B1486" s="69" t="s">
        <v>79</v>
      </c>
      <c r="C1486" s="69" t="s">
        <v>80</v>
      </c>
      <c r="D1486" s="70" t="s">
        <v>6274</v>
      </c>
      <c r="E1486" s="69" t="s">
        <v>2648</v>
      </c>
      <c r="F1486" s="69" t="s">
        <v>63</v>
      </c>
      <c r="G1486" s="69" t="s">
        <v>63</v>
      </c>
      <c r="H1486" s="70">
        <v>2019</v>
      </c>
      <c r="I1486" s="69" t="s">
        <v>63</v>
      </c>
      <c r="J1486" s="69" t="s">
        <v>63</v>
      </c>
      <c r="K1486" s="71" t="s">
        <v>7465</v>
      </c>
      <c r="L1486" s="71" t="s">
        <v>7466</v>
      </c>
      <c r="M1486" s="71" t="s">
        <v>7467</v>
      </c>
      <c r="N1486" s="69" t="s">
        <v>57</v>
      </c>
      <c r="O1486" s="64">
        <v>1</v>
      </c>
      <c r="P1486" s="72">
        <v>33000000</v>
      </c>
      <c r="Q1486" s="69" t="s">
        <v>7393</v>
      </c>
      <c r="R1486" s="69"/>
      <c r="S1486" s="203" t="s">
        <v>903</v>
      </c>
      <c r="T1486" s="56">
        <v>41</v>
      </c>
      <c r="U1486" s="56">
        <v>3</v>
      </c>
    </row>
    <row r="1487" spans="1:21" ht="14.25" customHeight="1" x14ac:dyDescent="0.35">
      <c r="A1487" s="47">
        <v>1471</v>
      </c>
      <c r="B1487" s="69" t="s">
        <v>79</v>
      </c>
      <c r="C1487" s="69" t="s">
        <v>80</v>
      </c>
      <c r="D1487" s="70" t="s">
        <v>6280</v>
      </c>
      <c r="E1487" s="69" t="s">
        <v>2648</v>
      </c>
      <c r="F1487" s="69" t="s">
        <v>63</v>
      </c>
      <c r="G1487" s="69" t="s">
        <v>63</v>
      </c>
      <c r="H1487" s="70">
        <v>2019</v>
      </c>
      <c r="I1487" s="69" t="s">
        <v>63</v>
      </c>
      <c r="J1487" s="69" t="s">
        <v>63</v>
      </c>
      <c r="K1487" s="71" t="s">
        <v>7468</v>
      </c>
      <c r="L1487" s="71" t="s">
        <v>7469</v>
      </c>
      <c r="M1487" s="71" t="s">
        <v>7470</v>
      </c>
      <c r="N1487" s="69" t="s">
        <v>57</v>
      </c>
      <c r="O1487" s="64">
        <v>1</v>
      </c>
      <c r="P1487" s="72">
        <v>33000000</v>
      </c>
      <c r="Q1487" s="69" t="s">
        <v>7393</v>
      </c>
      <c r="R1487" s="69"/>
      <c r="S1487" s="203" t="s">
        <v>903</v>
      </c>
      <c r="T1487" s="56">
        <v>41</v>
      </c>
      <c r="U1487" s="56">
        <v>3</v>
      </c>
    </row>
    <row r="1488" spans="1:21" ht="14.25" customHeight="1" thickBot="1" x14ac:dyDescent="0.4">
      <c r="A1488" s="58">
        <v>1472</v>
      </c>
      <c r="B1488" s="69" t="s">
        <v>79</v>
      </c>
      <c r="C1488" s="69" t="s">
        <v>80</v>
      </c>
      <c r="D1488" s="70" t="s">
        <v>7471</v>
      </c>
      <c r="E1488" s="69" t="s">
        <v>2648</v>
      </c>
      <c r="F1488" s="69" t="s">
        <v>63</v>
      </c>
      <c r="G1488" s="69" t="s">
        <v>63</v>
      </c>
      <c r="H1488" s="70">
        <v>2019</v>
      </c>
      <c r="I1488" s="69" t="s">
        <v>63</v>
      </c>
      <c r="J1488" s="69" t="s">
        <v>63</v>
      </c>
      <c r="K1488" s="71" t="s">
        <v>7472</v>
      </c>
      <c r="L1488" s="71" t="s">
        <v>7473</v>
      </c>
      <c r="M1488" s="71" t="s">
        <v>7474</v>
      </c>
      <c r="N1488" s="69" t="s">
        <v>57</v>
      </c>
      <c r="O1488" s="64">
        <v>1</v>
      </c>
      <c r="P1488" s="72">
        <v>33000000</v>
      </c>
      <c r="Q1488" s="69" t="s">
        <v>7393</v>
      </c>
      <c r="R1488" s="69"/>
      <c r="S1488" s="203" t="s">
        <v>903</v>
      </c>
      <c r="T1488" s="56">
        <v>41</v>
      </c>
      <c r="U1488" s="56">
        <v>3</v>
      </c>
    </row>
    <row r="1489" spans="1:21" ht="14.25" customHeight="1" x14ac:dyDescent="0.35">
      <c r="A1489" s="47">
        <v>1473</v>
      </c>
      <c r="B1489" s="69" t="s">
        <v>79</v>
      </c>
      <c r="C1489" s="69" t="s">
        <v>80</v>
      </c>
      <c r="D1489" s="70" t="s">
        <v>6285</v>
      </c>
      <c r="E1489" s="69" t="s">
        <v>2524</v>
      </c>
      <c r="F1489" s="69" t="s">
        <v>217</v>
      </c>
      <c r="G1489" s="69" t="s">
        <v>2525</v>
      </c>
      <c r="H1489" s="70">
        <v>2020</v>
      </c>
      <c r="I1489" s="69" t="s">
        <v>63</v>
      </c>
      <c r="J1489" s="69" t="s">
        <v>63</v>
      </c>
      <c r="K1489" s="71" t="s">
        <v>7475</v>
      </c>
      <c r="L1489" s="71" t="s">
        <v>7476</v>
      </c>
      <c r="M1489" s="71" t="s">
        <v>7477</v>
      </c>
      <c r="N1489" s="69" t="s">
        <v>57</v>
      </c>
      <c r="O1489" s="64">
        <v>1</v>
      </c>
      <c r="P1489" s="72">
        <v>33000000</v>
      </c>
      <c r="Q1489" s="69" t="s">
        <v>2530</v>
      </c>
      <c r="R1489" s="69"/>
      <c r="S1489" s="203" t="s">
        <v>903</v>
      </c>
      <c r="T1489" s="56">
        <v>41</v>
      </c>
      <c r="U1489" s="56">
        <v>3</v>
      </c>
    </row>
    <row r="1490" spans="1:21" ht="14.25" customHeight="1" thickBot="1" x14ac:dyDescent="0.4">
      <c r="A1490" s="58">
        <v>1474</v>
      </c>
      <c r="B1490" s="69" t="s">
        <v>79</v>
      </c>
      <c r="C1490" s="69" t="s">
        <v>80</v>
      </c>
      <c r="D1490" s="70" t="s">
        <v>7478</v>
      </c>
      <c r="E1490" s="69" t="s">
        <v>2648</v>
      </c>
      <c r="F1490" s="69" t="s">
        <v>63</v>
      </c>
      <c r="G1490" s="69" t="s">
        <v>63</v>
      </c>
      <c r="H1490" s="70">
        <v>2019</v>
      </c>
      <c r="I1490" s="69" t="s">
        <v>63</v>
      </c>
      <c r="J1490" s="69" t="s">
        <v>63</v>
      </c>
      <c r="K1490" s="71" t="s">
        <v>7479</v>
      </c>
      <c r="L1490" s="71" t="s">
        <v>7480</v>
      </c>
      <c r="M1490" s="71" t="s">
        <v>7481</v>
      </c>
      <c r="N1490" s="69" t="s">
        <v>57</v>
      </c>
      <c r="O1490" s="64">
        <v>1</v>
      </c>
      <c r="P1490" s="72">
        <v>33000000</v>
      </c>
      <c r="Q1490" s="69" t="s">
        <v>7393</v>
      </c>
      <c r="R1490" s="69"/>
      <c r="S1490" s="203" t="s">
        <v>903</v>
      </c>
      <c r="T1490" s="56">
        <v>41</v>
      </c>
      <c r="U1490" s="56">
        <v>3</v>
      </c>
    </row>
    <row r="1491" spans="1:21" ht="14.25" customHeight="1" x14ac:dyDescent="0.35">
      <c r="A1491" s="47">
        <v>1475</v>
      </c>
      <c r="B1491" s="69" t="s">
        <v>79</v>
      </c>
      <c r="C1491" s="69" t="s">
        <v>80</v>
      </c>
      <c r="D1491" s="70" t="s">
        <v>6293</v>
      </c>
      <c r="E1491" s="69" t="s">
        <v>2648</v>
      </c>
      <c r="F1491" s="69" t="s">
        <v>63</v>
      </c>
      <c r="G1491" s="69" t="s">
        <v>63</v>
      </c>
      <c r="H1491" s="70">
        <v>2019</v>
      </c>
      <c r="I1491" s="69" t="s">
        <v>63</v>
      </c>
      <c r="J1491" s="69" t="s">
        <v>63</v>
      </c>
      <c r="K1491" s="71" t="s">
        <v>7482</v>
      </c>
      <c r="L1491" s="71" t="s">
        <v>7483</v>
      </c>
      <c r="M1491" s="71" t="s">
        <v>7484</v>
      </c>
      <c r="N1491" s="69" t="s">
        <v>57</v>
      </c>
      <c r="O1491" s="64">
        <v>1</v>
      </c>
      <c r="P1491" s="72">
        <v>33000000</v>
      </c>
      <c r="Q1491" s="69" t="s">
        <v>7393</v>
      </c>
      <c r="R1491" s="69"/>
      <c r="S1491" s="203" t="s">
        <v>903</v>
      </c>
      <c r="T1491" s="56">
        <v>41</v>
      </c>
      <c r="U1491" s="56">
        <v>3</v>
      </c>
    </row>
    <row r="1492" spans="1:21" ht="14.25" customHeight="1" thickBot="1" x14ac:dyDescent="0.4">
      <c r="A1492" s="58">
        <v>1476</v>
      </c>
      <c r="B1492" s="69" t="s">
        <v>79</v>
      </c>
      <c r="C1492" s="69" t="s">
        <v>80</v>
      </c>
      <c r="D1492" s="70" t="s">
        <v>6306</v>
      </c>
      <c r="E1492" s="69" t="s">
        <v>7485</v>
      </c>
      <c r="F1492" s="69" t="s">
        <v>217</v>
      </c>
      <c r="G1492" s="69" t="s">
        <v>415</v>
      </c>
      <c r="H1492" s="70">
        <v>2017</v>
      </c>
      <c r="I1492" s="69" t="s">
        <v>63</v>
      </c>
      <c r="J1492" s="69" t="s">
        <v>7486</v>
      </c>
      <c r="K1492" s="71" t="s">
        <v>7487</v>
      </c>
      <c r="L1492" s="71" t="s">
        <v>7488</v>
      </c>
      <c r="M1492" s="71" t="s">
        <v>63</v>
      </c>
      <c r="N1492" s="69" t="s">
        <v>57</v>
      </c>
      <c r="O1492" s="64">
        <v>1</v>
      </c>
      <c r="P1492" s="72">
        <v>28061000</v>
      </c>
      <c r="Q1492" s="69" t="s">
        <v>7489</v>
      </c>
      <c r="R1492" s="69"/>
      <c r="S1492" s="203" t="s">
        <v>903</v>
      </c>
      <c r="T1492" s="56">
        <v>41</v>
      </c>
      <c r="U1492" s="56">
        <v>3</v>
      </c>
    </row>
    <row r="1493" spans="1:21" ht="14.25" customHeight="1" x14ac:dyDescent="0.35">
      <c r="A1493" s="47">
        <v>1477</v>
      </c>
      <c r="B1493" s="69" t="s">
        <v>79</v>
      </c>
      <c r="C1493" s="69" t="s">
        <v>80</v>
      </c>
      <c r="D1493" s="70" t="s">
        <v>6312</v>
      </c>
      <c r="E1493" s="69" t="s">
        <v>414</v>
      </c>
      <c r="F1493" s="69" t="s">
        <v>217</v>
      </c>
      <c r="G1493" s="69" t="s">
        <v>415</v>
      </c>
      <c r="H1493" s="70">
        <v>2021</v>
      </c>
      <c r="I1493" s="69" t="s">
        <v>63</v>
      </c>
      <c r="J1493" s="69" t="s">
        <v>63</v>
      </c>
      <c r="K1493" s="71" t="s">
        <v>7490</v>
      </c>
      <c r="L1493" s="71" t="s">
        <v>7491</v>
      </c>
      <c r="M1493" s="71" t="s">
        <v>7492</v>
      </c>
      <c r="N1493" s="69" t="s">
        <v>57</v>
      </c>
      <c r="O1493" s="64">
        <v>1</v>
      </c>
      <c r="P1493" s="72">
        <v>33100000</v>
      </c>
      <c r="Q1493" s="69" t="s">
        <v>420</v>
      </c>
      <c r="R1493" s="69"/>
      <c r="S1493" s="203" t="s">
        <v>903</v>
      </c>
      <c r="T1493" s="56">
        <v>41</v>
      </c>
      <c r="U1493" s="56">
        <v>3</v>
      </c>
    </row>
    <row r="1494" spans="1:21" ht="14.25" customHeight="1" thickBot="1" x14ac:dyDescent="0.4">
      <c r="A1494" s="58">
        <v>1478</v>
      </c>
      <c r="B1494" s="69" t="s">
        <v>79</v>
      </c>
      <c r="C1494" s="69" t="s">
        <v>80</v>
      </c>
      <c r="D1494" s="70" t="s">
        <v>6318</v>
      </c>
      <c r="E1494" s="69" t="s">
        <v>414</v>
      </c>
      <c r="F1494" s="69" t="s">
        <v>217</v>
      </c>
      <c r="G1494" s="69" t="s">
        <v>415</v>
      </c>
      <c r="H1494" s="70">
        <v>2021</v>
      </c>
      <c r="I1494" s="69" t="s">
        <v>63</v>
      </c>
      <c r="J1494" s="69" t="s">
        <v>63</v>
      </c>
      <c r="K1494" s="71" t="s">
        <v>7493</v>
      </c>
      <c r="L1494" s="71" t="s">
        <v>7494</v>
      </c>
      <c r="M1494" s="71" t="s">
        <v>7495</v>
      </c>
      <c r="N1494" s="69" t="s">
        <v>57</v>
      </c>
      <c r="O1494" s="64">
        <v>1</v>
      </c>
      <c r="P1494" s="72">
        <v>33100000</v>
      </c>
      <c r="Q1494" s="69" t="s">
        <v>420</v>
      </c>
      <c r="R1494" s="69"/>
      <c r="S1494" s="203" t="s">
        <v>903</v>
      </c>
      <c r="T1494" s="56">
        <v>41</v>
      </c>
      <c r="U1494" s="56">
        <v>3</v>
      </c>
    </row>
    <row r="1495" spans="1:21" ht="14.25" customHeight="1" x14ac:dyDescent="0.35">
      <c r="A1495" s="47">
        <v>1479</v>
      </c>
      <c r="B1495" s="69" t="s">
        <v>79</v>
      </c>
      <c r="C1495" s="69" t="s">
        <v>80</v>
      </c>
      <c r="D1495" s="70" t="s">
        <v>6324</v>
      </c>
      <c r="E1495" s="69" t="s">
        <v>414</v>
      </c>
      <c r="F1495" s="69" t="s">
        <v>217</v>
      </c>
      <c r="G1495" s="69" t="s">
        <v>415</v>
      </c>
      <c r="H1495" s="70">
        <v>2021</v>
      </c>
      <c r="I1495" s="69" t="s">
        <v>63</v>
      </c>
      <c r="J1495" s="69" t="s">
        <v>63</v>
      </c>
      <c r="K1495" s="71" t="s">
        <v>7496</v>
      </c>
      <c r="L1495" s="71" t="s">
        <v>7497</v>
      </c>
      <c r="M1495" s="71" t="s">
        <v>7498</v>
      </c>
      <c r="N1495" s="69" t="s">
        <v>57</v>
      </c>
      <c r="O1495" s="64">
        <v>1</v>
      </c>
      <c r="P1495" s="72">
        <v>33100000</v>
      </c>
      <c r="Q1495" s="69" t="s">
        <v>420</v>
      </c>
      <c r="R1495" s="69"/>
      <c r="S1495" s="203" t="s">
        <v>903</v>
      </c>
      <c r="T1495" s="56">
        <v>41</v>
      </c>
      <c r="U1495" s="56">
        <v>3</v>
      </c>
    </row>
    <row r="1496" spans="1:21" ht="14.25" customHeight="1" thickBot="1" x14ac:dyDescent="0.4">
      <c r="A1496" s="58">
        <v>1480</v>
      </c>
      <c r="B1496" s="69" t="s">
        <v>79</v>
      </c>
      <c r="C1496" s="69" t="s">
        <v>80</v>
      </c>
      <c r="D1496" s="70" t="s">
        <v>6329</v>
      </c>
      <c r="E1496" s="69" t="s">
        <v>414</v>
      </c>
      <c r="F1496" s="69" t="s">
        <v>217</v>
      </c>
      <c r="G1496" s="69" t="s">
        <v>415</v>
      </c>
      <c r="H1496" s="70">
        <v>2021</v>
      </c>
      <c r="I1496" s="69" t="s">
        <v>63</v>
      </c>
      <c r="J1496" s="69" t="s">
        <v>63</v>
      </c>
      <c r="K1496" s="71" t="s">
        <v>7499</v>
      </c>
      <c r="L1496" s="71" t="s">
        <v>7500</v>
      </c>
      <c r="M1496" s="71" t="s">
        <v>7501</v>
      </c>
      <c r="N1496" s="69" t="s">
        <v>57</v>
      </c>
      <c r="O1496" s="64">
        <v>1</v>
      </c>
      <c r="P1496" s="72">
        <v>33100000</v>
      </c>
      <c r="Q1496" s="69" t="s">
        <v>420</v>
      </c>
      <c r="R1496" s="69"/>
      <c r="S1496" s="203" t="s">
        <v>903</v>
      </c>
      <c r="T1496" s="56">
        <v>41</v>
      </c>
      <c r="U1496" s="56">
        <v>3</v>
      </c>
    </row>
    <row r="1497" spans="1:21" ht="14.25" customHeight="1" x14ac:dyDescent="0.35">
      <c r="A1497" s="47">
        <v>1481</v>
      </c>
      <c r="B1497" s="69" t="s">
        <v>79</v>
      </c>
      <c r="C1497" s="69" t="s">
        <v>80</v>
      </c>
      <c r="D1497" s="70" t="s">
        <v>6335</v>
      </c>
      <c r="E1497" s="69" t="s">
        <v>414</v>
      </c>
      <c r="F1497" s="69" t="s">
        <v>217</v>
      </c>
      <c r="G1497" s="69" t="s">
        <v>415</v>
      </c>
      <c r="H1497" s="70">
        <v>2021</v>
      </c>
      <c r="I1497" s="69" t="s">
        <v>63</v>
      </c>
      <c r="J1497" s="69" t="s">
        <v>63</v>
      </c>
      <c r="K1497" s="71" t="s">
        <v>7502</v>
      </c>
      <c r="L1497" s="71" t="s">
        <v>7503</v>
      </c>
      <c r="M1497" s="71" t="s">
        <v>7504</v>
      </c>
      <c r="N1497" s="69" t="s">
        <v>57</v>
      </c>
      <c r="O1497" s="64">
        <v>1</v>
      </c>
      <c r="P1497" s="72">
        <v>33100000</v>
      </c>
      <c r="Q1497" s="69" t="s">
        <v>420</v>
      </c>
      <c r="R1497" s="69"/>
      <c r="S1497" s="203" t="s">
        <v>903</v>
      </c>
      <c r="T1497" s="56">
        <v>41</v>
      </c>
      <c r="U1497" s="56">
        <v>3</v>
      </c>
    </row>
    <row r="1498" spans="1:21" ht="14.25" customHeight="1" thickBot="1" x14ac:dyDescent="0.4">
      <c r="A1498" s="58">
        <v>1482</v>
      </c>
      <c r="B1498" s="69" t="s">
        <v>79</v>
      </c>
      <c r="C1498" s="69" t="s">
        <v>80</v>
      </c>
      <c r="D1498" s="70" t="s">
        <v>6341</v>
      </c>
      <c r="E1498" s="69" t="s">
        <v>414</v>
      </c>
      <c r="F1498" s="69" t="s">
        <v>217</v>
      </c>
      <c r="G1498" s="69" t="s">
        <v>415</v>
      </c>
      <c r="H1498" s="70">
        <v>2021</v>
      </c>
      <c r="I1498" s="69" t="s">
        <v>63</v>
      </c>
      <c r="J1498" s="69" t="s">
        <v>63</v>
      </c>
      <c r="K1498" s="71" t="s">
        <v>7505</v>
      </c>
      <c r="L1498" s="71" t="s">
        <v>7506</v>
      </c>
      <c r="M1498" s="71" t="s">
        <v>7507</v>
      </c>
      <c r="N1498" s="69" t="s">
        <v>57</v>
      </c>
      <c r="O1498" s="64">
        <v>1</v>
      </c>
      <c r="P1498" s="72">
        <v>33100000</v>
      </c>
      <c r="Q1498" s="69" t="s">
        <v>420</v>
      </c>
      <c r="R1498" s="69"/>
      <c r="S1498" s="203" t="s">
        <v>903</v>
      </c>
      <c r="T1498" s="56">
        <v>41</v>
      </c>
      <c r="U1498" s="56">
        <v>3</v>
      </c>
    </row>
    <row r="1499" spans="1:21" ht="14.25" customHeight="1" x14ac:dyDescent="0.35">
      <c r="A1499" s="47">
        <v>1483</v>
      </c>
      <c r="B1499" s="69" t="s">
        <v>79</v>
      </c>
      <c r="C1499" s="69" t="s">
        <v>80</v>
      </c>
      <c r="D1499" s="70" t="s">
        <v>6347</v>
      </c>
      <c r="E1499" s="69" t="s">
        <v>414</v>
      </c>
      <c r="F1499" s="69" t="s">
        <v>217</v>
      </c>
      <c r="G1499" s="69" t="s">
        <v>415</v>
      </c>
      <c r="H1499" s="70">
        <v>2021</v>
      </c>
      <c r="I1499" s="69" t="s">
        <v>63</v>
      </c>
      <c r="J1499" s="69" t="s">
        <v>63</v>
      </c>
      <c r="K1499" s="71" t="s">
        <v>7508</v>
      </c>
      <c r="L1499" s="71" t="s">
        <v>7509</v>
      </c>
      <c r="M1499" s="71" t="s">
        <v>7510</v>
      </c>
      <c r="N1499" s="69" t="s">
        <v>57</v>
      </c>
      <c r="O1499" s="64">
        <v>1</v>
      </c>
      <c r="P1499" s="72">
        <v>33100000</v>
      </c>
      <c r="Q1499" s="69" t="s">
        <v>420</v>
      </c>
      <c r="R1499" s="69"/>
      <c r="S1499" s="203" t="s">
        <v>903</v>
      </c>
      <c r="T1499" s="56">
        <v>41</v>
      </c>
      <c r="U1499" s="56">
        <v>3</v>
      </c>
    </row>
    <row r="1500" spans="1:21" ht="14.25" customHeight="1" thickBot="1" x14ac:dyDescent="0.4">
      <c r="A1500" s="58">
        <v>1484</v>
      </c>
      <c r="B1500" s="69" t="s">
        <v>79</v>
      </c>
      <c r="C1500" s="69" t="s">
        <v>80</v>
      </c>
      <c r="D1500" s="70" t="s">
        <v>6354</v>
      </c>
      <c r="E1500" s="69" t="s">
        <v>414</v>
      </c>
      <c r="F1500" s="69" t="s">
        <v>217</v>
      </c>
      <c r="G1500" s="69" t="s">
        <v>415</v>
      </c>
      <c r="H1500" s="70">
        <v>2021</v>
      </c>
      <c r="I1500" s="69" t="s">
        <v>63</v>
      </c>
      <c r="J1500" s="69" t="s">
        <v>63</v>
      </c>
      <c r="K1500" s="71" t="s">
        <v>7511</v>
      </c>
      <c r="L1500" s="71" t="s">
        <v>7512</v>
      </c>
      <c r="M1500" s="71" t="s">
        <v>7513</v>
      </c>
      <c r="N1500" s="69" t="s">
        <v>57</v>
      </c>
      <c r="O1500" s="64">
        <v>1</v>
      </c>
      <c r="P1500" s="72">
        <v>33100000</v>
      </c>
      <c r="Q1500" s="69" t="s">
        <v>420</v>
      </c>
      <c r="R1500" s="69"/>
      <c r="S1500" s="203" t="s">
        <v>903</v>
      </c>
      <c r="T1500" s="56">
        <v>41</v>
      </c>
      <c r="U1500" s="56">
        <v>3</v>
      </c>
    </row>
    <row r="1501" spans="1:21" ht="14.25" customHeight="1" x14ac:dyDescent="0.35">
      <c r="A1501" s="47">
        <v>1485</v>
      </c>
      <c r="B1501" s="69" t="s">
        <v>79</v>
      </c>
      <c r="C1501" s="69" t="s">
        <v>80</v>
      </c>
      <c r="D1501" s="70" t="s">
        <v>6359</v>
      </c>
      <c r="E1501" s="69" t="s">
        <v>414</v>
      </c>
      <c r="F1501" s="69" t="s">
        <v>217</v>
      </c>
      <c r="G1501" s="69" t="s">
        <v>415</v>
      </c>
      <c r="H1501" s="70">
        <v>2021</v>
      </c>
      <c r="I1501" s="69" t="s">
        <v>63</v>
      </c>
      <c r="J1501" s="69" t="s">
        <v>63</v>
      </c>
      <c r="K1501" s="71" t="s">
        <v>7514</v>
      </c>
      <c r="L1501" s="71" t="s">
        <v>7515</v>
      </c>
      <c r="M1501" s="71" t="s">
        <v>7516</v>
      </c>
      <c r="N1501" s="69" t="s">
        <v>57</v>
      </c>
      <c r="O1501" s="64">
        <v>1</v>
      </c>
      <c r="P1501" s="72">
        <v>33100000</v>
      </c>
      <c r="Q1501" s="69" t="s">
        <v>420</v>
      </c>
      <c r="R1501" s="69"/>
      <c r="S1501" s="203" t="s">
        <v>903</v>
      </c>
      <c r="T1501" s="56">
        <v>41</v>
      </c>
      <c r="U1501" s="56">
        <v>3</v>
      </c>
    </row>
    <row r="1502" spans="1:21" ht="14.25" customHeight="1" thickBot="1" x14ac:dyDescent="0.4">
      <c r="A1502" s="58">
        <v>1486</v>
      </c>
      <c r="B1502" s="69" t="s">
        <v>79</v>
      </c>
      <c r="C1502" s="69" t="s">
        <v>80</v>
      </c>
      <c r="D1502" s="70" t="s">
        <v>7517</v>
      </c>
      <c r="E1502" s="69" t="s">
        <v>414</v>
      </c>
      <c r="F1502" s="69" t="s">
        <v>217</v>
      </c>
      <c r="G1502" s="69" t="s">
        <v>415</v>
      </c>
      <c r="H1502" s="70">
        <v>2021</v>
      </c>
      <c r="I1502" s="69" t="s">
        <v>63</v>
      </c>
      <c r="J1502" s="69" t="s">
        <v>63</v>
      </c>
      <c r="K1502" s="71" t="s">
        <v>7518</v>
      </c>
      <c r="L1502" s="71" t="s">
        <v>7519</v>
      </c>
      <c r="M1502" s="71" t="s">
        <v>7520</v>
      </c>
      <c r="N1502" s="69" t="s">
        <v>57</v>
      </c>
      <c r="O1502" s="64">
        <v>1</v>
      </c>
      <c r="P1502" s="72">
        <v>33100000</v>
      </c>
      <c r="Q1502" s="69" t="s">
        <v>420</v>
      </c>
      <c r="R1502" s="69"/>
      <c r="S1502" s="203" t="s">
        <v>903</v>
      </c>
      <c r="T1502" s="56">
        <v>41</v>
      </c>
      <c r="U1502" s="56">
        <v>3</v>
      </c>
    </row>
    <row r="1503" spans="1:21" ht="14.25" customHeight="1" x14ac:dyDescent="0.35">
      <c r="A1503" s="47">
        <v>1487</v>
      </c>
      <c r="B1503" s="69" t="s">
        <v>79</v>
      </c>
      <c r="C1503" s="69" t="s">
        <v>80</v>
      </c>
      <c r="D1503" s="70" t="s">
        <v>7521</v>
      </c>
      <c r="E1503" s="69" t="s">
        <v>414</v>
      </c>
      <c r="F1503" s="69" t="s">
        <v>217</v>
      </c>
      <c r="G1503" s="69" t="s">
        <v>415</v>
      </c>
      <c r="H1503" s="70">
        <v>2021</v>
      </c>
      <c r="I1503" s="69" t="s">
        <v>63</v>
      </c>
      <c r="J1503" s="69" t="s">
        <v>63</v>
      </c>
      <c r="K1503" s="71" t="s">
        <v>7522</v>
      </c>
      <c r="L1503" s="71" t="s">
        <v>7523</v>
      </c>
      <c r="M1503" s="71" t="s">
        <v>7524</v>
      </c>
      <c r="N1503" s="69" t="s">
        <v>57</v>
      </c>
      <c r="O1503" s="64">
        <v>1</v>
      </c>
      <c r="P1503" s="72">
        <v>33100000</v>
      </c>
      <c r="Q1503" s="69" t="s">
        <v>420</v>
      </c>
      <c r="R1503" s="69"/>
      <c r="S1503" s="203" t="s">
        <v>903</v>
      </c>
      <c r="T1503" s="56">
        <v>41</v>
      </c>
      <c r="U1503" s="56">
        <v>3</v>
      </c>
    </row>
    <row r="1504" spans="1:21" ht="14.25" customHeight="1" thickBot="1" x14ac:dyDescent="0.4">
      <c r="A1504" s="58">
        <v>1488</v>
      </c>
      <c r="B1504" s="69" t="s">
        <v>79</v>
      </c>
      <c r="C1504" s="69" t="s">
        <v>80</v>
      </c>
      <c r="D1504" s="70" t="s">
        <v>7525</v>
      </c>
      <c r="E1504" s="69" t="s">
        <v>414</v>
      </c>
      <c r="F1504" s="69" t="s">
        <v>217</v>
      </c>
      <c r="G1504" s="69" t="s">
        <v>415</v>
      </c>
      <c r="H1504" s="70">
        <v>2021</v>
      </c>
      <c r="I1504" s="69" t="s">
        <v>63</v>
      </c>
      <c r="J1504" s="69" t="s">
        <v>63</v>
      </c>
      <c r="K1504" s="71" t="s">
        <v>7526</v>
      </c>
      <c r="L1504" s="71" t="s">
        <v>7527</v>
      </c>
      <c r="M1504" s="71" t="s">
        <v>7528</v>
      </c>
      <c r="N1504" s="69" t="s">
        <v>57</v>
      </c>
      <c r="O1504" s="64">
        <v>1</v>
      </c>
      <c r="P1504" s="72">
        <v>33100000</v>
      </c>
      <c r="Q1504" s="69" t="s">
        <v>420</v>
      </c>
      <c r="R1504" s="69"/>
      <c r="S1504" s="203" t="s">
        <v>903</v>
      </c>
      <c r="T1504" s="56">
        <v>41</v>
      </c>
      <c r="U1504" s="56">
        <v>3</v>
      </c>
    </row>
    <row r="1505" spans="1:21" ht="14.25" customHeight="1" x14ac:dyDescent="0.35">
      <c r="A1505" s="47">
        <v>1489</v>
      </c>
      <c r="B1505" s="69" t="s">
        <v>79</v>
      </c>
      <c r="C1505" s="69" t="s">
        <v>80</v>
      </c>
      <c r="D1505" s="70" t="s">
        <v>7529</v>
      </c>
      <c r="E1505" s="69" t="s">
        <v>414</v>
      </c>
      <c r="F1505" s="69" t="s">
        <v>217</v>
      </c>
      <c r="G1505" s="69" t="s">
        <v>415</v>
      </c>
      <c r="H1505" s="70">
        <v>2021</v>
      </c>
      <c r="I1505" s="69" t="s">
        <v>63</v>
      </c>
      <c r="J1505" s="69" t="s">
        <v>63</v>
      </c>
      <c r="K1505" s="71" t="s">
        <v>7530</v>
      </c>
      <c r="L1505" s="71" t="s">
        <v>7531</v>
      </c>
      <c r="M1505" s="71" t="s">
        <v>7532</v>
      </c>
      <c r="N1505" s="69" t="s">
        <v>57</v>
      </c>
      <c r="O1505" s="64">
        <v>1</v>
      </c>
      <c r="P1505" s="72">
        <v>33100000</v>
      </c>
      <c r="Q1505" s="69" t="s">
        <v>420</v>
      </c>
      <c r="R1505" s="69"/>
      <c r="S1505" s="203" t="s">
        <v>903</v>
      </c>
      <c r="T1505" s="56">
        <v>41</v>
      </c>
      <c r="U1505" s="56">
        <v>3</v>
      </c>
    </row>
    <row r="1506" spans="1:21" ht="14.25" customHeight="1" thickBot="1" x14ac:dyDescent="0.4">
      <c r="A1506" s="58">
        <v>1490</v>
      </c>
      <c r="B1506" s="69" t="s">
        <v>79</v>
      </c>
      <c r="C1506" s="69" t="s">
        <v>80</v>
      </c>
      <c r="D1506" s="70" t="s">
        <v>7533</v>
      </c>
      <c r="E1506" s="69" t="s">
        <v>414</v>
      </c>
      <c r="F1506" s="69" t="s">
        <v>217</v>
      </c>
      <c r="G1506" s="69" t="s">
        <v>415</v>
      </c>
      <c r="H1506" s="70">
        <v>2021</v>
      </c>
      <c r="I1506" s="69" t="s">
        <v>63</v>
      </c>
      <c r="J1506" s="69" t="s">
        <v>63</v>
      </c>
      <c r="K1506" s="71" t="s">
        <v>7534</v>
      </c>
      <c r="L1506" s="71" t="s">
        <v>7535</v>
      </c>
      <c r="M1506" s="71" t="s">
        <v>7536</v>
      </c>
      <c r="N1506" s="69" t="s">
        <v>57</v>
      </c>
      <c r="O1506" s="64">
        <v>1</v>
      </c>
      <c r="P1506" s="72">
        <v>33100000</v>
      </c>
      <c r="Q1506" s="69" t="s">
        <v>420</v>
      </c>
      <c r="R1506" s="69"/>
      <c r="S1506" s="203" t="s">
        <v>903</v>
      </c>
      <c r="T1506" s="56">
        <v>41</v>
      </c>
      <c r="U1506" s="56">
        <v>3</v>
      </c>
    </row>
    <row r="1507" spans="1:21" ht="14.25" customHeight="1" x14ac:dyDescent="0.35">
      <c r="A1507" s="47">
        <v>1491</v>
      </c>
      <c r="B1507" s="69" t="s">
        <v>79</v>
      </c>
      <c r="C1507" s="69" t="s">
        <v>80</v>
      </c>
      <c r="D1507" s="70" t="s">
        <v>7537</v>
      </c>
      <c r="E1507" s="69" t="s">
        <v>414</v>
      </c>
      <c r="F1507" s="69" t="s">
        <v>217</v>
      </c>
      <c r="G1507" s="69" t="s">
        <v>415</v>
      </c>
      <c r="H1507" s="70">
        <v>2021</v>
      </c>
      <c r="I1507" s="69" t="s">
        <v>63</v>
      </c>
      <c r="J1507" s="69" t="s">
        <v>63</v>
      </c>
      <c r="K1507" s="71" t="s">
        <v>7538</v>
      </c>
      <c r="L1507" s="71" t="s">
        <v>7539</v>
      </c>
      <c r="M1507" s="71" t="s">
        <v>7540</v>
      </c>
      <c r="N1507" s="69" t="s">
        <v>57</v>
      </c>
      <c r="O1507" s="64">
        <v>1</v>
      </c>
      <c r="P1507" s="72">
        <v>33100000</v>
      </c>
      <c r="Q1507" s="69" t="s">
        <v>420</v>
      </c>
      <c r="R1507" s="69"/>
      <c r="S1507" s="203" t="s">
        <v>903</v>
      </c>
      <c r="T1507" s="56">
        <v>41</v>
      </c>
      <c r="U1507" s="56">
        <v>3</v>
      </c>
    </row>
    <row r="1508" spans="1:21" ht="14.25" customHeight="1" thickBot="1" x14ac:dyDescent="0.4">
      <c r="A1508" s="58">
        <v>1492</v>
      </c>
      <c r="B1508" s="69" t="s">
        <v>79</v>
      </c>
      <c r="C1508" s="69" t="s">
        <v>80</v>
      </c>
      <c r="D1508" s="70" t="s">
        <v>7541</v>
      </c>
      <c r="E1508" s="69" t="s">
        <v>414</v>
      </c>
      <c r="F1508" s="69" t="s">
        <v>217</v>
      </c>
      <c r="G1508" s="69" t="s">
        <v>415</v>
      </c>
      <c r="H1508" s="70">
        <v>2021</v>
      </c>
      <c r="I1508" s="69" t="s">
        <v>63</v>
      </c>
      <c r="J1508" s="69" t="s">
        <v>63</v>
      </c>
      <c r="K1508" s="71" t="s">
        <v>7542</v>
      </c>
      <c r="L1508" s="71" t="s">
        <v>7543</v>
      </c>
      <c r="M1508" s="71" t="s">
        <v>7544</v>
      </c>
      <c r="N1508" s="69" t="s">
        <v>57</v>
      </c>
      <c r="O1508" s="64">
        <v>1</v>
      </c>
      <c r="P1508" s="72">
        <v>33100000</v>
      </c>
      <c r="Q1508" s="69" t="s">
        <v>420</v>
      </c>
      <c r="R1508" s="69"/>
      <c r="S1508" s="203" t="s">
        <v>903</v>
      </c>
      <c r="T1508" s="56">
        <v>41</v>
      </c>
      <c r="U1508" s="56">
        <v>3</v>
      </c>
    </row>
    <row r="1509" spans="1:21" ht="14.25" customHeight="1" x14ac:dyDescent="0.35">
      <c r="A1509" s="47">
        <v>1493</v>
      </c>
      <c r="B1509" s="69" t="s">
        <v>79</v>
      </c>
      <c r="C1509" s="69" t="s">
        <v>80</v>
      </c>
      <c r="D1509" s="70" t="s">
        <v>7545</v>
      </c>
      <c r="E1509" s="69" t="s">
        <v>414</v>
      </c>
      <c r="F1509" s="69" t="s">
        <v>217</v>
      </c>
      <c r="G1509" s="69" t="s">
        <v>415</v>
      </c>
      <c r="H1509" s="70">
        <v>2021</v>
      </c>
      <c r="I1509" s="69" t="s">
        <v>63</v>
      </c>
      <c r="J1509" s="69" t="s">
        <v>63</v>
      </c>
      <c r="K1509" s="71" t="s">
        <v>7546</v>
      </c>
      <c r="L1509" s="71" t="s">
        <v>7547</v>
      </c>
      <c r="M1509" s="71" t="s">
        <v>7548</v>
      </c>
      <c r="N1509" s="69" t="s">
        <v>57</v>
      </c>
      <c r="O1509" s="64">
        <v>1</v>
      </c>
      <c r="P1509" s="72">
        <v>33100000</v>
      </c>
      <c r="Q1509" s="69" t="s">
        <v>420</v>
      </c>
      <c r="R1509" s="69"/>
      <c r="S1509" s="203" t="s">
        <v>903</v>
      </c>
      <c r="T1509" s="56">
        <v>41</v>
      </c>
      <c r="U1509" s="56">
        <v>3</v>
      </c>
    </row>
    <row r="1510" spans="1:21" ht="14.25" customHeight="1" thickBot="1" x14ac:dyDescent="0.4">
      <c r="A1510" s="58">
        <v>1494</v>
      </c>
      <c r="B1510" s="69" t="s">
        <v>79</v>
      </c>
      <c r="C1510" s="69" t="s">
        <v>80</v>
      </c>
      <c r="D1510" s="70" t="s">
        <v>7549</v>
      </c>
      <c r="E1510" s="69" t="s">
        <v>414</v>
      </c>
      <c r="F1510" s="69" t="s">
        <v>217</v>
      </c>
      <c r="G1510" s="69" t="s">
        <v>415</v>
      </c>
      <c r="H1510" s="70">
        <v>2021</v>
      </c>
      <c r="I1510" s="69" t="s">
        <v>63</v>
      </c>
      <c r="J1510" s="69" t="s">
        <v>63</v>
      </c>
      <c r="K1510" s="71" t="s">
        <v>7550</v>
      </c>
      <c r="L1510" s="71" t="s">
        <v>7551</v>
      </c>
      <c r="M1510" s="71" t="s">
        <v>7552</v>
      </c>
      <c r="N1510" s="69" t="s">
        <v>57</v>
      </c>
      <c r="O1510" s="64">
        <v>1</v>
      </c>
      <c r="P1510" s="72">
        <v>33100000</v>
      </c>
      <c r="Q1510" s="69" t="s">
        <v>420</v>
      </c>
      <c r="R1510" s="69"/>
      <c r="S1510" s="203" t="s">
        <v>903</v>
      </c>
      <c r="T1510" s="56">
        <v>41</v>
      </c>
      <c r="U1510" s="56">
        <v>3</v>
      </c>
    </row>
    <row r="1511" spans="1:21" ht="14.25" customHeight="1" x14ac:dyDescent="0.35">
      <c r="A1511" s="47">
        <v>1495</v>
      </c>
      <c r="B1511" s="69" t="s">
        <v>79</v>
      </c>
      <c r="C1511" s="69" t="s">
        <v>80</v>
      </c>
      <c r="D1511" s="70" t="s">
        <v>7553</v>
      </c>
      <c r="E1511" s="69" t="s">
        <v>414</v>
      </c>
      <c r="F1511" s="69" t="s">
        <v>217</v>
      </c>
      <c r="G1511" s="69" t="s">
        <v>415</v>
      </c>
      <c r="H1511" s="70">
        <v>2021</v>
      </c>
      <c r="I1511" s="69" t="s">
        <v>63</v>
      </c>
      <c r="J1511" s="69" t="s">
        <v>63</v>
      </c>
      <c r="K1511" s="71" t="s">
        <v>7554</v>
      </c>
      <c r="L1511" s="71" t="s">
        <v>7555</v>
      </c>
      <c r="M1511" s="71" t="s">
        <v>7556</v>
      </c>
      <c r="N1511" s="69" t="s">
        <v>57</v>
      </c>
      <c r="O1511" s="64">
        <v>1</v>
      </c>
      <c r="P1511" s="72">
        <v>33100000</v>
      </c>
      <c r="Q1511" s="69" t="s">
        <v>420</v>
      </c>
      <c r="R1511" s="69"/>
      <c r="S1511" s="203" t="s">
        <v>903</v>
      </c>
      <c r="T1511" s="56">
        <v>41</v>
      </c>
      <c r="U1511" s="56">
        <v>3</v>
      </c>
    </row>
    <row r="1512" spans="1:21" ht="14.25" customHeight="1" thickBot="1" x14ac:dyDescent="0.4">
      <c r="A1512" s="58">
        <v>1496</v>
      </c>
      <c r="B1512" s="69" t="s">
        <v>79</v>
      </c>
      <c r="C1512" s="69" t="s">
        <v>80</v>
      </c>
      <c r="D1512" s="70" t="s">
        <v>7557</v>
      </c>
      <c r="E1512" s="69" t="s">
        <v>414</v>
      </c>
      <c r="F1512" s="69" t="s">
        <v>217</v>
      </c>
      <c r="G1512" s="69" t="s">
        <v>415</v>
      </c>
      <c r="H1512" s="70">
        <v>2021</v>
      </c>
      <c r="I1512" s="69" t="s">
        <v>63</v>
      </c>
      <c r="J1512" s="69" t="s">
        <v>63</v>
      </c>
      <c r="K1512" s="71" t="s">
        <v>7558</v>
      </c>
      <c r="L1512" s="71" t="s">
        <v>7559</v>
      </c>
      <c r="M1512" s="71" t="s">
        <v>7560</v>
      </c>
      <c r="N1512" s="69" t="s">
        <v>57</v>
      </c>
      <c r="O1512" s="64">
        <v>1</v>
      </c>
      <c r="P1512" s="72">
        <v>33100000</v>
      </c>
      <c r="Q1512" s="69" t="s">
        <v>420</v>
      </c>
      <c r="R1512" s="69"/>
      <c r="S1512" s="203" t="s">
        <v>903</v>
      </c>
      <c r="T1512" s="56">
        <v>41</v>
      </c>
      <c r="U1512" s="56">
        <v>3</v>
      </c>
    </row>
    <row r="1513" spans="1:21" ht="14.25" customHeight="1" x14ac:dyDescent="0.35">
      <c r="A1513" s="47">
        <v>1497</v>
      </c>
      <c r="B1513" s="69" t="s">
        <v>79</v>
      </c>
      <c r="C1513" s="69" t="s">
        <v>80</v>
      </c>
      <c r="D1513" s="70" t="s">
        <v>7561</v>
      </c>
      <c r="E1513" s="69" t="s">
        <v>6505</v>
      </c>
      <c r="F1513" s="69" t="s">
        <v>483</v>
      </c>
      <c r="G1513" s="69" t="s">
        <v>4231</v>
      </c>
      <c r="H1513" s="70">
        <v>2022</v>
      </c>
      <c r="I1513" s="69" t="s">
        <v>63</v>
      </c>
      <c r="J1513" s="69" t="s">
        <v>7562</v>
      </c>
      <c r="K1513" s="71" t="s">
        <v>7563</v>
      </c>
      <c r="L1513" s="71" t="s">
        <v>7564</v>
      </c>
      <c r="M1513" s="71" t="s">
        <v>63</v>
      </c>
      <c r="N1513" s="69" t="s">
        <v>44</v>
      </c>
      <c r="O1513" s="64">
        <v>1</v>
      </c>
      <c r="P1513" s="72">
        <v>34497000</v>
      </c>
      <c r="Q1513" s="69" t="s">
        <v>7565</v>
      </c>
      <c r="R1513" s="69"/>
      <c r="S1513" s="203" t="s">
        <v>903</v>
      </c>
      <c r="T1513" s="56">
        <v>41</v>
      </c>
      <c r="U1513" s="56">
        <v>3</v>
      </c>
    </row>
    <row r="1514" spans="1:21" ht="14.25" customHeight="1" thickBot="1" x14ac:dyDescent="0.4">
      <c r="A1514" s="58">
        <v>1498</v>
      </c>
      <c r="B1514" s="69" t="s">
        <v>79</v>
      </c>
      <c r="C1514" s="69" t="s">
        <v>80</v>
      </c>
      <c r="D1514" s="70" t="s">
        <v>7566</v>
      </c>
      <c r="E1514" s="69" t="s">
        <v>6505</v>
      </c>
      <c r="F1514" s="69" t="s">
        <v>483</v>
      </c>
      <c r="G1514" s="69" t="s">
        <v>4231</v>
      </c>
      <c r="H1514" s="70">
        <v>2022</v>
      </c>
      <c r="I1514" s="69" t="s">
        <v>63</v>
      </c>
      <c r="J1514" s="69" t="s">
        <v>63</v>
      </c>
      <c r="K1514" s="71" t="s">
        <v>63</v>
      </c>
      <c r="L1514" s="71" t="s">
        <v>7567</v>
      </c>
      <c r="M1514" s="71" t="s">
        <v>63</v>
      </c>
      <c r="N1514" s="69" t="s">
        <v>44</v>
      </c>
      <c r="O1514" s="64">
        <v>1</v>
      </c>
      <c r="P1514" s="72">
        <v>34497000</v>
      </c>
      <c r="Q1514" s="69" t="s">
        <v>7565</v>
      </c>
      <c r="R1514" s="69"/>
      <c r="S1514" s="203" t="s">
        <v>903</v>
      </c>
      <c r="T1514" s="56">
        <v>41</v>
      </c>
      <c r="U1514" s="56">
        <v>3</v>
      </c>
    </row>
    <row r="1515" spans="1:21" ht="14.25" customHeight="1" x14ac:dyDescent="0.35">
      <c r="A1515" s="47">
        <v>1499</v>
      </c>
      <c r="B1515" s="69" t="s">
        <v>79</v>
      </c>
      <c r="C1515" s="69" t="s">
        <v>80</v>
      </c>
      <c r="D1515" s="70" t="s">
        <v>7568</v>
      </c>
      <c r="E1515" s="69" t="s">
        <v>6505</v>
      </c>
      <c r="F1515" s="69" t="s">
        <v>483</v>
      </c>
      <c r="G1515" s="69" t="s">
        <v>4231</v>
      </c>
      <c r="H1515" s="70">
        <v>2022</v>
      </c>
      <c r="I1515" s="69" t="s">
        <v>63</v>
      </c>
      <c r="J1515" s="69" t="s">
        <v>63</v>
      </c>
      <c r="K1515" s="71" t="s">
        <v>63</v>
      </c>
      <c r="L1515" s="71" t="s">
        <v>7569</v>
      </c>
      <c r="M1515" s="71" t="s">
        <v>63</v>
      </c>
      <c r="N1515" s="69" t="s">
        <v>44</v>
      </c>
      <c r="O1515" s="64">
        <v>1</v>
      </c>
      <c r="P1515" s="72">
        <v>34497000</v>
      </c>
      <c r="Q1515" s="69" t="s">
        <v>7565</v>
      </c>
      <c r="R1515" s="69"/>
      <c r="S1515" s="203" t="s">
        <v>903</v>
      </c>
      <c r="T1515" s="56">
        <v>41</v>
      </c>
      <c r="U1515" s="56">
        <v>3</v>
      </c>
    </row>
    <row r="1516" spans="1:21" ht="14.25" customHeight="1" thickBot="1" x14ac:dyDescent="0.4">
      <c r="A1516" s="58">
        <v>1500</v>
      </c>
      <c r="B1516" s="69" t="s">
        <v>79</v>
      </c>
      <c r="C1516" s="69" t="s">
        <v>80</v>
      </c>
      <c r="D1516" s="70" t="s">
        <v>6367</v>
      </c>
      <c r="E1516" s="69" t="s">
        <v>6505</v>
      </c>
      <c r="F1516" s="69" t="s">
        <v>483</v>
      </c>
      <c r="G1516" s="69" t="s">
        <v>4231</v>
      </c>
      <c r="H1516" s="70">
        <v>2022</v>
      </c>
      <c r="I1516" s="69" t="s">
        <v>63</v>
      </c>
      <c r="J1516" s="69" t="s">
        <v>63</v>
      </c>
      <c r="K1516" s="71" t="s">
        <v>63</v>
      </c>
      <c r="L1516" s="71" t="s">
        <v>7570</v>
      </c>
      <c r="M1516" s="71" t="s">
        <v>63</v>
      </c>
      <c r="N1516" s="69" t="s">
        <v>44</v>
      </c>
      <c r="O1516" s="64">
        <v>1</v>
      </c>
      <c r="P1516" s="72">
        <v>34497000</v>
      </c>
      <c r="Q1516" s="69" t="s">
        <v>7565</v>
      </c>
      <c r="R1516" s="69"/>
      <c r="S1516" s="203" t="s">
        <v>903</v>
      </c>
      <c r="T1516" s="56">
        <v>41</v>
      </c>
      <c r="U1516" s="56">
        <v>3</v>
      </c>
    </row>
    <row r="1517" spans="1:21" ht="14.25" customHeight="1" x14ac:dyDescent="0.35">
      <c r="A1517" s="47">
        <v>1501</v>
      </c>
      <c r="B1517" s="69" t="s">
        <v>79</v>
      </c>
      <c r="C1517" s="69" t="s">
        <v>80</v>
      </c>
      <c r="D1517" s="70" t="s">
        <v>6373</v>
      </c>
      <c r="E1517" s="69" t="s">
        <v>6505</v>
      </c>
      <c r="F1517" s="69" t="s">
        <v>483</v>
      </c>
      <c r="G1517" s="69" t="s">
        <v>4231</v>
      </c>
      <c r="H1517" s="70">
        <v>2022</v>
      </c>
      <c r="I1517" s="69" t="s">
        <v>63</v>
      </c>
      <c r="J1517" s="69" t="s">
        <v>63</v>
      </c>
      <c r="K1517" s="71" t="s">
        <v>63</v>
      </c>
      <c r="L1517" s="71" t="s">
        <v>7571</v>
      </c>
      <c r="M1517" s="71" t="s">
        <v>63</v>
      </c>
      <c r="N1517" s="69" t="s">
        <v>44</v>
      </c>
      <c r="O1517" s="64">
        <v>1</v>
      </c>
      <c r="P1517" s="72">
        <v>34497000</v>
      </c>
      <c r="Q1517" s="69" t="s">
        <v>7565</v>
      </c>
      <c r="R1517" s="69"/>
      <c r="S1517" s="203" t="s">
        <v>903</v>
      </c>
      <c r="T1517" s="56">
        <v>41</v>
      </c>
      <c r="U1517" s="56">
        <v>3</v>
      </c>
    </row>
    <row r="1518" spans="1:21" ht="14.25" customHeight="1" thickBot="1" x14ac:dyDescent="0.4">
      <c r="A1518" s="58">
        <v>1502</v>
      </c>
      <c r="B1518" s="69" t="s">
        <v>79</v>
      </c>
      <c r="C1518" s="69" t="s">
        <v>80</v>
      </c>
      <c r="D1518" s="70" t="s">
        <v>7572</v>
      </c>
      <c r="E1518" s="69" t="s">
        <v>6505</v>
      </c>
      <c r="F1518" s="69" t="s">
        <v>483</v>
      </c>
      <c r="G1518" s="69" t="s">
        <v>4231</v>
      </c>
      <c r="H1518" s="70">
        <v>2022</v>
      </c>
      <c r="I1518" s="69" t="s">
        <v>63</v>
      </c>
      <c r="J1518" s="69" t="s">
        <v>63</v>
      </c>
      <c r="K1518" s="71" t="s">
        <v>63</v>
      </c>
      <c r="L1518" s="71" t="s">
        <v>7573</v>
      </c>
      <c r="M1518" s="71" t="s">
        <v>63</v>
      </c>
      <c r="N1518" s="69" t="s">
        <v>44</v>
      </c>
      <c r="O1518" s="64">
        <v>1</v>
      </c>
      <c r="P1518" s="72">
        <v>34497000</v>
      </c>
      <c r="Q1518" s="69" t="s">
        <v>7565</v>
      </c>
      <c r="R1518" s="69"/>
      <c r="S1518" s="203" t="s">
        <v>903</v>
      </c>
      <c r="T1518" s="56">
        <v>41</v>
      </c>
      <c r="U1518" s="56">
        <v>3</v>
      </c>
    </row>
    <row r="1519" spans="1:21" ht="14.25" customHeight="1" x14ac:dyDescent="0.35">
      <c r="A1519" s="47">
        <v>1503</v>
      </c>
      <c r="B1519" s="69" t="s">
        <v>79</v>
      </c>
      <c r="C1519" s="69" t="s">
        <v>80</v>
      </c>
      <c r="D1519" s="70" t="s">
        <v>7574</v>
      </c>
      <c r="E1519" s="69" t="s">
        <v>6505</v>
      </c>
      <c r="F1519" s="69" t="s">
        <v>483</v>
      </c>
      <c r="G1519" s="69" t="s">
        <v>4231</v>
      </c>
      <c r="H1519" s="70">
        <v>2022</v>
      </c>
      <c r="I1519" s="69" t="s">
        <v>63</v>
      </c>
      <c r="J1519" s="69" t="s">
        <v>63</v>
      </c>
      <c r="K1519" s="71" t="s">
        <v>63</v>
      </c>
      <c r="L1519" s="71" t="s">
        <v>7575</v>
      </c>
      <c r="M1519" s="71" t="s">
        <v>63</v>
      </c>
      <c r="N1519" s="69" t="s">
        <v>44</v>
      </c>
      <c r="O1519" s="64">
        <v>1</v>
      </c>
      <c r="P1519" s="72">
        <v>34497000</v>
      </c>
      <c r="Q1519" s="69" t="s">
        <v>7565</v>
      </c>
      <c r="R1519" s="69"/>
      <c r="S1519" s="203" t="s">
        <v>903</v>
      </c>
      <c r="T1519" s="56">
        <v>41</v>
      </c>
      <c r="U1519" s="56">
        <v>3</v>
      </c>
    </row>
    <row r="1520" spans="1:21" ht="14.25" customHeight="1" thickBot="1" x14ac:dyDescent="0.4">
      <c r="A1520" s="58">
        <v>1504</v>
      </c>
      <c r="B1520" s="69" t="s">
        <v>79</v>
      </c>
      <c r="C1520" s="69" t="s">
        <v>80</v>
      </c>
      <c r="D1520" s="70" t="s">
        <v>7576</v>
      </c>
      <c r="E1520" s="69" t="s">
        <v>6505</v>
      </c>
      <c r="F1520" s="69" t="s">
        <v>483</v>
      </c>
      <c r="G1520" s="69" t="s">
        <v>4231</v>
      </c>
      <c r="H1520" s="70">
        <v>2022</v>
      </c>
      <c r="I1520" s="69" t="s">
        <v>63</v>
      </c>
      <c r="J1520" s="69" t="s">
        <v>63</v>
      </c>
      <c r="K1520" s="71" t="s">
        <v>63</v>
      </c>
      <c r="L1520" s="71" t="s">
        <v>7577</v>
      </c>
      <c r="M1520" s="71" t="s">
        <v>63</v>
      </c>
      <c r="N1520" s="69" t="s">
        <v>44</v>
      </c>
      <c r="O1520" s="64">
        <v>1</v>
      </c>
      <c r="P1520" s="72">
        <v>34497000</v>
      </c>
      <c r="Q1520" s="69" t="s">
        <v>7565</v>
      </c>
      <c r="R1520" s="69"/>
      <c r="S1520" s="203" t="s">
        <v>903</v>
      </c>
      <c r="T1520" s="56">
        <v>41</v>
      </c>
      <c r="U1520" s="56">
        <v>3</v>
      </c>
    </row>
    <row r="1521" spans="1:21" ht="14.25" customHeight="1" x14ac:dyDescent="0.35">
      <c r="A1521" s="47">
        <v>1505</v>
      </c>
      <c r="B1521" s="69" t="s">
        <v>79</v>
      </c>
      <c r="C1521" s="69" t="s">
        <v>80</v>
      </c>
      <c r="D1521" s="70" t="s">
        <v>7578</v>
      </c>
      <c r="E1521" s="69" t="s">
        <v>6505</v>
      </c>
      <c r="F1521" s="69" t="s">
        <v>483</v>
      </c>
      <c r="G1521" s="69" t="s">
        <v>4231</v>
      </c>
      <c r="H1521" s="70">
        <v>2022</v>
      </c>
      <c r="I1521" s="69" t="s">
        <v>63</v>
      </c>
      <c r="J1521" s="69" t="s">
        <v>63</v>
      </c>
      <c r="K1521" s="71" t="s">
        <v>63</v>
      </c>
      <c r="L1521" s="71" t="s">
        <v>7579</v>
      </c>
      <c r="M1521" s="71" t="s">
        <v>63</v>
      </c>
      <c r="N1521" s="69" t="s">
        <v>44</v>
      </c>
      <c r="O1521" s="64">
        <v>1</v>
      </c>
      <c r="P1521" s="72">
        <v>34497000</v>
      </c>
      <c r="Q1521" s="69" t="s">
        <v>7565</v>
      </c>
      <c r="R1521" s="69"/>
      <c r="S1521" s="203" t="s">
        <v>903</v>
      </c>
      <c r="T1521" s="56">
        <v>41</v>
      </c>
      <c r="U1521" s="56">
        <v>3</v>
      </c>
    </row>
    <row r="1522" spans="1:21" ht="14.25" customHeight="1" thickBot="1" x14ac:dyDescent="0.4">
      <c r="A1522" s="58">
        <v>1506</v>
      </c>
      <c r="B1522" s="69" t="s">
        <v>79</v>
      </c>
      <c r="C1522" s="69" t="s">
        <v>80</v>
      </c>
      <c r="D1522" s="70" t="s">
        <v>7580</v>
      </c>
      <c r="E1522" s="69" t="s">
        <v>6505</v>
      </c>
      <c r="F1522" s="69" t="s">
        <v>483</v>
      </c>
      <c r="G1522" s="69" t="s">
        <v>4231</v>
      </c>
      <c r="H1522" s="70">
        <v>2022</v>
      </c>
      <c r="I1522" s="69" t="s">
        <v>63</v>
      </c>
      <c r="J1522" s="69" t="s">
        <v>63</v>
      </c>
      <c r="K1522" s="71" t="s">
        <v>63</v>
      </c>
      <c r="L1522" s="71" t="s">
        <v>7581</v>
      </c>
      <c r="M1522" s="71" t="s">
        <v>63</v>
      </c>
      <c r="N1522" s="69" t="s">
        <v>44</v>
      </c>
      <c r="O1522" s="64">
        <v>1</v>
      </c>
      <c r="P1522" s="72">
        <v>34497000</v>
      </c>
      <c r="Q1522" s="69" t="s">
        <v>7565</v>
      </c>
      <c r="R1522" s="69"/>
      <c r="S1522" s="203" t="s">
        <v>903</v>
      </c>
      <c r="T1522" s="56">
        <v>41</v>
      </c>
      <c r="U1522" s="56">
        <v>3</v>
      </c>
    </row>
    <row r="1523" spans="1:21" ht="14.25" customHeight="1" x14ac:dyDescent="0.35">
      <c r="A1523" s="47">
        <v>1507</v>
      </c>
      <c r="B1523" s="69" t="s">
        <v>79</v>
      </c>
      <c r="C1523" s="69" t="s">
        <v>80</v>
      </c>
      <c r="D1523" s="70" t="s">
        <v>7582</v>
      </c>
      <c r="E1523" s="69" t="s">
        <v>6505</v>
      </c>
      <c r="F1523" s="69" t="s">
        <v>483</v>
      </c>
      <c r="G1523" s="69" t="s">
        <v>4231</v>
      </c>
      <c r="H1523" s="70">
        <v>2022</v>
      </c>
      <c r="I1523" s="69" t="s">
        <v>63</v>
      </c>
      <c r="J1523" s="69" t="s">
        <v>63</v>
      </c>
      <c r="K1523" s="71" t="s">
        <v>63</v>
      </c>
      <c r="L1523" s="71" t="s">
        <v>7583</v>
      </c>
      <c r="M1523" s="71" t="s">
        <v>63</v>
      </c>
      <c r="N1523" s="69" t="s">
        <v>44</v>
      </c>
      <c r="O1523" s="64">
        <v>1</v>
      </c>
      <c r="P1523" s="72">
        <v>34497000</v>
      </c>
      <c r="Q1523" s="69" t="s">
        <v>7565</v>
      </c>
      <c r="R1523" s="69"/>
      <c r="S1523" s="203" t="s">
        <v>903</v>
      </c>
      <c r="T1523" s="56">
        <v>41</v>
      </c>
      <c r="U1523" s="56">
        <v>3</v>
      </c>
    </row>
    <row r="1524" spans="1:21" ht="14.25" customHeight="1" thickBot="1" x14ac:dyDescent="0.4">
      <c r="A1524" s="58">
        <v>1508</v>
      </c>
      <c r="B1524" s="69" t="s">
        <v>79</v>
      </c>
      <c r="C1524" s="69" t="s">
        <v>80</v>
      </c>
      <c r="D1524" s="70" t="s">
        <v>7584</v>
      </c>
      <c r="E1524" s="69" t="s">
        <v>6505</v>
      </c>
      <c r="F1524" s="69" t="s">
        <v>483</v>
      </c>
      <c r="G1524" s="69" t="s">
        <v>4231</v>
      </c>
      <c r="H1524" s="70">
        <v>2022</v>
      </c>
      <c r="I1524" s="69" t="s">
        <v>63</v>
      </c>
      <c r="J1524" s="69" t="s">
        <v>63</v>
      </c>
      <c r="K1524" s="71" t="s">
        <v>63</v>
      </c>
      <c r="L1524" s="71" t="s">
        <v>7585</v>
      </c>
      <c r="M1524" s="71" t="s">
        <v>63</v>
      </c>
      <c r="N1524" s="69" t="s">
        <v>44</v>
      </c>
      <c r="O1524" s="64">
        <v>1</v>
      </c>
      <c r="P1524" s="72">
        <v>34497000</v>
      </c>
      <c r="Q1524" s="69" t="s">
        <v>7565</v>
      </c>
      <c r="R1524" s="69"/>
      <c r="S1524" s="203" t="s">
        <v>903</v>
      </c>
      <c r="T1524" s="56">
        <v>41</v>
      </c>
      <c r="U1524" s="56">
        <v>3</v>
      </c>
    </row>
    <row r="1525" spans="1:21" ht="14.25" customHeight="1" x14ac:dyDescent="0.35">
      <c r="A1525" s="47">
        <v>1509</v>
      </c>
      <c r="B1525" s="69" t="s">
        <v>79</v>
      </c>
      <c r="C1525" s="69" t="s">
        <v>80</v>
      </c>
      <c r="D1525" s="70" t="s">
        <v>7586</v>
      </c>
      <c r="E1525" s="69" t="s">
        <v>6505</v>
      </c>
      <c r="F1525" s="69" t="s">
        <v>483</v>
      </c>
      <c r="G1525" s="69" t="s">
        <v>4231</v>
      </c>
      <c r="H1525" s="70">
        <v>2022</v>
      </c>
      <c r="I1525" s="69" t="s">
        <v>63</v>
      </c>
      <c r="J1525" s="69" t="s">
        <v>63</v>
      </c>
      <c r="K1525" s="71" t="s">
        <v>63</v>
      </c>
      <c r="L1525" s="71" t="s">
        <v>7587</v>
      </c>
      <c r="M1525" s="71" t="s">
        <v>63</v>
      </c>
      <c r="N1525" s="69" t="s">
        <v>44</v>
      </c>
      <c r="O1525" s="64">
        <v>1</v>
      </c>
      <c r="P1525" s="72">
        <v>34497000</v>
      </c>
      <c r="Q1525" s="69" t="s">
        <v>7565</v>
      </c>
      <c r="R1525" s="69"/>
      <c r="S1525" s="203" t="s">
        <v>903</v>
      </c>
      <c r="T1525" s="56">
        <v>41</v>
      </c>
      <c r="U1525" s="56">
        <v>3</v>
      </c>
    </row>
    <row r="1526" spans="1:21" ht="14.25" customHeight="1" thickBot="1" x14ac:dyDescent="0.4">
      <c r="A1526" s="58">
        <v>1510</v>
      </c>
      <c r="B1526" s="69" t="s">
        <v>79</v>
      </c>
      <c r="C1526" s="69" t="s">
        <v>80</v>
      </c>
      <c r="D1526" s="70" t="s">
        <v>7588</v>
      </c>
      <c r="E1526" s="69" t="s">
        <v>6505</v>
      </c>
      <c r="F1526" s="69" t="s">
        <v>483</v>
      </c>
      <c r="G1526" s="69" t="s">
        <v>4231</v>
      </c>
      <c r="H1526" s="70">
        <v>2022</v>
      </c>
      <c r="I1526" s="69" t="s">
        <v>63</v>
      </c>
      <c r="J1526" s="69" t="s">
        <v>63</v>
      </c>
      <c r="K1526" s="71" t="s">
        <v>63</v>
      </c>
      <c r="L1526" s="71" t="s">
        <v>7589</v>
      </c>
      <c r="M1526" s="71" t="s">
        <v>63</v>
      </c>
      <c r="N1526" s="69" t="s">
        <v>44</v>
      </c>
      <c r="O1526" s="64">
        <v>1</v>
      </c>
      <c r="P1526" s="72">
        <v>34497000</v>
      </c>
      <c r="Q1526" s="69" t="s">
        <v>7565</v>
      </c>
      <c r="R1526" s="69"/>
      <c r="S1526" s="203" t="s">
        <v>903</v>
      </c>
      <c r="T1526" s="56">
        <v>41</v>
      </c>
      <c r="U1526" s="56">
        <v>3</v>
      </c>
    </row>
    <row r="1527" spans="1:21" ht="14.25" customHeight="1" x14ac:dyDescent="0.35">
      <c r="A1527" s="47">
        <v>1511</v>
      </c>
      <c r="B1527" s="69" t="s">
        <v>79</v>
      </c>
      <c r="C1527" s="69" t="s">
        <v>80</v>
      </c>
      <c r="D1527" s="70" t="s">
        <v>7590</v>
      </c>
      <c r="E1527" s="69" t="s">
        <v>6505</v>
      </c>
      <c r="F1527" s="69" t="s">
        <v>483</v>
      </c>
      <c r="G1527" s="69" t="s">
        <v>4231</v>
      </c>
      <c r="H1527" s="70">
        <v>2022</v>
      </c>
      <c r="I1527" s="69" t="s">
        <v>63</v>
      </c>
      <c r="J1527" s="69" t="s">
        <v>63</v>
      </c>
      <c r="K1527" s="71" t="s">
        <v>63</v>
      </c>
      <c r="L1527" s="71" t="s">
        <v>7591</v>
      </c>
      <c r="M1527" s="71" t="s">
        <v>63</v>
      </c>
      <c r="N1527" s="69" t="s">
        <v>44</v>
      </c>
      <c r="O1527" s="64">
        <v>1</v>
      </c>
      <c r="P1527" s="72">
        <v>34497000</v>
      </c>
      <c r="Q1527" s="69" t="s">
        <v>7565</v>
      </c>
      <c r="R1527" s="69"/>
      <c r="S1527" s="203" t="s">
        <v>903</v>
      </c>
      <c r="T1527" s="56">
        <v>41</v>
      </c>
      <c r="U1527" s="56">
        <v>3</v>
      </c>
    </row>
    <row r="1528" spans="1:21" ht="14.25" customHeight="1" thickBot="1" x14ac:dyDescent="0.4">
      <c r="A1528" s="58">
        <v>1512</v>
      </c>
      <c r="B1528" s="69" t="s">
        <v>79</v>
      </c>
      <c r="C1528" s="69" t="s">
        <v>80</v>
      </c>
      <c r="D1528" s="70" t="s">
        <v>7592</v>
      </c>
      <c r="E1528" s="69" t="s">
        <v>6505</v>
      </c>
      <c r="F1528" s="69" t="s">
        <v>483</v>
      </c>
      <c r="G1528" s="69" t="s">
        <v>4231</v>
      </c>
      <c r="H1528" s="70">
        <v>2022</v>
      </c>
      <c r="I1528" s="69" t="s">
        <v>63</v>
      </c>
      <c r="J1528" s="69" t="s">
        <v>63</v>
      </c>
      <c r="K1528" s="71" t="s">
        <v>63</v>
      </c>
      <c r="L1528" s="71" t="s">
        <v>7593</v>
      </c>
      <c r="M1528" s="71" t="s">
        <v>63</v>
      </c>
      <c r="N1528" s="69" t="s">
        <v>44</v>
      </c>
      <c r="O1528" s="64">
        <v>1</v>
      </c>
      <c r="P1528" s="72">
        <v>34497000</v>
      </c>
      <c r="Q1528" s="69" t="s">
        <v>7565</v>
      </c>
      <c r="R1528" s="69"/>
      <c r="S1528" s="203" t="s">
        <v>903</v>
      </c>
      <c r="T1528" s="56">
        <v>41</v>
      </c>
      <c r="U1528" s="56">
        <v>3</v>
      </c>
    </row>
    <row r="1529" spans="1:21" ht="14.25" customHeight="1" x14ac:dyDescent="0.35">
      <c r="A1529" s="47">
        <v>1513</v>
      </c>
      <c r="B1529" s="69" t="s">
        <v>79</v>
      </c>
      <c r="C1529" s="69" t="s">
        <v>80</v>
      </c>
      <c r="D1529" s="70" t="s">
        <v>7594</v>
      </c>
      <c r="E1529" s="69" t="s">
        <v>6505</v>
      </c>
      <c r="F1529" s="69" t="s">
        <v>483</v>
      </c>
      <c r="G1529" s="69" t="s">
        <v>4231</v>
      </c>
      <c r="H1529" s="70">
        <v>2022</v>
      </c>
      <c r="I1529" s="69" t="s">
        <v>63</v>
      </c>
      <c r="J1529" s="69" t="s">
        <v>63</v>
      </c>
      <c r="K1529" s="71" t="s">
        <v>63</v>
      </c>
      <c r="L1529" s="71" t="s">
        <v>7595</v>
      </c>
      <c r="M1529" s="71" t="s">
        <v>63</v>
      </c>
      <c r="N1529" s="69" t="s">
        <v>44</v>
      </c>
      <c r="O1529" s="64">
        <v>1</v>
      </c>
      <c r="P1529" s="72">
        <v>34497000</v>
      </c>
      <c r="Q1529" s="69" t="s">
        <v>7565</v>
      </c>
      <c r="R1529" s="69"/>
      <c r="S1529" s="203" t="s">
        <v>903</v>
      </c>
      <c r="T1529" s="56">
        <v>41</v>
      </c>
      <c r="U1529" s="56">
        <v>3</v>
      </c>
    </row>
    <row r="1530" spans="1:21" ht="14.25" customHeight="1" thickBot="1" x14ac:dyDescent="0.4">
      <c r="A1530" s="58">
        <v>1514</v>
      </c>
      <c r="B1530" s="69" t="s">
        <v>79</v>
      </c>
      <c r="C1530" s="69" t="s">
        <v>80</v>
      </c>
      <c r="D1530" s="70" t="s">
        <v>7596</v>
      </c>
      <c r="E1530" s="69" t="s">
        <v>6505</v>
      </c>
      <c r="F1530" s="69" t="s">
        <v>483</v>
      </c>
      <c r="G1530" s="69" t="s">
        <v>4231</v>
      </c>
      <c r="H1530" s="70">
        <v>2022</v>
      </c>
      <c r="I1530" s="69" t="s">
        <v>63</v>
      </c>
      <c r="J1530" s="69" t="s">
        <v>63</v>
      </c>
      <c r="K1530" s="71" t="s">
        <v>63</v>
      </c>
      <c r="L1530" s="71" t="s">
        <v>7597</v>
      </c>
      <c r="M1530" s="71" t="s">
        <v>63</v>
      </c>
      <c r="N1530" s="69" t="s">
        <v>44</v>
      </c>
      <c r="O1530" s="64">
        <v>1</v>
      </c>
      <c r="P1530" s="72">
        <v>34497000</v>
      </c>
      <c r="Q1530" s="69" t="s">
        <v>7565</v>
      </c>
      <c r="R1530" s="69"/>
      <c r="S1530" s="203" t="s">
        <v>903</v>
      </c>
      <c r="T1530" s="56">
        <v>41</v>
      </c>
      <c r="U1530" s="56">
        <v>3</v>
      </c>
    </row>
    <row r="1531" spans="1:21" ht="14.25" customHeight="1" x14ac:dyDescent="0.35">
      <c r="A1531" s="47">
        <v>1515</v>
      </c>
      <c r="B1531" s="69" t="s">
        <v>79</v>
      </c>
      <c r="C1531" s="69" t="s">
        <v>80</v>
      </c>
      <c r="D1531" s="70" t="s">
        <v>7598</v>
      </c>
      <c r="E1531" s="69" t="s">
        <v>6505</v>
      </c>
      <c r="F1531" s="69" t="s">
        <v>483</v>
      </c>
      <c r="G1531" s="69" t="s">
        <v>4231</v>
      </c>
      <c r="H1531" s="70">
        <v>2022</v>
      </c>
      <c r="I1531" s="69" t="s">
        <v>63</v>
      </c>
      <c r="J1531" s="69" t="s">
        <v>63</v>
      </c>
      <c r="K1531" s="71" t="s">
        <v>63</v>
      </c>
      <c r="L1531" s="71" t="s">
        <v>7599</v>
      </c>
      <c r="M1531" s="71" t="s">
        <v>63</v>
      </c>
      <c r="N1531" s="69" t="s">
        <v>44</v>
      </c>
      <c r="O1531" s="64">
        <v>1</v>
      </c>
      <c r="P1531" s="72">
        <v>34497000</v>
      </c>
      <c r="Q1531" s="69" t="s">
        <v>7565</v>
      </c>
      <c r="R1531" s="69"/>
      <c r="S1531" s="203" t="s">
        <v>903</v>
      </c>
      <c r="T1531" s="56">
        <v>41</v>
      </c>
      <c r="U1531" s="56">
        <v>3</v>
      </c>
    </row>
    <row r="1532" spans="1:21" ht="14.25" customHeight="1" thickBot="1" x14ac:dyDescent="0.4">
      <c r="A1532" s="58">
        <v>1516</v>
      </c>
      <c r="B1532" s="69" t="s">
        <v>79</v>
      </c>
      <c r="C1532" s="69" t="s">
        <v>80</v>
      </c>
      <c r="D1532" s="70" t="s">
        <v>7600</v>
      </c>
      <c r="E1532" s="69" t="s">
        <v>6505</v>
      </c>
      <c r="F1532" s="69" t="s">
        <v>483</v>
      </c>
      <c r="G1532" s="69" t="s">
        <v>4231</v>
      </c>
      <c r="H1532" s="70">
        <v>2022</v>
      </c>
      <c r="I1532" s="69" t="s">
        <v>63</v>
      </c>
      <c r="J1532" s="69" t="s">
        <v>63</v>
      </c>
      <c r="K1532" s="71" t="s">
        <v>63</v>
      </c>
      <c r="L1532" s="71" t="s">
        <v>7601</v>
      </c>
      <c r="M1532" s="71" t="s">
        <v>63</v>
      </c>
      <c r="N1532" s="69" t="s">
        <v>44</v>
      </c>
      <c r="O1532" s="64">
        <v>1</v>
      </c>
      <c r="P1532" s="72">
        <v>34497000</v>
      </c>
      <c r="Q1532" s="69" t="s">
        <v>7565</v>
      </c>
      <c r="R1532" s="69"/>
      <c r="S1532" s="203" t="s">
        <v>903</v>
      </c>
      <c r="T1532" s="56">
        <v>41</v>
      </c>
      <c r="U1532" s="56">
        <v>3</v>
      </c>
    </row>
    <row r="1533" spans="1:21" ht="14.25" customHeight="1" x14ac:dyDescent="0.35">
      <c r="A1533" s="47">
        <v>1517</v>
      </c>
      <c r="B1533" s="69" t="s">
        <v>79</v>
      </c>
      <c r="C1533" s="69" t="s">
        <v>80</v>
      </c>
      <c r="D1533" s="70" t="s">
        <v>7602</v>
      </c>
      <c r="E1533" s="69" t="s">
        <v>6505</v>
      </c>
      <c r="F1533" s="69" t="s">
        <v>483</v>
      </c>
      <c r="G1533" s="69" t="s">
        <v>4231</v>
      </c>
      <c r="H1533" s="70">
        <v>2022</v>
      </c>
      <c r="I1533" s="69" t="s">
        <v>63</v>
      </c>
      <c r="J1533" s="69" t="s">
        <v>63</v>
      </c>
      <c r="K1533" s="71" t="s">
        <v>63</v>
      </c>
      <c r="L1533" s="71" t="s">
        <v>7603</v>
      </c>
      <c r="M1533" s="71" t="s">
        <v>63</v>
      </c>
      <c r="N1533" s="69" t="s">
        <v>44</v>
      </c>
      <c r="O1533" s="64">
        <v>1</v>
      </c>
      <c r="P1533" s="72">
        <v>34497000</v>
      </c>
      <c r="Q1533" s="69" t="s">
        <v>7565</v>
      </c>
      <c r="R1533" s="69"/>
      <c r="S1533" s="203" t="s">
        <v>903</v>
      </c>
      <c r="T1533" s="56">
        <v>41</v>
      </c>
      <c r="U1533" s="56">
        <v>3</v>
      </c>
    </row>
    <row r="1534" spans="1:21" ht="14.25" customHeight="1" thickBot="1" x14ac:dyDescent="0.4">
      <c r="A1534" s="58">
        <v>1518</v>
      </c>
      <c r="B1534" s="69" t="s">
        <v>79</v>
      </c>
      <c r="C1534" s="69" t="s">
        <v>80</v>
      </c>
      <c r="D1534" s="70" t="s">
        <v>7604</v>
      </c>
      <c r="E1534" s="69" t="s">
        <v>6505</v>
      </c>
      <c r="F1534" s="69" t="s">
        <v>483</v>
      </c>
      <c r="G1534" s="69" t="s">
        <v>4231</v>
      </c>
      <c r="H1534" s="70">
        <v>2022</v>
      </c>
      <c r="I1534" s="69" t="s">
        <v>63</v>
      </c>
      <c r="J1534" s="69" t="s">
        <v>63</v>
      </c>
      <c r="K1534" s="71" t="s">
        <v>63</v>
      </c>
      <c r="L1534" s="71" t="s">
        <v>7605</v>
      </c>
      <c r="M1534" s="71" t="s">
        <v>63</v>
      </c>
      <c r="N1534" s="69" t="s">
        <v>44</v>
      </c>
      <c r="O1534" s="64">
        <v>1</v>
      </c>
      <c r="P1534" s="72">
        <v>34497000</v>
      </c>
      <c r="Q1534" s="69" t="s">
        <v>7565</v>
      </c>
      <c r="R1534" s="69"/>
      <c r="S1534" s="203" t="s">
        <v>903</v>
      </c>
      <c r="T1534" s="56">
        <v>41</v>
      </c>
      <c r="U1534" s="56">
        <v>3</v>
      </c>
    </row>
    <row r="1535" spans="1:21" ht="14.25" customHeight="1" x14ac:dyDescent="0.35">
      <c r="A1535" s="47">
        <v>1519</v>
      </c>
      <c r="B1535" s="69" t="s">
        <v>79</v>
      </c>
      <c r="C1535" s="69" t="s">
        <v>80</v>
      </c>
      <c r="D1535" s="70" t="s">
        <v>7606</v>
      </c>
      <c r="E1535" s="69" t="s">
        <v>6505</v>
      </c>
      <c r="F1535" s="69" t="s">
        <v>483</v>
      </c>
      <c r="G1535" s="69" t="s">
        <v>4231</v>
      </c>
      <c r="H1535" s="70">
        <v>2022</v>
      </c>
      <c r="I1535" s="69" t="s">
        <v>63</v>
      </c>
      <c r="J1535" s="69" t="s">
        <v>63</v>
      </c>
      <c r="K1535" s="71" t="s">
        <v>63</v>
      </c>
      <c r="L1535" s="71" t="s">
        <v>7607</v>
      </c>
      <c r="M1535" s="71" t="s">
        <v>63</v>
      </c>
      <c r="N1535" s="69" t="s">
        <v>44</v>
      </c>
      <c r="O1535" s="64">
        <v>1</v>
      </c>
      <c r="P1535" s="72">
        <v>34497000</v>
      </c>
      <c r="Q1535" s="69" t="s">
        <v>7565</v>
      </c>
      <c r="R1535" s="69"/>
      <c r="S1535" s="203" t="s">
        <v>903</v>
      </c>
      <c r="T1535" s="56">
        <v>41</v>
      </c>
      <c r="U1535" s="56">
        <v>3</v>
      </c>
    </row>
    <row r="1536" spans="1:21" ht="14.25" customHeight="1" thickBot="1" x14ac:dyDescent="0.4">
      <c r="A1536" s="58">
        <v>1520</v>
      </c>
      <c r="B1536" s="69" t="s">
        <v>79</v>
      </c>
      <c r="C1536" s="69" t="s">
        <v>80</v>
      </c>
      <c r="D1536" s="70" t="s">
        <v>7608</v>
      </c>
      <c r="E1536" s="69" t="s">
        <v>6505</v>
      </c>
      <c r="F1536" s="69" t="s">
        <v>483</v>
      </c>
      <c r="G1536" s="69" t="s">
        <v>4231</v>
      </c>
      <c r="H1536" s="70">
        <v>2022</v>
      </c>
      <c r="I1536" s="69" t="s">
        <v>63</v>
      </c>
      <c r="J1536" s="69" t="s">
        <v>63</v>
      </c>
      <c r="K1536" s="71" t="s">
        <v>63</v>
      </c>
      <c r="L1536" s="71" t="s">
        <v>7609</v>
      </c>
      <c r="M1536" s="71" t="s">
        <v>63</v>
      </c>
      <c r="N1536" s="69" t="s">
        <v>44</v>
      </c>
      <c r="O1536" s="64">
        <v>1</v>
      </c>
      <c r="P1536" s="72">
        <v>34497000</v>
      </c>
      <c r="Q1536" s="69" t="s">
        <v>7565</v>
      </c>
      <c r="R1536" s="69"/>
      <c r="S1536" s="203" t="s">
        <v>903</v>
      </c>
      <c r="T1536" s="56">
        <v>41</v>
      </c>
      <c r="U1536" s="56">
        <v>3</v>
      </c>
    </row>
    <row r="1537" spans="1:21" ht="14.25" customHeight="1" x14ac:dyDescent="0.35">
      <c r="A1537" s="47">
        <v>1521</v>
      </c>
      <c r="B1537" s="69" t="s">
        <v>79</v>
      </c>
      <c r="C1537" s="69" t="s">
        <v>80</v>
      </c>
      <c r="D1537" s="70" t="s">
        <v>7610</v>
      </c>
      <c r="E1537" s="69" t="s">
        <v>6505</v>
      </c>
      <c r="F1537" s="69" t="s">
        <v>483</v>
      </c>
      <c r="G1537" s="69" t="s">
        <v>4231</v>
      </c>
      <c r="H1537" s="70">
        <v>2022</v>
      </c>
      <c r="I1537" s="69" t="s">
        <v>63</v>
      </c>
      <c r="J1537" s="69" t="s">
        <v>63</v>
      </c>
      <c r="K1537" s="71" t="s">
        <v>63</v>
      </c>
      <c r="L1537" s="71" t="s">
        <v>7611</v>
      </c>
      <c r="M1537" s="71" t="s">
        <v>63</v>
      </c>
      <c r="N1537" s="69" t="s">
        <v>44</v>
      </c>
      <c r="O1537" s="64">
        <v>1</v>
      </c>
      <c r="P1537" s="72">
        <v>34497000</v>
      </c>
      <c r="Q1537" s="69" t="s">
        <v>7565</v>
      </c>
      <c r="R1537" s="69"/>
      <c r="S1537" s="203" t="s">
        <v>903</v>
      </c>
      <c r="T1537" s="56">
        <v>41</v>
      </c>
      <c r="U1537" s="56">
        <v>3</v>
      </c>
    </row>
    <row r="1538" spans="1:21" ht="14.25" customHeight="1" thickBot="1" x14ac:dyDescent="0.4">
      <c r="A1538" s="58">
        <v>1522</v>
      </c>
      <c r="B1538" s="69" t="s">
        <v>79</v>
      </c>
      <c r="C1538" s="69" t="s">
        <v>80</v>
      </c>
      <c r="D1538" s="70" t="s">
        <v>7612</v>
      </c>
      <c r="E1538" s="69" t="s">
        <v>6505</v>
      </c>
      <c r="F1538" s="69" t="s">
        <v>483</v>
      </c>
      <c r="G1538" s="69" t="s">
        <v>4231</v>
      </c>
      <c r="H1538" s="70">
        <v>2022</v>
      </c>
      <c r="I1538" s="69" t="s">
        <v>63</v>
      </c>
      <c r="J1538" s="69" t="s">
        <v>63</v>
      </c>
      <c r="K1538" s="71" t="s">
        <v>63</v>
      </c>
      <c r="L1538" s="71" t="s">
        <v>7613</v>
      </c>
      <c r="M1538" s="71" t="s">
        <v>63</v>
      </c>
      <c r="N1538" s="69" t="s">
        <v>44</v>
      </c>
      <c r="O1538" s="64">
        <v>1</v>
      </c>
      <c r="P1538" s="72">
        <v>34497000</v>
      </c>
      <c r="Q1538" s="69" t="s">
        <v>7565</v>
      </c>
      <c r="R1538" s="69"/>
      <c r="S1538" s="203" t="s">
        <v>903</v>
      </c>
      <c r="T1538" s="56">
        <v>41</v>
      </c>
      <c r="U1538" s="56">
        <v>3</v>
      </c>
    </row>
    <row r="1539" spans="1:21" ht="14.25" customHeight="1" x14ac:dyDescent="0.35">
      <c r="A1539" s="47">
        <v>1523</v>
      </c>
      <c r="B1539" s="69" t="s">
        <v>79</v>
      </c>
      <c r="C1539" s="69" t="s">
        <v>80</v>
      </c>
      <c r="D1539" s="70" t="s">
        <v>7614</v>
      </c>
      <c r="E1539" s="69" t="s">
        <v>6505</v>
      </c>
      <c r="F1539" s="69" t="s">
        <v>483</v>
      </c>
      <c r="G1539" s="69" t="s">
        <v>4231</v>
      </c>
      <c r="H1539" s="70">
        <v>2022</v>
      </c>
      <c r="I1539" s="69" t="s">
        <v>63</v>
      </c>
      <c r="J1539" s="69" t="s">
        <v>63</v>
      </c>
      <c r="K1539" s="71" t="s">
        <v>63</v>
      </c>
      <c r="L1539" s="71" t="s">
        <v>7615</v>
      </c>
      <c r="M1539" s="71" t="s">
        <v>63</v>
      </c>
      <c r="N1539" s="69" t="s">
        <v>44</v>
      </c>
      <c r="O1539" s="64">
        <v>1</v>
      </c>
      <c r="P1539" s="72">
        <v>34497000</v>
      </c>
      <c r="Q1539" s="69" t="s">
        <v>7565</v>
      </c>
      <c r="R1539" s="69"/>
      <c r="S1539" s="203" t="s">
        <v>903</v>
      </c>
      <c r="T1539" s="56">
        <v>41</v>
      </c>
      <c r="U1539" s="56">
        <v>3</v>
      </c>
    </row>
    <row r="1540" spans="1:21" ht="14.25" customHeight="1" thickBot="1" x14ac:dyDescent="0.4">
      <c r="A1540" s="58">
        <v>1524</v>
      </c>
      <c r="B1540" s="69" t="s">
        <v>79</v>
      </c>
      <c r="C1540" s="69" t="s">
        <v>80</v>
      </c>
      <c r="D1540" s="70" t="s">
        <v>7616</v>
      </c>
      <c r="E1540" s="69" t="s">
        <v>6505</v>
      </c>
      <c r="F1540" s="69" t="s">
        <v>483</v>
      </c>
      <c r="G1540" s="69" t="s">
        <v>4231</v>
      </c>
      <c r="H1540" s="70">
        <v>2022</v>
      </c>
      <c r="I1540" s="69" t="s">
        <v>63</v>
      </c>
      <c r="J1540" s="69" t="s">
        <v>63</v>
      </c>
      <c r="K1540" s="71" t="s">
        <v>63</v>
      </c>
      <c r="L1540" s="71" t="s">
        <v>7617</v>
      </c>
      <c r="M1540" s="71" t="s">
        <v>63</v>
      </c>
      <c r="N1540" s="69" t="s">
        <v>44</v>
      </c>
      <c r="O1540" s="64">
        <v>1</v>
      </c>
      <c r="P1540" s="72">
        <v>34497000</v>
      </c>
      <c r="Q1540" s="69" t="s">
        <v>7565</v>
      </c>
      <c r="R1540" s="69"/>
      <c r="S1540" s="203" t="s">
        <v>903</v>
      </c>
      <c r="T1540" s="56">
        <v>41</v>
      </c>
      <c r="U1540" s="56">
        <v>3</v>
      </c>
    </row>
    <row r="1541" spans="1:21" ht="14.25" customHeight="1" x14ac:dyDescent="0.35">
      <c r="A1541" s="47">
        <v>1525</v>
      </c>
      <c r="B1541" s="69" t="s">
        <v>79</v>
      </c>
      <c r="C1541" s="69" t="s">
        <v>80</v>
      </c>
      <c r="D1541" s="70" t="s">
        <v>7618</v>
      </c>
      <c r="E1541" s="69" t="s">
        <v>6505</v>
      </c>
      <c r="F1541" s="69" t="s">
        <v>483</v>
      </c>
      <c r="G1541" s="69" t="s">
        <v>4231</v>
      </c>
      <c r="H1541" s="70">
        <v>2022</v>
      </c>
      <c r="I1541" s="69" t="s">
        <v>63</v>
      </c>
      <c r="J1541" s="69" t="s">
        <v>63</v>
      </c>
      <c r="K1541" s="71" t="s">
        <v>63</v>
      </c>
      <c r="L1541" s="71" t="s">
        <v>7619</v>
      </c>
      <c r="M1541" s="71" t="s">
        <v>63</v>
      </c>
      <c r="N1541" s="69" t="s">
        <v>44</v>
      </c>
      <c r="O1541" s="64">
        <v>1</v>
      </c>
      <c r="P1541" s="72">
        <v>34497000</v>
      </c>
      <c r="Q1541" s="69" t="s">
        <v>7565</v>
      </c>
      <c r="R1541" s="69"/>
      <c r="S1541" s="203" t="s">
        <v>903</v>
      </c>
      <c r="T1541" s="56">
        <v>41</v>
      </c>
      <c r="U1541" s="56">
        <v>3</v>
      </c>
    </row>
    <row r="1542" spans="1:21" ht="14.25" customHeight="1" thickBot="1" x14ac:dyDescent="0.4">
      <c r="A1542" s="58">
        <v>1526</v>
      </c>
      <c r="B1542" s="69" t="s">
        <v>79</v>
      </c>
      <c r="C1542" s="69" t="s">
        <v>80</v>
      </c>
      <c r="D1542" s="70" t="s">
        <v>7620</v>
      </c>
      <c r="E1542" s="69" t="s">
        <v>6505</v>
      </c>
      <c r="F1542" s="69" t="s">
        <v>483</v>
      </c>
      <c r="G1542" s="69" t="s">
        <v>4231</v>
      </c>
      <c r="H1542" s="70">
        <v>2022</v>
      </c>
      <c r="I1542" s="69" t="s">
        <v>63</v>
      </c>
      <c r="J1542" s="69" t="s">
        <v>63</v>
      </c>
      <c r="K1542" s="71" t="s">
        <v>63</v>
      </c>
      <c r="L1542" s="71" t="s">
        <v>7621</v>
      </c>
      <c r="M1542" s="71" t="s">
        <v>63</v>
      </c>
      <c r="N1542" s="69" t="s">
        <v>44</v>
      </c>
      <c r="O1542" s="64">
        <v>1</v>
      </c>
      <c r="P1542" s="72">
        <v>34497000</v>
      </c>
      <c r="Q1542" s="69" t="s">
        <v>7565</v>
      </c>
      <c r="R1542" s="69"/>
      <c r="S1542" s="203" t="s">
        <v>903</v>
      </c>
      <c r="T1542" s="56">
        <v>41</v>
      </c>
      <c r="U1542" s="56">
        <v>3</v>
      </c>
    </row>
    <row r="1543" spans="1:21" ht="14.25" customHeight="1" x14ac:dyDescent="0.35">
      <c r="A1543" s="47">
        <v>1527</v>
      </c>
      <c r="B1543" s="69" t="s">
        <v>79</v>
      </c>
      <c r="C1543" s="69" t="s">
        <v>80</v>
      </c>
      <c r="D1543" s="70" t="s">
        <v>7622</v>
      </c>
      <c r="E1543" s="69" t="s">
        <v>6505</v>
      </c>
      <c r="F1543" s="69" t="s">
        <v>483</v>
      </c>
      <c r="G1543" s="69" t="s">
        <v>4231</v>
      </c>
      <c r="H1543" s="70">
        <v>2022</v>
      </c>
      <c r="I1543" s="69" t="s">
        <v>63</v>
      </c>
      <c r="J1543" s="69" t="s">
        <v>63</v>
      </c>
      <c r="K1543" s="71" t="s">
        <v>63</v>
      </c>
      <c r="L1543" s="71" t="s">
        <v>7623</v>
      </c>
      <c r="M1543" s="71" t="s">
        <v>63</v>
      </c>
      <c r="N1543" s="69" t="s">
        <v>44</v>
      </c>
      <c r="O1543" s="64">
        <v>1</v>
      </c>
      <c r="P1543" s="72">
        <v>34497000</v>
      </c>
      <c r="Q1543" s="69" t="s">
        <v>7565</v>
      </c>
      <c r="R1543" s="69"/>
      <c r="S1543" s="203" t="s">
        <v>903</v>
      </c>
      <c r="T1543" s="56">
        <v>41</v>
      </c>
      <c r="U1543" s="56">
        <v>3</v>
      </c>
    </row>
    <row r="1544" spans="1:21" ht="14.25" customHeight="1" thickBot="1" x14ac:dyDescent="0.4">
      <c r="A1544" s="58">
        <v>1528</v>
      </c>
      <c r="B1544" s="69" t="s">
        <v>79</v>
      </c>
      <c r="C1544" s="69" t="s">
        <v>80</v>
      </c>
      <c r="D1544" s="70" t="s">
        <v>7624</v>
      </c>
      <c r="E1544" s="69" t="s">
        <v>6505</v>
      </c>
      <c r="F1544" s="69" t="s">
        <v>483</v>
      </c>
      <c r="G1544" s="69" t="s">
        <v>4231</v>
      </c>
      <c r="H1544" s="70">
        <v>2022</v>
      </c>
      <c r="I1544" s="69" t="s">
        <v>63</v>
      </c>
      <c r="J1544" s="69" t="s">
        <v>63</v>
      </c>
      <c r="K1544" s="71" t="s">
        <v>63</v>
      </c>
      <c r="L1544" s="71" t="s">
        <v>7625</v>
      </c>
      <c r="M1544" s="71" t="s">
        <v>63</v>
      </c>
      <c r="N1544" s="69" t="s">
        <v>44</v>
      </c>
      <c r="O1544" s="64">
        <v>1</v>
      </c>
      <c r="P1544" s="72">
        <v>34497000</v>
      </c>
      <c r="Q1544" s="69" t="s">
        <v>7565</v>
      </c>
      <c r="R1544" s="69"/>
      <c r="S1544" s="203" t="s">
        <v>903</v>
      </c>
      <c r="T1544" s="56">
        <v>41</v>
      </c>
      <c r="U1544" s="56">
        <v>3</v>
      </c>
    </row>
    <row r="1545" spans="1:21" ht="14.25" customHeight="1" x14ac:dyDescent="0.35">
      <c r="A1545" s="47">
        <v>1529</v>
      </c>
      <c r="B1545" s="69" t="s">
        <v>79</v>
      </c>
      <c r="C1545" s="69" t="s">
        <v>80</v>
      </c>
      <c r="D1545" s="70" t="s">
        <v>7626</v>
      </c>
      <c r="E1545" s="69" t="s">
        <v>6505</v>
      </c>
      <c r="F1545" s="69" t="s">
        <v>483</v>
      </c>
      <c r="G1545" s="69" t="s">
        <v>4231</v>
      </c>
      <c r="H1545" s="70">
        <v>2022</v>
      </c>
      <c r="I1545" s="69" t="s">
        <v>63</v>
      </c>
      <c r="J1545" s="69" t="s">
        <v>63</v>
      </c>
      <c r="K1545" s="71" t="s">
        <v>63</v>
      </c>
      <c r="L1545" s="71" t="s">
        <v>7627</v>
      </c>
      <c r="M1545" s="71" t="s">
        <v>63</v>
      </c>
      <c r="N1545" s="69" t="s">
        <v>44</v>
      </c>
      <c r="O1545" s="64">
        <v>1</v>
      </c>
      <c r="P1545" s="72">
        <v>34497000</v>
      </c>
      <c r="Q1545" s="69" t="s">
        <v>7565</v>
      </c>
      <c r="R1545" s="69"/>
      <c r="S1545" s="203" t="s">
        <v>903</v>
      </c>
      <c r="T1545" s="56">
        <v>41</v>
      </c>
      <c r="U1545" s="56">
        <v>3</v>
      </c>
    </row>
    <row r="1546" spans="1:21" ht="14.25" customHeight="1" thickBot="1" x14ac:dyDescent="0.4">
      <c r="A1546" s="58">
        <v>1530</v>
      </c>
      <c r="B1546" s="69" t="s">
        <v>79</v>
      </c>
      <c r="C1546" s="69" t="s">
        <v>80</v>
      </c>
      <c r="D1546" s="70" t="s">
        <v>7628</v>
      </c>
      <c r="E1546" s="69" t="s">
        <v>6505</v>
      </c>
      <c r="F1546" s="69" t="s">
        <v>483</v>
      </c>
      <c r="G1546" s="69" t="s">
        <v>4231</v>
      </c>
      <c r="H1546" s="70">
        <v>2022</v>
      </c>
      <c r="I1546" s="69" t="s">
        <v>63</v>
      </c>
      <c r="J1546" s="69" t="s">
        <v>63</v>
      </c>
      <c r="K1546" s="71" t="s">
        <v>63</v>
      </c>
      <c r="L1546" s="71" t="s">
        <v>7629</v>
      </c>
      <c r="M1546" s="71" t="s">
        <v>63</v>
      </c>
      <c r="N1546" s="69" t="s">
        <v>44</v>
      </c>
      <c r="O1546" s="64">
        <v>1</v>
      </c>
      <c r="P1546" s="72">
        <v>34497000</v>
      </c>
      <c r="Q1546" s="69" t="s">
        <v>7565</v>
      </c>
      <c r="R1546" s="69"/>
      <c r="S1546" s="203" t="s">
        <v>903</v>
      </c>
      <c r="T1546" s="56">
        <v>41</v>
      </c>
      <c r="U1546" s="56">
        <v>3</v>
      </c>
    </row>
    <row r="1547" spans="1:21" ht="14.25" customHeight="1" x14ac:dyDescent="0.35">
      <c r="A1547" s="47">
        <v>1531</v>
      </c>
      <c r="B1547" s="69" t="s">
        <v>79</v>
      </c>
      <c r="C1547" s="69" t="s">
        <v>80</v>
      </c>
      <c r="D1547" s="70" t="s">
        <v>7630</v>
      </c>
      <c r="E1547" s="69" t="s">
        <v>6505</v>
      </c>
      <c r="F1547" s="69" t="s">
        <v>483</v>
      </c>
      <c r="G1547" s="69" t="s">
        <v>4231</v>
      </c>
      <c r="H1547" s="70">
        <v>2022</v>
      </c>
      <c r="I1547" s="69" t="s">
        <v>63</v>
      </c>
      <c r="J1547" s="69" t="s">
        <v>63</v>
      </c>
      <c r="K1547" s="71" t="s">
        <v>63</v>
      </c>
      <c r="L1547" s="71" t="s">
        <v>7631</v>
      </c>
      <c r="M1547" s="71" t="s">
        <v>63</v>
      </c>
      <c r="N1547" s="69" t="s">
        <v>44</v>
      </c>
      <c r="O1547" s="64">
        <v>1</v>
      </c>
      <c r="P1547" s="72">
        <v>34497000</v>
      </c>
      <c r="Q1547" s="69" t="s">
        <v>7565</v>
      </c>
      <c r="R1547" s="69"/>
      <c r="S1547" s="203" t="s">
        <v>903</v>
      </c>
      <c r="T1547" s="56">
        <v>41</v>
      </c>
      <c r="U1547" s="56">
        <v>3</v>
      </c>
    </row>
    <row r="1548" spans="1:21" ht="14.25" customHeight="1" thickBot="1" x14ac:dyDescent="0.4">
      <c r="A1548" s="58">
        <v>1532</v>
      </c>
      <c r="B1548" s="69" t="s">
        <v>79</v>
      </c>
      <c r="C1548" s="69" t="s">
        <v>80</v>
      </c>
      <c r="D1548" s="70" t="s">
        <v>7632</v>
      </c>
      <c r="E1548" s="69" t="s">
        <v>6505</v>
      </c>
      <c r="F1548" s="69" t="s">
        <v>483</v>
      </c>
      <c r="G1548" s="69" t="s">
        <v>4231</v>
      </c>
      <c r="H1548" s="70">
        <v>2022</v>
      </c>
      <c r="I1548" s="69" t="s">
        <v>63</v>
      </c>
      <c r="J1548" s="69" t="s">
        <v>63</v>
      </c>
      <c r="K1548" s="71" t="s">
        <v>63</v>
      </c>
      <c r="L1548" s="71" t="s">
        <v>7633</v>
      </c>
      <c r="M1548" s="71" t="s">
        <v>63</v>
      </c>
      <c r="N1548" s="69" t="s">
        <v>44</v>
      </c>
      <c r="O1548" s="64">
        <v>1</v>
      </c>
      <c r="P1548" s="72">
        <v>34497000</v>
      </c>
      <c r="Q1548" s="69" t="s">
        <v>7565</v>
      </c>
      <c r="R1548" s="69"/>
      <c r="S1548" s="203" t="s">
        <v>903</v>
      </c>
      <c r="T1548" s="56">
        <v>41</v>
      </c>
      <c r="U1548" s="56">
        <v>3</v>
      </c>
    </row>
    <row r="1549" spans="1:21" ht="14.25" customHeight="1" x14ac:dyDescent="0.35">
      <c r="A1549" s="47">
        <v>1533</v>
      </c>
      <c r="B1549" s="69" t="s">
        <v>79</v>
      </c>
      <c r="C1549" s="69" t="s">
        <v>80</v>
      </c>
      <c r="D1549" s="70" t="s">
        <v>7634</v>
      </c>
      <c r="E1549" s="69" t="s">
        <v>6505</v>
      </c>
      <c r="F1549" s="69" t="s">
        <v>483</v>
      </c>
      <c r="G1549" s="69" t="s">
        <v>4231</v>
      </c>
      <c r="H1549" s="70">
        <v>2022</v>
      </c>
      <c r="I1549" s="69" t="s">
        <v>63</v>
      </c>
      <c r="J1549" s="69" t="s">
        <v>63</v>
      </c>
      <c r="K1549" s="71" t="s">
        <v>63</v>
      </c>
      <c r="L1549" s="71" t="s">
        <v>7635</v>
      </c>
      <c r="M1549" s="71" t="s">
        <v>63</v>
      </c>
      <c r="N1549" s="69" t="s">
        <v>44</v>
      </c>
      <c r="O1549" s="64">
        <v>1</v>
      </c>
      <c r="P1549" s="72">
        <v>34497000</v>
      </c>
      <c r="Q1549" s="69" t="s">
        <v>7565</v>
      </c>
      <c r="R1549" s="69"/>
      <c r="S1549" s="203" t="s">
        <v>903</v>
      </c>
      <c r="T1549" s="56">
        <v>41</v>
      </c>
      <c r="U1549" s="56">
        <v>3</v>
      </c>
    </row>
    <row r="1550" spans="1:21" ht="14.25" customHeight="1" thickBot="1" x14ac:dyDescent="0.4">
      <c r="A1550" s="58">
        <v>1534</v>
      </c>
      <c r="B1550" s="69" t="s">
        <v>79</v>
      </c>
      <c r="C1550" s="69" t="s">
        <v>80</v>
      </c>
      <c r="D1550" s="70" t="s">
        <v>7636</v>
      </c>
      <c r="E1550" s="69" t="s">
        <v>6505</v>
      </c>
      <c r="F1550" s="69" t="s">
        <v>483</v>
      </c>
      <c r="G1550" s="69" t="s">
        <v>4231</v>
      </c>
      <c r="H1550" s="70">
        <v>2022</v>
      </c>
      <c r="I1550" s="69" t="s">
        <v>63</v>
      </c>
      <c r="J1550" s="69" t="s">
        <v>63</v>
      </c>
      <c r="K1550" s="71" t="s">
        <v>63</v>
      </c>
      <c r="L1550" s="71" t="s">
        <v>7637</v>
      </c>
      <c r="M1550" s="71" t="s">
        <v>63</v>
      </c>
      <c r="N1550" s="69" t="s">
        <v>44</v>
      </c>
      <c r="O1550" s="64">
        <v>1</v>
      </c>
      <c r="P1550" s="72">
        <v>34497000</v>
      </c>
      <c r="Q1550" s="69" t="s">
        <v>7565</v>
      </c>
      <c r="R1550" s="69"/>
      <c r="S1550" s="203" t="s">
        <v>903</v>
      </c>
      <c r="T1550" s="56">
        <v>41</v>
      </c>
      <c r="U1550" s="56">
        <v>3</v>
      </c>
    </row>
    <row r="1551" spans="1:21" ht="14.25" customHeight="1" x14ac:dyDescent="0.35">
      <c r="A1551" s="47">
        <v>1535</v>
      </c>
      <c r="B1551" s="69" t="s">
        <v>79</v>
      </c>
      <c r="C1551" s="69" t="s">
        <v>80</v>
      </c>
      <c r="D1551" s="70" t="s">
        <v>7638</v>
      </c>
      <c r="E1551" s="69" t="s">
        <v>6505</v>
      </c>
      <c r="F1551" s="69" t="s">
        <v>483</v>
      </c>
      <c r="G1551" s="69" t="s">
        <v>4231</v>
      </c>
      <c r="H1551" s="70">
        <v>2022</v>
      </c>
      <c r="I1551" s="69" t="s">
        <v>63</v>
      </c>
      <c r="J1551" s="69" t="s">
        <v>63</v>
      </c>
      <c r="K1551" s="71" t="s">
        <v>63</v>
      </c>
      <c r="L1551" s="71" t="s">
        <v>7639</v>
      </c>
      <c r="M1551" s="71" t="s">
        <v>63</v>
      </c>
      <c r="N1551" s="69" t="s">
        <v>44</v>
      </c>
      <c r="O1551" s="64">
        <v>1</v>
      </c>
      <c r="P1551" s="72">
        <v>34497000</v>
      </c>
      <c r="Q1551" s="69" t="s">
        <v>7565</v>
      </c>
      <c r="R1551" s="69"/>
      <c r="S1551" s="203" t="s">
        <v>903</v>
      </c>
      <c r="T1551" s="56">
        <v>41</v>
      </c>
      <c r="U1551" s="56">
        <v>3</v>
      </c>
    </row>
    <row r="1552" spans="1:21" ht="14.25" customHeight="1" thickBot="1" x14ac:dyDescent="0.4">
      <c r="A1552" s="58">
        <v>1536</v>
      </c>
      <c r="B1552" s="69" t="s">
        <v>79</v>
      </c>
      <c r="C1552" s="69" t="s">
        <v>80</v>
      </c>
      <c r="D1552" s="70" t="s">
        <v>7640</v>
      </c>
      <c r="E1552" s="69" t="s">
        <v>6505</v>
      </c>
      <c r="F1552" s="69" t="s">
        <v>483</v>
      </c>
      <c r="G1552" s="69" t="s">
        <v>4231</v>
      </c>
      <c r="H1552" s="70">
        <v>2022</v>
      </c>
      <c r="I1552" s="69" t="s">
        <v>63</v>
      </c>
      <c r="J1552" s="69" t="s">
        <v>63</v>
      </c>
      <c r="K1552" s="71" t="s">
        <v>63</v>
      </c>
      <c r="L1552" s="71" t="s">
        <v>7641</v>
      </c>
      <c r="M1552" s="71" t="s">
        <v>63</v>
      </c>
      <c r="N1552" s="69" t="s">
        <v>44</v>
      </c>
      <c r="O1552" s="64">
        <v>1</v>
      </c>
      <c r="P1552" s="72">
        <v>34497000</v>
      </c>
      <c r="Q1552" s="69" t="s">
        <v>7565</v>
      </c>
      <c r="R1552" s="69"/>
      <c r="S1552" s="203" t="s">
        <v>903</v>
      </c>
      <c r="T1552" s="56">
        <v>41</v>
      </c>
      <c r="U1552" s="56">
        <v>3</v>
      </c>
    </row>
    <row r="1553" spans="1:21" ht="14.25" customHeight="1" x14ac:dyDescent="0.35">
      <c r="A1553" s="47">
        <v>1537</v>
      </c>
      <c r="B1553" s="69" t="s">
        <v>79</v>
      </c>
      <c r="C1553" s="69" t="s">
        <v>80</v>
      </c>
      <c r="D1553" s="70" t="s">
        <v>7642</v>
      </c>
      <c r="E1553" s="69" t="s">
        <v>6505</v>
      </c>
      <c r="F1553" s="69" t="s">
        <v>483</v>
      </c>
      <c r="G1553" s="69" t="s">
        <v>4231</v>
      </c>
      <c r="H1553" s="70">
        <v>2022</v>
      </c>
      <c r="I1553" s="69" t="s">
        <v>63</v>
      </c>
      <c r="J1553" s="69" t="s">
        <v>63</v>
      </c>
      <c r="K1553" s="71" t="s">
        <v>63</v>
      </c>
      <c r="L1553" s="71" t="s">
        <v>7643</v>
      </c>
      <c r="M1553" s="71" t="s">
        <v>63</v>
      </c>
      <c r="N1553" s="69" t="s">
        <v>44</v>
      </c>
      <c r="O1553" s="64">
        <v>1</v>
      </c>
      <c r="P1553" s="72">
        <v>34497000</v>
      </c>
      <c r="Q1553" s="69" t="s">
        <v>7565</v>
      </c>
      <c r="R1553" s="69"/>
      <c r="S1553" s="203" t="s">
        <v>903</v>
      </c>
      <c r="T1553" s="56">
        <v>41</v>
      </c>
      <c r="U1553" s="56">
        <v>3</v>
      </c>
    </row>
    <row r="1554" spans="1:21" ht="14.25" customHeight="1" thickBot="1" x14ac:dyDescent="0.4">
      <c r="A1554" s="58">
        <v>1538</v>
      </c>
      <c r="B1554" s="69" t="s">
        <v>79</v>
      </c>
      <c r="C1554" s="69" t="s">
        <v>80</v>
      </c>
      <c r="D1554" s="70" t="s">
        <v>7644</v>
      </c>
      <c r="E1554" s="69" t="s">
        <v>6505</v>
      </c>
      <c r="F1554" s="69" t="s">
        <v>483</v>
      </c>
      <c r="G1554" s="69" t="s">
        <v>4231</v>
      </c>
      <c r="H1554" s="70">
        <v>2022</v>
      </c>
      <c r="I1554" s="69" t="s">
        <v>63</v>
      </c>
      <c r="J1554" s="69" t="s">
        <v>63</v>
      </c>
      <c r="K1554" s="71" t="s">
        <v>63</v>
      </c>
      <c r="L1554" s="71" t="s">
        <v>7645</v>
      </c>
      <c r="M1554" s="71" t="s">
        <v>63</v>
      </c>
      <c r="N1554" s="69" t="s">
        <v>44</v>
      </c>
      <c r="O1554" s="64">
        <v>1</v>
      </c>
      <c r="P1554" s="72">
        <v>34497000</v>
      </c>
      <c r="Q1554" s="69" t="s">
        <v>7565</v>
      </c>
      <c r="R1554" s="69"/>
      <c r="S1554" s="203" t="s">
        <v>903</v>
      </c>
      <c r="T1554" s="56">
        <v>41</v>
      </c>
      <c r="U1554" s="56">
        <v>3</v>
      </c>
    </row>
    <row r="1555" spans="1:21" ht="14.25" customHeight="1" x14ac:dyDescent="0.35">
      <c r="A1555" s="47">
        <v>1539</v>
      </c>
      <c r="B1555" s="69" t="s">
        <v>79</v>
      </c>
      <c r="C1555" s="69" t="s">
        <v>80</v>
      </c>
      <c r="D1555" s="70" t="s">
        <v>7646</v>
      </c>
      <c r="E1555" s="69" t="s">
        <v>6505</v>
      </c>
      <c r="F1555" s="69" t="s">
        <v>483</v>
      </c>
      <c r="G1555" s="69" t="s">
        <v>4231</v>
      </c>
      <c r="H1555" s="70">
        <v>2022</v>
      </c>
      <c r="I1555" s="69" t="s">
        <v>63</v>
      </c>
      <c r="J1555" s="69" t="s">
        <v>63</v>
      </c>
      <c r="K1555" s="71" t="s">
        <v>63</v>
      </c>
      <c r="L1555" s="71" t="s">
        <v>7647</v>
      </c>
      <c r="M1555" s="71" t="s">
        <v>63</v>
      </c>
      <c r="N1555" s="69" t="s">
        <v>44</v>
      </c>
      <c r="O1555" s="64">
        <v>1</v>
      </c>
      <c r="P1555" s="72">
        <v>34497000</v>
      </c>
      <c r="Q1555" s="69" t="s">
        <v>7565</v>
      </c>
      <c r="R1555" s="69"/>
      <c r="S1555" s="203" t="s">
        <v>903</v>
      </c>
      <c r="T1555" s="56">
        <v>41</v>
      </c>
      <c r="U1555" s="56">
        <v>3</v>
      </c>
    </row>
    <row r="1556" spans="1:21" ht="14.25" customHeight="1" thickBot="1" x14ac:dyDescent="0.4">
      <c r="A1556" s="58">
        <v>1540</v>
      </c>
      <c r="B1556" s="69" t="s">
        <v>79</v>
      </c>
      <c r="C1556" s="69" t="s">
        <v>80</v>
      </c>
      <c r="D1556" s="70" t="s">
        <v>7648</v>
      </c>
      <c r="E1556" s="69" t="s">
        <v>6505</v>
      </c>
      <c r="F1556" s="69" t="s">
        <v>483</v>
      </c>
      <c r="G1556" s="69" t="s">
        <v>4231</v>
      </c>
      <c r="H1556" s="70">
        <v>2022</v>
      </c>
      <c r="I1556" s="69" t="s">
        <v>63</v>
      </c>
      <c r="J1556" s="69" t="s">
        <v>63</v>
      </c>
      <c r="K1556" s="71" t="s">
        <v>63</v>
      </c>
      <c r="L1556" s="71" t="s">
        <v>7649</v>
      </c>
      <c r="M1556" s="71" t="s">
        <v>63</v>
      </c>
      <c r="N1556" s="69" t="s">
        <v>44</v>
      </c>
      <c r="O1556" s="64">
        <v>1</v>
      </c>
      <c r="P1556" s="72">
        <v>34497000</v>
      </c>
      <c r="Q1556" s="69" t="s">
        <v>7565</v>
      </c>
      <c r="R1556" s="69"/>
      <c r="S1556" s="203" t="s">
        <v>903</v>
      </c>
      <c r="T1556" s="56">
        <v>41</v>
      </c>
      <c r="U1556" s="56">
        <v>3</v>
      </c>
    </row>
    <row r="1557" spans="1:21" ht="14.25" customHeight="1" x14ac:dyDescent="0.35">
      <c r="A1557" s="47">
        <v>1541</v>
      </c>
      <c r="B1557" s="69" t="s">
        <v>79</v>
      </c>
      <c r="C1557" s="69" t="s">
        <v>80</v>
      </c>
      <c r="D1557" s="70" t="s">
        <v>7650</v>
      </c>
      <c r="E1557" s="69" t="s">
        <v>6505</v>
      </c>
      <c r="F1557" s="69" t="s">
        <v>483</v>
      </c>
      <c r="G1557" s="69" t="s">
        <v>4231</v>
      </c>
      <c r="H1557" s="70">
        <v>2022</v>
      </c>
      <c r="I1557" s="69" t="s">
        <v>63</v>
      </c>
      <c r="J1557" s="69" t="s">
        <v>63</v>
      </c>
      <c r="K1557" s="71" t="s">
        <v>63</v>
      </c>
      <c r="L1557" s="71" t="s">
        <v>7651</v>
      </c>
      <c r="M1557" s="71" t="s">
        <v>63</v>
      </c>
      <c r="N1557" s="69" t="s">
        <v>44</v>
      </c>
      <c r="O1557" s="64">
        <v>1</v>
      </c>
      <c r="P1557" s="72">
        <v>34497000</v>
      </c>
      <c r="Q1557" s="69" t="s">
        <v>7565</v>
      </c>
      <c r="R1557" s="69"/>
      <c r="S1557" s="203" t="s">
        <v>903</v>
      </c>
      <c r="T1557" s="56">
        <v>41</v>
      </c>
      <c r="U1557" s="56">
        <v>3</v>
      </c>
    </row>
    <row r="1558" spans="1:21" ht="14.25" customHeight="1" thickBot="1" x14ac:dyDescent="0.4">
      <c r="A1558" s="58">
        <v>1542</v>
      </c>
      <c r="B1558" s="69" t="s">
        <v>79</v>
      </c>
      <c r="C1558" s="69" t="s">
        <v>80</v>
      </c>
      <c r="D1558" s="70" t="s">
        <v>7652</v>
      </c>
      <c r="E1558" s="69" t="s">
        <v>6505</v>
      </c>
      <c r="F1558" s="69" t="s">
        <v>483</v>
      </c>
      <c r="G1558" s="69" t="s">
        <v>4231</v>
      </c>
      <c r="H1558" s="70">
        <v>2022</v>
      </c>
      <c r="I1558" s="69" t="s">
        <v>63</v>
      </c>
      <c r="J1558" s="69" t="s">
        <v>63</v>
      </c>
      <c r="K1558" s="71" t="s">
        <v>63</v>
      </c>
      <c r="L1558" s="71" t="s">
        <v>7653</v>
      </c>
      <c r="M1558" s="71" t="s">
        <v>63</v>
      </c>
      <c r="N1558" s="69" t="s">
        <v>44</v>
      </c>
      <c r="O1558" s="64">
        <v>1</v>
      </c>
      <c r="P1558" s="72">
        <v>34497000</v>
      </c>
      <c r="Q1558" s="69" t="s">
        <v>7565</v>
      </c>
      <c r="R1558" s="69"/>
      <c r="S1558" s="203" t="s">
        <v>903</v>
      </c>
      <c r="T1558" s="56">
        <v>41</v>
      </c>
      <c r="U1558" s="56">
        <v>3</v>
      </c>
    </row>
    <row r="1559" spans="1:21" ht="14.25" customHeight="1" x14ac:dyDescent="0.35">
      <c r="A1559" s="47">
        <v>1543</v>
      </c>
      <c r="B1559" s="69" t="s">
        <v>79</v>
      </c>
      <c r="C1559" s="69" t="s">
        <v>80</v>
      </c>
      <c r="D1559" s="70" t="s">
        <v>7654</v>
      </c>
      <c r="E1559" s="69" t="s">
        <v>6505</v>
      </c>
      <c r="F1559" s="69" t="s">
        <v>483</v>
      </c>
      <c r="G1559" s="69" t="s">
        <v>4231</v>
      </c>
      <c r="H1559" s="70">
        <v>2022</v>
      </c>
      <c r="I1559" s="69" t="s">
        <v>63</v>
      </c>
      <c r="J1559" s="69" t="s">
        <v>63</v>
      </c>
      <c r="K1559" s="71" t="s">
        <v>63</v>
      </c>
      <c r="L1559" s="71" t="s">
        <v>7655</v>
      </c>
      <c r="M1559" s="71" t="s">
        <v>63</v>
      </c>
      <c r="N1559" s="69" t="s">
        <v>44</v>
      </c>
      <c r="O1559" s="64">
        <v>1</v>
      </c>
      <c r="P1559" s="72">
        <v>34497000</v>
      </c>
      <c r="Q1559" s="69" t="s">
        <v>7565</v>
      </c>
      <c r="R1559" s="69"/>
      <c r="S1559" s="203" t="s">
        <v>903</v>
      </c>
      <c r="T1559" s="56">
        <v>41</v>
      </c>
      <c r="U1559" s="56">
        <v>3</v>
      </c>
    </row>
    <row r="1560" spans="1:21" ht="14.25" customHeight="1" thickBot="1" x14ac:dyDescent="0.4">
      <c r="A1560" s="58">
        <v>1544</v>
      </c>
      <c r="B1560" s="69" t="s">
        <v>79</v>
      </c>
      <c r="C1560" s="69" t="s">
        <v>80</v>
      </c>
      <c r="D1560" s="70" t="s">
        <v>7656</v>
      </c>
      <c r="E1560" s="69" t="s">
        <v>6505</v>
      </c>
      <c r="F1560" s="69" t="s">
        <v>483</v>
      </c>
      <c r="G1560" s="69" t="s">
        <v>4231</v>
      </c>
      <c r="H1560" s="70">
        <v>2022</v>
      </c>
      <c r="I1560" s="69" t="s">
        <v>63</v>
      </c>
      <c r="J1560" s="69" t="s">
        <v>63</v>
      </c>
      <c r="K1560" s="71" t="s">
        <v>63</v>
      </c>
      <c r="L1560" s="71" t="s">
        <v>7657</v>
      </c>
      <c r="M1560" s="71" t="s">
        <v>63</v>
      </c>
      <c r="N1560" s="69" t="s">
        <v>44</v>
      </c>
      <c r="O1560" s="64">
        <v>1</v>
      </c>
      <c r="P1560" s="72">
        <v>34497000</v>
      </c>
      <c r="Q1560" s="69" t="s">
        <v>7565</v>
      </c>
      <c r="R1560" s="69"/>
      <c r="S1560" s="203" t="s">
        <v>903</v>
      </c>
      <c r="T1560" s="56">
        <v>41</v>
      </c>
      <c r="U1560" s="56">
        <v>3</v>
      </c>
    </row>
    <row r="1561" spans="1:21" ht="14.25" customHeight="1" x14ac:dyDescent="0.35">
      <c r="A1561" s="47">
        <v>1545</v>
      </c>
      <c r="B1561" s="69" t="s">
        <v>79</v>
      </c>
      <c r="C1561" s="69" t="s">
        <v>80</v>
      </c>
      <c r="D1561" s="70" t="s">
        <v>7658</v>
      </c>
      <c r="E1561" s="69" t="s">
        <v>6505</v>
      </c>
      <c r="F1561" s="69" t="s">
        <v>483</v>
      </c>
      <c r="G1561" s="69" t="s">
        <v>4231</v>
      </c>
      <c r="H1561" s="70">
        <v>2022</v>
      </c>
      <c r="I1561" s="69" t="s">
        <v>63</v>
      </c>
      <c r="J1561" s="69" t="s">
        <v>63</v>
      </c>
      <c r="K1561" s="71" t="s">
        <v>63</v>
      </c>
      <c r="L1561" s="71" t="s">
        <v>7659</v>
      </c>
      <c r="M1561" s="71" t="s">
        <v>63</v>
      </c>
      <c r="N1561" s="69" t="s">
        <v>44</v>
      </c>
      <c r="O1561" s="64">
        <v>1</v>
      </c>
      <c r="P1561" s="72">
        <v>34497000</v>
      </c>
      <c r="Q1561" s="69" t="s">
        <v>7565</v>
      </c>
      <c r="R1561" s="69"/>
      <c r="S1561" s="203" t="s">
        <v>903</v>
      </c>
      <c r="T1561" s="56">
        <v>41</v>
      </c>
      <c r="U1561" s="56">
        <v>3</v>
      </c>
    </row>
    <row r="1562" spans="1:21" ht="14.25" customHeight="1" thickBot="1" x14ac:dyDescent="0.4">
      <c r="A1562" s="58">
        <v>1546</v>
      </c>
      <c r="B1562" s="69" t="s">
        <v>79</v>
      </c>
      <c r="C1562" s="69" t="s">
        <v>80</v>
      </c>
      <c r="D1562" s="70" t="s">
        <v>7660</v>
      </c>
      <c r="E1562" s="69" t="s">
        <v>7661</v>
      </c>
      <c r="F1562" s="69"/>
      <c r="G1562" s="69" t="s">
        <v>63</v>
      </c>
      <c r="H1562" s="70">
        <v>2024</v>
      </c>
      <c r="I1562" s="69" t="s">
        <v>63</v>
      </c>
      <c r="J1562" s="69" t="s">
        <v>63</v>
      </c>
      <c r="K1562" s="71" t="s">
        <v>63</v>
      </c>
      <c r="L1562" s="71" t="s">
        <v>63</v>
      </c>
      <c r="M1562" s="71" t="s">
        <v>63</v>
      </c>
      <c r="N1562" s="69" t="s">
        <v>44</v>
      </c>
      <c r="O1562" s="64">
        <v>1</v>
      </c>
      <c r="P1562" s="72">
        <v>185500000</v>
      </c>
      <c r="Q1562" s="69" t="s">
        <v>7662</v>
      </c>
      <c r="R1562" s="69"/>
      <c r="S1562" s="203" t="s">
        <v>903</v>
      </c>
      <c r="T1562" s="56">
        <v>41</v>
      </c>
      <c r="U1562" s="56">
        <v>3</v>
      </c>
    </row>
    <row r="1563" spans="1:21" ht="14.25" customHeight="1" x14ac:dyDescent="0.35">
      <c r="A1563" s="47">
        <v>1547</v>
      </c>
      <c r="B1563" s="69" t="s">
        <v>1711</v>
      </c>
      <c r="C1563" s="69" t="s">
        <v>1712</v>
      </c>
      <c r="D1563" s="70" t="s">
        <v>51</v>
      </c>
      <c r="E1563" s="69" t="s">
        <v>7065</v>
      </c>
      <c r="F1563" s="69" t="s">
        <v>63</v>
      </c>
      <c r="G1563" s="69" t="s">
        <v>63</v>
      </c>
      <c r="H1563" s="70">
        <v>2019</v>
      </c>
      <c r="I1563" s="69" t="s">
        <v>63</v>
      </c>
      <c r="J1563" s="69" t="s">
        <v>63</v>
      </c>
      <c r="K1563" s="71" t="s">
        <v>7663</v>
      </c>
      <c r="L1563" s="71" t="s">
        <v>7664</v>
      </c>
      <c r="M1563" s="71" t="s">
        <v>7665</v>
      </c>
      <c r="N1563" s="69" t="s">
        <v>57</v>
      </c>
      <c r="O1563" s="64">
        <v>1</v>
      </c>
      <c r="P1563" s="72">
        <v>999460000</v>
      </c>
      <c r="Q1563" s="69" t="s">
        <v>7666</v>
      </c>
      <c r="R1563" s="69"/>
      <c r="S1563" s="203" t="s">
        <v>903</v>
      </c>
      <c r="T1563" s="56">
        <v>41</v>
      </c>
      <c r="U1563" s="56">
        <v>6</v>
      </c>
    </row>
    <row r="1564" spans="1:21" ht="14.25" customHeight="1" thickBot="1" x14ac:dyDescent="0.4">
      <c r="A1564" s="58">
        <v>1548</v>
      </c>
      <c r="B1564" s="69" t="s">
        <v>1711</v>
      </c>
      <c r="C1564" s="69" t="s">
        <v>1712</v>
      </c>
      <c r="D1564" s="70" t="s">
        <v>59</v>
      </c>
      <c r="E1564" s="69" t="s">
        <v>7065</v>
      </c>
      <c r="F1564" s="69" t="s">
        <v>7667</v>
      </c>
      <c r="G1564" s="69" t="s">
        <v>415</v>
      </c>
      <c r="H1564" s="70">
        <v>2019</v>
      </c>
      <c r="I1564" s="69" t="s">
        <v>63</v>
      </c>
      <c r="J1564" s="69" t="s">
        <v>7668</v>
      </c>
      <c r="K1564" s="71" t="s">
        <v>7669</v>
      </c>
      <c r="L1564" s="71" t="s">
        <v>7670</v>
      </c>
      <c r="M1564" s="71" t="s">
        <v>7671</v>
      </c>
      <c r="N1564" s="69" t="s">
        <v>57</v>
      </c>
      <c r="O1564" s="64">
        <v>1</v>
      </c>
      <c r="P1564" s="72">
        <v>999460000</v>
      </c>
      <c r="Q1564" s="69" t="s">
        <v>7666</v>
      </c>
      <c r="R1564" s="69"/>
      <c r="S1564" s="203" t="s">
        <v>903</v>
      </c>
      <c r="T1564" s="56">
        <v>41</v>
      </c>
      <c r="U1564" s="56">
        <v>6</v>
      </c>
    </row>
    <row r="1565" spans="1:21" ht="14.25" customHeight="1" x14ac:dyDescent="0.35">
      <c r="A1565" s="47">
        <v>1549</v>
      </c>
      <c r="B1565" s="69" t="s">
        <v>1711</v>
      </c>
      <c r="C1565" s="69" t="s">
        <v>1712</v>
      </c>
      <c r="D1565" s="70" t="s">
        <v>97</v>
      </c>
      <c r="E1565" s="69" t="s">
        <v>7065</v>
      </c>
      <c r="F1565" s="69" t="s">
        <v>63</v>
      </c>
      <c r="G1565" s="69" t="s">
        <v>63</v>
      </c>
      <c r="H1565" s="70">
        <v>2019</v>
      </c>
      <c r="I1565" s="69" t="s">
        <v>63</v>
      </c>
      <c r="J1565" s="69" t="s">
        <v>63</v>
      </c>
      <c r="K1565" s="71" t="s">
        <v>7672</v>
      </c>
      <c r="L1565" s="71" t="s">
        <v>7673</v>
      </c>
      <c r="M1565" s="71" t="s">
        <v>7674</v>
      </c>
      <c r="N1565" s="69" t="s">
        <v>57</v>
      </c>
      <c r="O1565" s="64">
        <v>1</v>
      </c>
      <c r="P1565" s="72">
        <v>999460000</v>
      </c>
      <c r="Q1565" s="69" t="s">
        <v>7666</v>
      </c>
      <c r="R1565" s="69"/>
      <c r="S1565" s="203" t="s">
        <v>903</v>
      </c>
      <c r="T1565" s="56">
        <v>41</v>
      </c>
      <c r="U1565" s="56">
        <v>6</v>
      </c>
    </row>
    <row r="1566" spans="1:21" ht="14.25" customHeight="1" thickBot="1" x14ac:dyDescent="0.4">
      <c r="A1566" s="58">
        <v>1550</v>
      </c>
      <c r="B1566" s="69" t="s">
        <v>1711</v>
      </c>
      <c r="C1566" s="69" t="s">
        <v>1712</v>
      </c>
      <c r="D1566" s="70" t="s">
        <v>101</v>
      </c>
      <c r="E1566" s="69" t="s">
        <v>7065</v>
      </c>
      <c r="F1566" s="69" t="s">
        <v>7667</v>
      </c>
      <c r="G1566" s="69" t="s">
        <v>415</v>
      </c>
      <c r="H1566" s="70">
        <v>2019</v>
      </c>
      <c r="I1566" s="69" t="s">
        <v>63</v>
      </c>
      <c r="J1566" s="69" t="s">
        <v>7675</v>
      </c>
      <c r="K1566" s="71" t="s">
        <v>63</v>
      </c>
      <c r="L1566" s="71" t="s">
        <v>63</v>
      </c>
      <c r="M1566" s="71" t="s">
        <v>63</v>
      </c>
      <c r="N1566" s="69" t="s">
        <v>57</v>
      </c>
      <c r="O1566" s="64">
        <v>1</v>
      </c>
      <c r="P1566" s="72">
        <v>999460000</v>
      </c>
      <c r="Q1566" s="69" t="s">
        <v>7666</v>
      </c>
      <c r="R1566" s="69"/>
      <c r="S1566" s="203" t="s">
        <v>903</v>
      </c>
      <c r="T1566" s="56">
        <v>41</v>
      </c>
      <c r="U1566" s="56">
        <v>6</v>
      </c>
    </row>
    <row r="1567" spans="1:21" ht="14.25" customHeight="1" x14ac:dyDescent="0.35">
      <c r="A1567" s="47">
        <v>1551</v>
      </c>
      <c r="B1567" s="69" t="s">
        <v>1711</v>
      </c>
      <c r="C1567" s="69" t="s">
        <v>1712</v>
      </c>
      <c r="D1567" s="70" t="s">
        <v>107</v>
      </c>
      <c r="E1567" s="69" t="s">
        <v>7065</v>
      </c>
      <c r="F1567" s="69" t="s">
        <v>63</v>
      </c>
      <c r="G1567" s="69" t="s">
        <v>63</v>
      </c>
      <c r="H1567" s="70">
        <v>2019</v>
      </c>
      <c r="I1567" s="69" t="s">
        <v>63</v>
      </c>
      <c r="J1567" s="69" t="s">
        <v>63</v>
      </c>
      <c r="K1567" s="71" t="s">
        <v>7676</v>
      </c>
      <c r="L1567" s="71" t="s">
        <v>7677</v>
      </c>
      <c r="M1567" s="71" t="s">
        <v>7678</v>
      </c>
      <c r="N1567" s="69" t="s">
        <v>57</v>
      </c>
      <c r="O1567" s="64">
        <v>1</v>
      </c>
      <c r="P1567" s="72">
        <v>999460000</v>
      </c>
      <c r="Q1567" s="69" t="s">
        <v>7666</v>
      </c>
      <c r="R1567" s="69"/>
      <c r="S1567" s="203" t="s">
        <v>903</v>
      </c>
      <c r="T1567" s="56">
        <v>41</v>
      </c>
      <c r="U1567" s="56">
        <v>6</v>
      </c>
    </row>
    <row r="1568" spans="1:21" ht="14.25" customHeight="1" thickBot="1" x14ac:dyDescent="0.4">
      <c r="A1568" s="58">
        <v>1552</v>
      </c>
      <c r="B1568" s="69" t="s">
        <v>1711</v>
      </c>
      <c r="C1568" s="69" t="s">
        <v>1712</v>
      </c>
      <c r="D1568" s="70" t="s">
        <v>112</v>
      </c>
      <c r="E1568" s="69" t="s">
        <v>3658</v>
      </c>
      <c r="F1568" s="69" t="s">
        <v>63</v>
      </c>
      <c r="G1568" s="69" t="s">
        <v>63</v>
      </c>
      <c r="H1568" s="70">
        <v>2019</v>
      </c>
      <c r="I1568" s="69" t="s">
        <v>63</v>
      </c>
      <c r="J1568" s="69" t="s">
        <v>63</v>
      </c>
      <c r="K1568" s="71" t="s">
        <v>7679</v>
      </c>
      <c r="L1568" s="71" t="s">
        <v>7680</v>
      </c>
      <c r="M1568" s="71" t="s">
        <v>7681</v>
      </c>
      <c r="N1568" s="69" t="s">
        <v>57</v>
      </c>
      <c r="O1568" s="64">
        <v>1</v>
      </c>
      <c r="P1568" s="72">
        <v>1400300000</v>
      </c>
      <c r="Q1568" s="69" t="s">
        <v>7682</v>
      </c>
      <c r="R1568" s="69"/>
      <c r="S1568" s="203" t="s">
        <v>903</v>
      </c>
      <c r="T1568" s="56">
        <v>41</v>
      </c>
      <c r="U1568" s="56">
        <v>6</v>
      </c>
    </row>
    <row r="1569" spans="1:21" ht="14.25" customHeight="1" x14ac:dyDescent="0.35">
      <c r="A1569" s="47">
        <v>1553</v>
      </c>
      <c r="B1569" s="69" t="s">
        <v>1711</v>
      </c>
      <c r="C1569" s="69" t="s">
        <v>1712</v>
      </c>
      <c r="D1569" s="70" t="s">
        <v>116</v>
      </c>
      <c r="E1569" s="69" t="s">
        <v>3658</v>
      </c>
      <c r="F1569" s="69" t="s">
        <v>63</v>
      </c>
      <c r="G1569" s="69" t="s">
        <v>63</v>
      </c>
      <c r="H1569" s="70">
        <v>2019</v>
      </c>
      <c r="I1569" s="69" t="s">
        <v>63</v>
      </c>
      <c r="J1569" s="69" t="s">
        <v>63</v>
      </c>
      <c r="K1569" s="71" t="s">
        <v>7683</v>
      </c>
      <c r="L1569" s="71" t="s">
        <v>7684</v>
      </c>
      <c r="M1569" s="71" t="s">
        <v>7685</v>
      </c>
      <c r="N1569" s="69" t="s">
        <v>57</v>
      </c>
      <c r="O1569" s="64">
        <v>1</v>
      </c>
      <c r="P1569" s="72">
        <v>1400300000</v>
      </c>
      <c r="Q1569" s="69" t="s">
        <v>7682</v>
      </c>
      <c r="R1569" s="69"/>
      <c r="S1569" s="203" t="s">
        <v>903</v>
      </c>
      <c r="T1569" s="56">
        <v>41</v>
      </c>
      <c r="U1569" s="56">
        <v>6</v>
      </c>
    </row>
    <row r="1570" spans="1:21" ht="14.25" customHeight="1" thickBot="1" x14ac:dyDescent="0.4">
      <c r="A1570" s="58">
        <v>1554</v>
      </c>
      <c r="B1570" s="69" t="s">
        <v>1711</v>
      </c>
      <c r="C1570" s="69" t="s">
        <v>1712</v>
      </c>
      <c r="D1570" s="70" t="s">
        <v>841</v>
      </c>
      <c r="E1570" s="69" t="s">
        <v>3658</v>
      </c>
      <c r="F1570" s="69" t="s">
        <v>63</v>
      </c>
      <c r="G1570" s="69" t="s">
        <v>63</v>
      </c>
      <c r="H1570" s="70">
        <v>2019</v>
      </c>
      <c r="I1570" s="69" t="s">
        <v>63</v>
      </c>
      <c r="J1570" s="69" t="s">
        <v>63</v>
      </c>
      <c r="K1570" s="71" t="s">
        <v>7686</v>
      </c>
      <c r="L1570" s="71" t="s">
        <v>7687</v>
      </c>
      <c r="M1570" s="71" t="s">
        <v>7688</v>
      </c>
      <c r="N1570" s="69" t="s">
        <v>57</v>
      </c>
      <c r="O1570" s="64">
        <v>1</v>
      </c>
      <c r="P1570" s="72">
        <v>1400300000</v>
      </c>
      <c r="Q1570" s="69" t="s">
        <v>7682</v>
      </c>
      <c r="R1570" s="69"/>
      <c r="S1570" s="203" t="s">
        <v>903</v>
      </c>
      <c r="T1570" s="56">
        <v>41</v>
      </c>
      <c r="U1570" s="56">
        <v>6</v>
      </c>
    </row>
    <row r="1571" spans="1:21" ht="14.25" customHeight="1" x14ac:dyDescent="0.35">
      <c r="A1571" s="47">
        <v>1555</v>
      </c>
      <c r="B1571" s="69" t="s">
        <v>1711</v>
      </c>
      <c r="C1571" s="69" t="s">
        <v>1712</v>
      </c>
      <c r="D1571" s="70" t="s">
        <v>904</v>
      </c>
      <c r="E1571" s="69" t="s">
        <v>1713</v>
      </c>
      <c r="F1571" s="69" t="s">
        <v>1714</v>
      </c>
      <c r="G1571" s="69" t="s">
        <v>140</v>
      </c>
      <c r="H1571" s="70">
        <v>2020</v>
      </c>
      <c r="I1571" s="69" t="s">
        <v>63</v>
      </c>
      <c r="J1571" s="69" t="s">
        <v>7689</v>
      </c>
      <c r="K1571" s="71" t="s">
        <v>7690</v>
      </c>
      <c r="L1571" s="71" t="s">
        <v>7691</v>
      </c>
      <c r="M1571" s="71" t="s">
        <v>7692</v>
      </c>
      <c r="N1571" s="69" t="s">
        <v>57</v>
      </c>
      <c r="O1571" s="64">
        <v>1</v>
      </c>
      <c r="P1571" s="72">
        <v>643500000</v>
      </c>
      <c r="Q1571" s="69" t="s">
        <v>1719</v>
      </c>
      <c r="R1571" s="69"/>
      <c r="S1571" s="203" t="s">
        <v>903</v>
      </c>
      <c r="T1571" s="56">
        <v>41</v>
      </c>
      <c r="U1571" s="56">
        <v>6</v>
      </c>
    </row>
    <row r="1572" spans="1:21" ht="14.25" customHeight="1" thickBot="1" x14ac:dyDescent="0.4">
      <c r="A1572" s="58">
        <v>1556</v>
      </c>
      <c r="B1572" s="69" t="s">
        <v>1711</v>
      </c>
      <c r="C1572" s="69" t="s">
        <v>1712</v>
      </c>
      <c r="D1572" s="70" t="s">
        <v>126</v>
      </c>
      <c r="E1572" s="69" t="s">
        <v>1713</v>
      </c>
      <c r="F1572" s="69" t="s">
        <v>7693</v>
      </c>
      <c r="G1572" s="69" t="s">
        <v>140</v>
      </c>
      <c r="H1572" s="70">
        <v>2020</v>
      </c>
      <c r="I1572" s="69" t="s">
        <v>63</v>
      </c>
      <c r="J1572" s="69" t="s">
        <v>63</v>
      </c>
      <c r="K1572" s="71" t="s">
        <v>7694</v>
      </c>
      <c r="L1572" s="71" t="s">
        <v>7695</v>
      </c>
      <c r="M1572" s="71" t="s">
        <v>7696</v>
      </c>
      <c r="N1572" s="69" t="s">
        <v>57</v>
      </c>
      <c r="O1572" s="64">
        <v>1</v>
      </c>
      <c r="P1572" s="72">
        <v>644600000</v>
      </c>
      <c r="Q1572" s="69" t="s">
        <v>7697</v>
      </c>
      <c r="R1572" s="69"/>
      <c r="S1572" s="203" t="s">
        <v>903</v>
      </c>
      <c r="T1572" s="56">
        <v>41</v>
      </c>
      <c r="U1572" s="56">
        <v>6</v>
      </c>
    </row>
    <row r="1573" spans="1:21" ht="14.25" customHeight="1" x14ac:dyDescent="0.35">
      <c r="A1573" s="47">
        <v>1557</v>
      </c>
      <c r="B1573" s="69" t="s">
        <v>1711</v>
      </c>
      <c r="C1573" s="69" t="s">
        <v>1712</v>
      </c>
      <c r="D1573" s="70" t="s">
        <v>132</v>
      </c>
      <c r="E1573" s="69" t="s">
        <v>7698</v>
      </c>
      <c r="F1573" s="69" t="s">
        <v>7667</v>
      </c>
      <c r="G1573" s="69" t="s">
        <v>2525</v>
      </c>
      <c r="H1573" s="70">
        <v>2020</v>
      </c>
      <c r="I1573" s="69" t="s">
        <v>63</v>
      </c>
      <c r="J1573" s="69" t="s">
        <v>63</v>
      </c>
      <c r="K1573" s="71" t="s">
        <v>7699</v>
      </c>
      <c r="L1573" s="71" t="s">
        <v>7700</v>
      </c>
      <c r="M1573" s="71" t="s">
        <v>7701</v>
      </c>
      <c r="N1573" s="69" t="s">
        <v>57</v>
      </c>
      <c r="O1573" s="64">
        <v>1</v>
      </c>
      <c r="P1573" s="72">
        <v>1144000000</v>
      </c>
      <c r="Q1573" s="69" t="s">
        <v>7702</v>
      </c>
      <c r="R1573" s="69"/>
      <c r="S1573" s="203" t="s">
        <v>903</v>
      </c>
      <c r="T1573" s="56">
        <v>41</v>
      </c>
      <c r="U1573" s="56">
        <v>6</v>
      </c>
    </row>
    <row r="1574" spans="1:21" ht="14.25" customHeight="1" thickBot="1" x14ac:dyDescent="0.4">
      <c r="A1574" s="58">
        <v>1558</v>
      </c>
      <c r="B1574" s="69" t="s">
        <v>1711</v>
      </c>
      <c r="C1574" s="69" t="s">
        <v>1712</v>
      </c>
      <c r="D1574" s="70" t="s">
        <v>137</v>
      </c>
      <c r="E1574" s="69" t="s">
        <v>7698</v>
      </c>
      <c r="F1574" s="69" t="s">
        <v>7667</v>
      </c>
      <c r="G1574" s="69" t="s">
        <v>2525</v>
      </c>
      <c r="H1574" s="70">
        <v>2020</v>
      </c>
      <c r="I1574" s="69" t="s">
        <v>63</v>
      </c>
      <c r="J1574" s="69" t="s">
        <v>63</v>
      </c>
      <c r="K1574" s="71" t="s">
        <v>7703</v>
      </c>
      <c r="L1574" s="71" t="s">
        <v>7704</v>
      </c>
      <c r="M1574" s="71" t="s">
        <v>7705</v>
      </c>
      <c r="N1574" s="69" t="s">
        <v>57</v>
      </c>
      <c r="O1574" s="64">
        <v>1</v>
      </c>
      <c r="P1574" s="72">
        <v>1144000000</v>
      </c>
      <c r="Q1574" s="69" t="s">
        <v>7702</v>
      </c>
      <c r="R1574" s="69"/>
      <c r="S1574" s="203" t="s">
        <v>903</v>
      </c>
      <c r="T1574" s="56">
        <v>41</v>
      </c>
      <c r="U1574" s="56">
        <v>6</v>
      </c>
    </row>
    <row r="1575" spans="1:21" ht="14.25" customHeight="1" x14ac:dyDescent="0.35">
      <c r="A1575" s="47">
        <v>1559</v>
      </c>
      <c r="B1575" s="69" t="s">
        <v>1711</v>
      </c>
      <c r="C1575" s="69" t="s">
        <v>1712</v>
      </c>
      <c r="D1575" s="70" t="s">
        <v>146</v>
      </c>
      <c r="E1575" s="69" t="s">
        <v>7698</v>
      </c>
      <c r="F1575" s="69" t="s">
        <v>7667</v>
      </c>
      <c r="G1575" s="69" t="s">
        <v>2525</v>
      </c>
      <c r="H1575" s="70">
        <v>2020</v>
      </c>
      <c r="I1575" s="69" t="s">
        <v>63</v>
      </c>
      <c r="J1575" s="69" t="s">
        <v>63</v>
      </c>
      <c r="K1575" s="71" t="s">
        <v>7706</v>
      </c>
      <c r="L1575" s="71" t="s">
        <v>7707</v>
      </c>
      <c r="M1575" s="71" t="s">
        <v>7708</v>
      </c>
      <c r="N1575" s="69" t="s">
        <v>57</v>
      </c>
      <c r="O1575" s="64">
        <v>1</v>
      </c>
      <c r="P1575" s="72">
        <v>1144000000</v>
      </c>
      <c r="Q1575" s="69" t="s">
        <v>7702</v>
      </c>
      <c r="R1575" s="69"/>
      <c r="S1575" s="203" t="s">
        <v>903</v>
      </c>
      <c r="T1575" s="56">
        <v>41</v>
      </c>
      <c r="U1575" s="56">
        <v>6</v>
      </c>
    </row>
    <row r="1576" spans="1:21" ht="14.25" customHeight="1" thickBot="1" x14ac:dyDescent="0.4">
      <c r="A1576" s="58">
        <v>1560</v>
      </c>
      <c r="B1576" s="69" t="s">
        <v>1711</v>
      </c>
      <c r="C1576" s="69" t="s">
        <v>1712</v>
      </c>
      <c r="D1576" s="70" t="s">
        <v>154</v>
      </c>
      <c r="E1576" s="69" t="s">
        <v>7698</v>
      </c>
      <c r="F1576" s="69" t="s">
        <v>7667</v>
      </c>
      <c r="G1576" s="69" t="s">
        <v>2525</v>
      </c>
      <c r="H1576" s="70">
        <v>2020</v>
      </c>
      <c r="I1576" s="69" t="s">
        <v>63</v>
      </c>
      <c r="J1576" s="69" t="s">
        <v>63</v>
      </c>
      <c r="K1576" s="71" t="s">
        <v>7709</v>
      </c>
      <c r="L1576" s="71" t="s">
        <v>7710</v>
      </c>
      <c r="M1576" s="71" t="s">
        <v>7711</v>
      </c>
      <c r="N1576" s="69" t="s">
        <v>57</v>
      </c>
      <c r="O1576" s="64">
        <v>1</v>
      </c>
      <c r="P1576" s="72">
        <v>1144000000</v>
      </c>
      <c r="Q1576" s="69" t="s">
        <v>7702</v>
      </c>
      <c r="R1576" s="69"/>
      <c r="S1576" s="203" t="s">
        <v>903</v>
      </c>
      <c r="T1576" s="56">
        <v>41</v>
      </c>
      <c r="U1576" s="56">
        <v>6</v>
      </c>
    </row>
    <row r="1577" spans="1:21" ht="14.25" customHeight="1" x14ac:dyDescent="0.35">
      <c r="A1577" s="47">
        <v>1561</v>
      </c>
      <c r="B1577" s="69" t="s">
        <v>1711</v>
      </c>
      <c r="C1577" s="69" t="s">
        <v>1712</v>
      </c>
      <c r="D1577" s="70" t="s">
        <v>161</v>
      </c>
      <c r="E1577" s="69" t="s">
        <v>7712</v>
      </c>
      <c r="F1577" s="69" t="s">
        <v>63</v>
      </c>
      <c r="G1577" s="69" t="s">
        <v>415</v>
      </c>
      <c r="H1577" s="70">
        <v>2021</v>
      </c>
      <c r="I1577" s="69" t="s">
        <v>63</v>
      </c>
      <c r="J1577" s="69" t="s">
        <v>63</v>
      </c>
      <c r="K1577" s="71" t="s">
        <v>7713</v>
      </c>
      <c r="L1577" s="71" t="s">
        <v>7714</v>
      </c>
      <c r="M1577" s="71" t="s">
        <v>7715</v>
      </c>
      <c r="N1577" s="69" t="s">
        <v>57</v>
      </c>
      <c r="O1577" s="64">
        <v>1</v>
      </c>
      <c r="P1577" s="72">
        <v>1173150000</v>
      </c>
      <c r="Q1577" s="69" t="s">
        <v>7716</v>
      </c>
      <c r="R1577" s="69"/>
      <c r="S1577" s="203" t="s">
        <v>903</v>
      </c>
      <c r="T1577" s="56">
        <v>41</v>
      </c>
      <c r="U1577" s="56">
        <v>6</v>
      </c>
    </row>
    <row r="1578" spans="1:21" ht="14.25" customHeight="1" thickBot="1" x14ac:dyDescent="0.4">
      <c r="A1578" s="58">
        <v>1562</v>
      </c>
      <c r="B1578" s="69" t="s">
        <v>1711</v>
      </c>
      <c r="C1578" s="69" t="s">
        <v>1712</v>
      </c>
      <c r="D1578" s="70" t="s">
        <v>169</v>
      </c>
      <c r="E1578" s="69" t="s">
        <v>7712</v>
      </c>
      <c r="F1578" s="69" t="s">
        <v>63</v>
      </c>
      <c r="G1578" s="69" t="s">
        <v>415</v>
      </c>
      <c r="H1578" s="70">
        <v>2021</v>
      </c>
      <c r="I1578" s="69" t="s">
        <v>63</v>
      </c>
      <c r="J1578" s="69" t="s">
        <v>63</v>
      </c>
      <c r="K1578" s="71" t="s">
        <v>7717</v>
      </c>
      <c r="L1578" s="71" t="s">
        <v>7718</v>
      </c>
      <c r="M1578" s="71" t="s">
        <v>7719</v>
      </c>
      <c r="N1578" s="69" t="s">
        <v>57</v>
      </c>
      <c r="O1578" s="64">
        <v>1</v>
      </c>
      <c r="P1578" s="72">
        <v>1173150000</v>
      </c>
      <c r="Q1578" s="69" t="s">
        <v>7716</v>
      </c>
      <c r="R1578" s="69"/>
      <c r="S1578" s="203" t="s">
        <v>903</v>
      </c>
      <c r="T1578" s="56">
        <v>41</v>
      </c>
      <c r="U1578" s="56">
        <v>6</v>
      </c>
    </row>
    <row r="1579" spans="1:21" ht="14.25" customHeight="1" x14ac:dyDescent="0.35">
      <c r="A1579" s="47">
        <v>1563</v>
      </c>
      <c r="B1579" s="69" t="s">
        <v>1711</v>
      </c>
      <c r="C1579" s="69" t="s">
        <v>1712</v>
      </c>
      <c r="D1579" s="70" t="s">
        <v>176</v>
      </c>
      <c r="E1579" s="69" t="s">
        <v>7712</v>
      </c>
      <c r="F1579" s="69" t="s">
        <v>63</v>
      </c>
      <c r="G1579" s="69" t="s">
        <v>415</v>
      </c>
      <c r="H1579" s="70">
        <v>2021</v>
      </c>
      <c r="I1579" s="69" t="s">
        <v>63</v>
      </c>
      <c r="J1579" s="69" t="s">
        <v>63</v>
      </c>
      <c r="K1579" s="71" t="s">
        <v>7720</v>
      </c>
      <c r="L1579" s="71" t="s">
        <v>7721</v>
      </c>
      <c r="M1579" s="71" t="s">
        <v>7722</v>
      </c>
      <c r="N1579" s="69" t="s">
        <v>57</v>
      </c>
      <c r="O1579" s="64">
        <v>1</v>
      </c>
      <c r="P1579" s="72">
        <v>1173150000</v>
      </c>
      <c r="Q1579" s="69" t="s">
        <v>7716</v>
      </c>
      <c r="R1579" s="69"/>
      <c r="S1579" s="203" t="s">
        <v>903</v>
      </c>
      <c r="T1579" s="56">
        <v>41</v>
      </c>
      <c r="U1579" s="56">
        <v>6</v>
      </c>
    </row>
    <row r="1580" spans="1:21" ht="14.25" customHeight="1" thickBot="1" x14ac:dyDescent="0.4">
      <c r="A1580" s="58">
        <v>1564</v>
      </c>
      <c r="B1580" s="69" t="s">
        <v>1711</v>
      </c>
      <c r="C1580" s="69" t="s">
        <v>1712</v>
      </c>
      <c r="D1580" s="70" t="s">
        <v>1236</v>
      </c>
      <c r="E1580" s="69" t="s">
        <v>7712</v>
      </c>
      <c r="F1580" s="69" t="s">
        <v>63</v>
      </c>
      <c r="G1580" s="69" t="s">
        <v>415</v>
      </c>
      <c r="H1580" s="70">
        <v>2021</v>
      </c>
      <c r="I1580" s="69" t="s">
        <v>63</v>
      </c>
      <c r="J1580" s="69" t="s">
        <v>63</v>
      </c>
      <c r="K1580" s="71" t="s">
        <v>7723</v>
      </c>
      <c r="L1580" s="71" t="s">
        <v>7724</v>
      </c>
      <c r="M1580" s="71" t="s">
        <v>7725</v>
      </c>
      <c r="N1580" s="69" t="s">
        <v>57</v>
      </c>
      <c r="O1580" s="64">
        <v>1</v>
      </c>
      <c r="P1580" s="72">
        <v>1173150000</v>
      </c>
      <c r="Q1580" s="69" t="s">
        <v>7716</v>
      </c>
      <c r="R1580" s="69"/>
      <c r="S1580" s="203" t="s">
        <v>903</v>
      </c>
      <c r="T1580" s="56">
        <v>41</v>
      </c>
      <c r="U1580" s="56">
        <v>6</v>
      </c>
    </row>
    <row r="1581" spans="1:21" ht="14.25" customHeight="1" x14ac:dyDescent="0.35">
      <c r="A1581" s="47">
        <v>1565</v>
      </c>
      <c r="B1581" s="69" t="s">
        <v>1711</v>
      </c>
      <c r="C1581" s="69" t="s">
        <v>1712</v>
      </c>
      <c r="D1581" s="70" t="s">
        <v>181</v>
      </c>
      <c r="E1581" s="69" t="s">
        <v>7712</v>
      </c>
      <c r="F1581" s="69" t="s">
        <v>63</v>
      </c>
      <c r="G1581" s="69" t="s">
        <v>415</v>
      </c>
      <c r="H1581" s="70">
        <v>2021</v>
      </c>
      <c r="I1581" s="69" t="s">
        <v>63</v>
      </c>
      <c r="J1581" s="69" t="s">
        <v>63</v>
      </c>
      <c r="K1581" s="71" t="s">
        <v>7726</v>
      </c>
      <c r="L1581" s="71" t="s">
        <v>7727</v>
      </c>
      <c r="M1581" s="71" t="s">
        <v>7728</v>
      </c>
      <c r="N1581" s="69" t="s">
        <v>57</v>
      </c>
      <c r="O1581" s="64">
        <v>1</v>
      </c>
      <c r="P1581" s="72">
        <v>1173150000</v>
      </c>
      <c r="Q1581" s="69" t="s">
        <v>7716</v>
      </c>
      <c r="R1581" s="69"/>
      <c r="S1581" s="203" t="s">
        <v>903</v>
      </c>
      <c r="T1581" s="56">
        <v>41</v>
      </c>
      <c r="U1581" s="56">
        <v>6</v>
      </c>
    </row>
    <row r="1582" spans="1:21" ht="14.25" customHeight="1" thickBot="1" x14ac:dyDescent="0.4">
      <c r="A1582" s="58">
        <v>1566</v>
      </c>
      <c r="B1582" s="69" t="s">
        <v>1711</v>
      </c>
      <c r="C1582" s="69" t="s">
        <v>1712</v>
      </c>
      <c r="D1582" s="70" t="s">
        <v>187</v>
      </c>
      <c r="E1582" s="69" t="s">
        <v>7712</v>
      </c>
      <c r="F1582" s="69" t="s">
        <v>63</v>
      </c>
      <c r="G1582" s="69" t="s">
        <v>415</v>
      </c>
      <c r="H1582" s="70">
        <v>2021</v>
      </c>
      <c r="I1582" s="69" t="s">
        <v>63</v>
      </c>
      <c r="J1582" s="69" t="s">
        <v>63</v>
      </c>
      <c r="K1582" s="71" t="s">
        <v>7729</v>
      </c>
      <c r="L1582" s="71" t="s">
        <v>7730</v>
      </c>
      <c r="M1582" s="71" t="s">
        <v>7731</v>
      </c>
      <c r="N1582" s="69" t="s">
        <v>57</v>
      </c>
      <c r="O1582" s="64">
        <v>1</v>
      </c>
      <c r="P1582" s="72">
        <v>1173150000</v>
      </c>
      <c r="Q1582" s="69" t="s">
        <v>7716</v>
      </c>
      <c r="R1582" s="69"/>
      <c r="S1582" s="203" t="s">
        <v>903</v>
      </c>
      <c r="T1582" s="56">
        <v>41</v>
      </c>
      <c r="U1582" s="56">
        <v>6</v>
      </c>
    </row>
    <row r="1583" spans="1:21" ht="14.25" customHeight="1" x14ac:dyDescent="0.35">
      <c r="A1583" s="47">
        <v>1567</v>
      </c>
      <c r="B1583" s="69" t="s">
        <v>1711</v>
      </c>
      <c r="C1583" s="69" t="s">
        <v>1712</v>
      </c>
      <c r="D1583" s="70" t="s">
        <v>190</v>
      </c>
      <c r="E1583" s="69" t="s">
        <v>7712</v>
      </c>
      <c r="F1583" s="69" t="s">
        <v>63</v>
      </c>
      <c r="G1583" s="69" t="s">
        <v>415</v>
      </c>
      <c r="H1583" s="70">
        <v>2021</v>
      </c>
      <c r="I1583" s="69" t="s">
        <v>63</v>
      </c>
      <c r="J1583" s="69" t="s">
        <v>63</v>
      </c>
      <c r="K1583" s="71" t="s">
        <v>7732</v>
      </c>
      <c r="L1583" s="71" t="s">
        <v>7733</v>
      </c>
      <c r="M1583" s="71" t="s">
        <v>7734</v>
      </c>
      <c r="N1583" s="69" t="s">
        <v>57</v>
      </c>
      <c r="O1583" s="64">
        <v>1</v>
      </c>
      <c r="P1583" s="72">
        <v>1173150000</v>
      </c>
      <c r="Q1583" s="69" t="s">
        <v>7716</v>
      </c>
      <c r="R1583" s="69"/>
      <c r="S1583" s="203" t="s">
        <v>903</v>
      </c>
      <c r="T1583" s="56">
        <v>41</v>
      </c>
      <c r="U1583" s="56">
        <v>6</v>
      </c>
    </row>
    <row r="1584" spans="1:21" ht="14.25" customHeight="1" thickBot="1" x14ac:dyDescent="0.4">
      <c r="A1584" s="58">
        <v>1568</v>
      </c>
      <c r="B1584" s="69" t="s">
        <v>1711</v>
      </c>
      <c r="C1584" s="69" t="s">
        <v>1712</v>
      </c>
      <c r="D1584" s="70" t="s">
        <v>192</v>
      </c>
      <c r="E1584" s="69" t="s">
        <v>7735</v>
      </c>
      <c r="F1584" s="69" t="s">
        <v>7736</v>
      </c>
      <c r="G1584" s="69" t="s">
        <v>4231</v>
      </c>
      <c r="H1584" s="70">
        <v>2022</v>
      </c>
      <c r="I1584" s="69" t="s">
        <v>63</v>
      </c>
      <c r="J1584" s="69" t="s">
        <v>7737</v>
      </c>
      <c r="K1584" s="71" t="s">
        <v>7738</v>
      </c>
      <c r="L1584" s="71" t="s">
        <v>63</v>
      </c>
      <c r="M1584" s="71" t="s">
        <v>63</v>
      </c>
      <c r="N1584" s="69" t="s">
        <v>44</v>
      </c>
      <c r="O1584" s="64">
        <v>1</v>
      </c>
      <c r="P1584" s="72">
        <v>805000000</v>
      </c>
      <c r="Q1584" s="69" t="s">
        <v>7739</v>
      </c>
      <c r="R1584" s="69"/>
      <c r="S1584" s="203" t="s">
        <v>903</v>
      </c>
      <c r="T1584" s="56">
        <v>41</v>
      </c>
      <c r="U1584" s="56">
        <v>6</v>
      </c>
    </row>
    <row r="1585" spans="1:21" ht="14.25" customHeight="1" x14ac:dyDescent="0.35">
      <c r="A1585" s="47">
        <v>1569</v>
      </c>
      <c r="B1585" s="69" t="s">
        <v>1711</v>
      </c>
      <c r="C1585" s="69" t="s">
        <v>1712</v>
      </c>
      <c r="D1585" s="70" t="s">
        <v>194</v>
      </c>
      <c r="E1585" s="69" t="s">
        <v>7735</v>
      </c>
      <c r="F1585" s="69" t="s">
        <v>7736</v>
      </c>
      <c r="G1585" s="69" t="s">
        <v>4231</v>
      </c>
      <c r="H1585" s="70">
        <v>2022</v>
      </c>
      <c r="I1585" s="69" t="s">
        <v>63</v>
      </c>
      <c r="J1585" s="69" t="s">
        <v>7740</v>
      </c>
      <c r="K1585" s="71" t="s">
        <v>7741</v>
      </c>
      <c r="L1585" s="71" t="s">
        <v>63</v>
      </c>
      <c r="M1585" s="71" t="s">
        <v>63</v>
      </c>
      <c r="N1585" s="69" t="s">
        <v>44</v>
      </c>
      <c r="O1585" s="64">
        <v>1</v>
      </c>
      <c r="P1585" s="72">
        <v>805000000</v>
      </c>
      <c r="Q1585" s="69" t="s">
        <v>7739</v>
      </c>
      <c r="R1585" s="69"/>
      <c r="S1585" s="203" t="s">
        <v>903</v>
      </c>
      <c r="T1585" s="56">
        <v>41</v>
      </c>
      <c r="U1585" s="56">
        <v>6</v>
      </c>
    </row>
    <row r="1586" spans="1:21" ht="14.25" customHeight="1" thickBot="1" x14ac:dyDescent="0.4">
      <c r="A1586" s="58">
        <v>1570</v>
      </c>
      <c r="B1586" s="69" t="s">
        <v>1711</v>
      </c>
      <c r="C1586" s="69" t="s">
        <v>1712</v>
      </c>
      <c r="D1586" s="70" t="s">
        <v>195</v>
      </c>
      <c r="E1586" s="69" t="s">
        <v>7735</v>
      </c>
      <c r="F1586" s="69" t="s">
        <v>7736</v>
      </c>
      <c r="G1586" s="69" t="s">
        <v>4231</v>
      </c>
      <c r="H1586" s="70">
        <v>2022</v>
      </c>
      <c r="I1586" s="69" t="s">
        <v>63</v>
      </c>
      <c r="J1586" s="69" t="s">
        <v>7742</v>
      </c>
      <c r="K1586" s="71" t="s">
        <v>7743</v>
      </c>
      <c r="L1586" s="71" t="s">
        <v>63</v>
      </c>
      <c r="M1586" s="71" t="s">
        <v>63</v>
      </c>
      <c r="N1586" s="69" t="s">
        <v>44</v>
      </c>
      <c r="O1586" s="64">
        <v>1</v>
      </c>
      <c r="P1586" s="72">
        <v>805000000</v>
      </c>
      <c r="Q1586" s="69" t="s">
        <v>7739</v>
      </c>
      <c r="R1586" s="69"/>
      <c r="S1586" s="203" t="s">
        <v>903</v>
      </c>
      <c r="T1586" s="56">
        <v>41</v>
      </c>
      <c r="U1586" s="56">
        <v>6</v>
      </c>
    </row>
    <row r="1587" spans="1:21" ht="14.25" customHeight="1" x14ac:dyDescent="0.35">
      <c r="A1587" s="47">
        <v>1571</v>
      </c>
      <c r="B1587" s="69" t="s">
        <v>1711</v>
      </c>
      <c r="C1587" s="69" t="s">
        <v>1712</v>
      </c>
      <c r="D1587" s="70" t="s">
        <v>7744</v>
      </c>
      <c r="E1587" s="69" t="s">
        <v>7745</v>
      </c>
      <c r="F1587" s="69"/>
      <c r="G1587" s="69" t="s">
        <v>63</v>
      </c>
      <c r="H1587" s="70">
        <v>2023</v>
      </c>
      <c r="I1587" s="69" t="s">
        <v>63</v>
      </c>
      <c r="J1587" s="69" t="s">
        <v>63</v>
      </c>
      <c r="K1587" s="71" t="s">
        <v>63</v>
      </c>
      <c r="L1587" s="71" t="s">
        <v>63</v>
      </c>
      <c r="M1587" s="71" t="s">
        <v>63</v>
      </c>
      <c r="N1587" s="69" t="s">
        <v>44</v>
      </c>
      <c r="O1587" s="64">
        <v>1</v>
      </c>
      <c r="P1587" s="72">
        <v>1755000000</v>
      </c>
      <c r="Q1587" s="69" t="s">
        <v>7739</v>
      </c>
      <c r="R1587" s="69"/>
      <c r="S1587" s="203" t="s">
        <v>903</v>
      </c>
      <c r="T1587" s="56">
        <v>41</v>
      </c>
      <c r="U1587" s="56">
        <v>6</v>
      </c>
    </row>
    <row r="1588" spans="1:21" ht="14.25" customHeight="1" thickBot="1" x14ac:dyDescent="0.4">
      <c r="A1588" s="58">
        <v>1572</v>
      </c>
      <c r="B1588" s="69" t="s">
        <v>1711</v>
      </c>
      <c r="C1588" s="69" t="s">
        <v>1712</v>
      </c>
      <c r="D1588" s="70" t="s">
        <v>209</v>
      </c>
      <c r="E1588" s="69" t="s">
        <v>7746</v>
      </c>
      <c r="F1588" s="69" t="s">
        <v>2023</v>
      </c>
      <c r="G1588" s="69" t="s">
        <v>247</v>
      </c>
      <c r="H1588" s="70">
        <v>2024</v>
      </c>
      <c r="I1588" s="69" t="s">
        <v>63</v>
      </c>
      <c r="J1588" s="69" t="s">
        <v>7747</v>
      </c>
      <c r="K1588" s="71" t="s">
        <v>7748</v>
      </c>
      <c r="L1588" s="71" t="s">
        <v>7749</v>
      </c>
      <c r="M1588" s="71" t="s">
        <v>7750</v>
      </c>
      <c r="N1588" s="69" t="s">
        <v>44</v>
      </c>
      <c r="O1588" s="64">
        <v>1</v>
      </c>
      <c r="P1588" s="72">
        <v>981500000</v>
      </c>
      <c r="Q1588" s="69" t="s">
        <v>7751</v>
      </c>
      <c r="R1588" s="69"/>
      <c r="S1588" s="203" t="s">
        <v>903</v>
      </c>
      <c r="T1588" s="56">
        <v>41</v>
      </c>
      <c r="U1588" s="56">
        <v>6</v>
      </c>
    </row>
    <row r="1589" spans="1:21" ht="14.25" customHeight="1" x14ac:dyDescent="0.35">
      <c r="A1589" s="47">
        <v>1573</v>
      </c>
      <c r="B1589" s="69" t="s">
        <v>1711</v>
      </c>
      <c r="C1589" s="69" t="s">
        <v>1712</v>
      </c>
      <c r="D1589" s="70" t="s">
        <v>7752</v>
      </c>
      <c r="E1589" s="69" t="s">
        <v>7753</v>
      </c>
      <c r="F1589" s="69"/>
      <c r="G1589" s="69" t="s">
        <v>63</v>
      </c>
      <c r="H1589" s="70">
        <v>2024</v>
      </c>
      <c r="I1589" s="69" t="s">
        <v>63</v>
      </c>
      <c r="J1589" s="69" t="s">
        <v>63</v>
      </c>
      <c r="K1589" s="71" t="s">
        <v>63</v>
      </c>
      <c r="L1589" s="71" t="s">
        <v>63</v>
      </c>
      <c r="M1589" s="71" t="s">
        <v>63</v>
      </c>
      <c r="N1589" s="69" t="s">
        <v>44</v>
      </c>
      <c r="O1589" s="64">
        <v>1</v>
      </c>
      <c r="P1589" s="72">
        <v>2944500000</v>
      </c>
      <c r="Q1589" s="69" t="s">
        <v>7751</v>
      </c>
      <c r="R1589" s="69"/>
      <c r="S1589" s="203" t="s">
        <v>903</v>
      </c>
      <c r="T1589" s="56">
        <v>41</v>
      </c>
      <c r="U1589" s="56">
        <v>6</v>
      </c>
    </row>
    <row r="1590" spans="1:21" ht="14.25" customHeight="1" thickBot="1" x14ac:dyDescent="0.4">
      <c r="A1590" s="58">
        <v>1574</v>
      </c>
      <c r="B1590" s="69" t="s">
        <v>7754</v>
      </c>
      <c r="C1590" s="69" t="s">
        <v>7755</v>
      </c>
      <c r="D1590" s="70" t="s">
        <v>51</v>
      </c>
      <c r="E1590" s="69" t="s">
        <v>7756</v>
      </c>
      <c r="F1590" s="69"/>
      <c r="G1590" s="69" t="s">
        <v>63</v>
      </c>
      <c r="H1590" s="70">
        <v>2024</v>
      </c>
      <c r="I1590" s="69" t="s">
        <v>63</v>
      </c>
      <c r="J1590" s="69" t="s">
        <v>63</v>
      </c>
      <c r="K1590" s="71" t="s">
        <v>63</v>
      </c>
      <c r="L1590" s="71" t="s">
        <v>63</v>
      </c>
      <c r="M1590" s="71" t="s">
        <v>63</v>
      </c>
      <c r="N1590" s="69" t="s">
        <v>44</v>
      </c>
      <c r="O1590" s="64">
        <v>1</v>
      </c>
      <c r="P1590" s="72">
        <v>748500000</v>
      </c>
      <c r="Q1590" s="69" t="s">
        <v>7757</v>
      </c>
      <c r="R1590" s="69"/>
      <c r="S1590" s="203" t="s">
        <v>903</v>
      </c>
      <c r="T1590" s="56">
        <v>41</v>
      </c>
      <c r="U1590" s="56">
        <v>4</v>
      </c>
    </row>
    <row r="1591" spans="1:21" ht="14.25" customHeight="1" x14ac:dyDescent="0.35">
      <c r="A1591" s="47">
        <v>1575</v>
      </c>
      <c r="B1591" s="69" t="s">
        <v>7758</v>
      </c>
      <c r="C1591" s="69" t="s">
        <v>7759</v>
      </c>
      <c r="D1591" s="70" t="s">
        <v>51</v>
      </c>
      <c r="E1591" s="69" t="s">
        <v>1713</v>
      </c>
      <c r="F1591" s="69" t="s">
        <v>7760</v>
      </c>
      <c r="G1591" s="69" t="s">
        <v>415</v>
      </c>
      <c r="H1591" s="70">
        <v>2021</v>
      </c>
      <c r="I1591" s="69" t="s">
        <v>63</v>
      </c>
      <c r="J1591" s="69" t="s">
        <v>63</v>
      </c>
      <c r="K1591" s="71" t="s">
        <v>7761</v>
      </c>
      <c r="L1591" s="71" t="s">
        <v>7762</v>
      </c>
      <c r="M1591" s="71" t="s">
        <v>7763</v>
      </c>
      <c r="N1591" s="69" t="s">
        <v>57</v>
      </c>
      <c r="O1591" s="64">
        <v>1</v>
      </c>
      <c r="P1591" s="72">
        <v>768790000</v>
      </c>
      <c r="Q1591" s="69" t="s">
        <v>7764</v>
      </c>
      <c r="R1591" s="69"/>
      <c r="S1591" s="203" t="s">
        <v>903</v>
      </c>
      <c r="T1591" s="56">
        <v>41</v>
      </c>
      <c r="U1591" s="56">
        <v>4</v>
      </c>
    </row>
    <row r="1592" spans="1:21" ht="14.25" customHeight="1" thickBot="1" x14ac:dyDescent="0.4">
      <c r="A1592" s="58">
        <v>1576</v>
      </c>
      <c r="B1592" s="69" t="s">
        <v>7758</v>
      </c>
      <c r="C1592" s="69" t="s">
        <v>7759</v>
      </c>
      <c r="D1592" s="70" t="s">
        <v>59</v>
      </c>
      <c r="E1592" s="69" t="s">
        <v>1713</v>
      </c>
      <c r="F1592" s="69" t="s">
        <v>7760</v>
      </c>
      <c r="G1592" s="69" t="s">
        <v>415</v>
      </c>
      <c r="H1592" s="70">
        <v>2021</v>
      </c>
      <c r="I1592" s="69" t="s">
        <v>63</v>
      </c>
      <c r="J1592" s="69" t="s">
        <v>63</v>
      </c>
      <c r="K1592" s="71" t="s">
        <v>7765</v>
      </c>
      <c r="L1592" s="71" t="s">
        <v>7766</v>
      </c>
      <c r="M1592" s="71" t="s">
        <v>7767</v>
      </c>
      <c r="N1592" s="69" t="s">
        <v>57</v>
      </c>
      <c r="O1592" s="64">
        <v>1</v>
      </c>
      <c r="P1592" s="72">
        <v>768790000</v>
      </c>
      <c r="Q1592" s="69" t="s">
        <v>7764</v>
      </c>
      <c r="R1592" s="69"/>
      <c r="S1592" s="203" t="s">
        <v>903</v>
      </c>
      <c r="T1592" s="56">
        <v>41</v>
      </c>
      <c r="U1592" s="56">
        <v>4</v>
      </c>
    </row>
    <row r="1593" spans="1:21" ht="14.25" customHeight="1" x14ac:dyDescent="0.35">
      <c r="A1593" s="47">
        <v>1577</v>
      </c>
      <c r="B1593" s="69" t="s">
        <v>7758</v>
      </c>
      <c r="C1593" s="69" t="s">
        <v>7759</v>
      </c>
      <c r="D1593" s="70" t="s">
        <v>97</v>
      </c>
      <c r="E1593" s="69" t="s">
        <v>1713</v>
      </c>
      <c r="F1593" s="69" t="s">
        <v>7760</v>
      </c>
      <c r="G1593" s="69" t="s">
        <v>415</v>
      </c>
      <c r="H1593" s="70">
        <v>2021</v>
      </c>
      <c r="I1593" s="69" t="s">
        <v>63</v>
      </c>
      <c r="J1593" s="69" t="s">
        <v>63</v>
      </c>
      <c r="K1593" s="71" t="s">
        <v>7768</v>
      </c>
      <c r="L1593" s="71" t="s">
        <v>7769</v>
      </c>
      <c r="M1593" s="71" t="s">
        <v>7770</v>
      </c>
      <c r="N1593" s="69" t="s">
        <v>57</v>
      </c>
      <c r="O1593" s="64">
        <v>1</v>
      </c>
      <c r="P1593" s="72">
        <v>768790000</v>
      </c>
      <c r="Q1593" s="69" t="s">
        <v>7764</v>
      </c>
      <c r="R1593" s="69"/>
      <c r="S1593" s="203" t="s">
        <v>903</v>
      </c>
      <c r="T1593" s="56">
        <v>41</v>
      </c>
      <c r="U1593" s="56">
        <v>4</v>
      </c>
    </row>
    <row r="1594" spans="1:21" ht="14.25" customHeight="1" thickBot="1" x14ac:dyDescent="0.4">
      <c r="A1594" s="58">
        <v>1578</v>
      </c>
      <c r="B1594" s="69" t="s">
        <v>7758</v>
      </c>
      <c r="C1594" s="69" t="s">
        <v>7759</v>
      </c>
      <c r="D1594" s="70" t="s">
        <v>101</v>
      </c>
      <c r="E1594" s="69" t="s">
        <v>1713</v>
      </c>
      <c r="F1594" s="69" t="s">
        <v>7760</v>
      </c>
      <c r="G1594" s="69" t="s">
        <v>415</v>
      </c>
      <c r="H1594" s="70">
        <v>2021</v>
      </c>
      <c r="I1594" s="69" t="s">
        <v>63</v>
      </c>
      <c r="J1594" s="69" t="s">
        <v>63</v>
      </c>
      <c r="K1594" s="71" t="s">
        <v>7771</v>
      </c>
      <c r="L1594" s="71" t="s">
        <v>7772</v>
      </c>
      <c r="M1594" s="71" t="s">
        <v>7773</v>
      </c>
      <c r="N1594" s="69" t="s">
        <v>57</v>
      </c>
      <c r="O1594" s="64">
        <v>1</v>
      </c>
      <c r="P1594" s="72">
        <v>768790000</v>
      </c>
      <c r="Q1594" s="69" t="s">
        <v>7764</v>
      </c>
      <c r="R1594" s="69"/>
      <c r="S1594" s="203" t="s">
        <v>903</v>
      </c>
      <c r="T1594" s="56">
        <v>41</v>
      </c>
      <c r="U1594" s="56">
        <v>4</v>
      </c>
    </row>
    <row r="1595" spans="1:21" ht="14.25" customHeight="1" x14ac:dyDescent="0.35">
      <c r="A1595" s="47">
        <v>1579</v>
      </c>
      <c r="B1595" s="69" t="s">
        <v>7758</v>
      </c>
      <c r="C1595" s="69" t="s">
        <v>7759</v>
      </c>
      <c r="D1595" s="70" t="s">
        <v>107</v>
      </c>
      <c r="E1595" s="69" t="s">
        <v>1713</v>
      </c>
      <c r="F1595" s="69" t="s">
        <v>7760</v>
      </c>
      <c r="G1595" s="69" t="s">
        <v>415</v>
      </c>
      <c r="H1595" s="70">
        <v>2021</v>
      </c>
      <c r="I1595" s="69" t="s">
        <v>63</v>
      </c>
      <c r="J1595" s="69" t="s">
        <v>63</v>
      </c>
      <c r="K1595" s="71" t="s">
        <v>7774</v>
      </c>
      <c r="L1595" s="71" t="s">
        <v>7775</v>
      </c>
      <c r="M1595" s="71" t="s">
        <v>7776</v>
      </c>
      <c r="N1595" s="69" t="s">
        <v>57</v>
      </c>
      <c r="O1595" s="64">
        <v>1</v>
      </c>
      <c r="P1595" s="72">
        <v>768790000</v>
      </c>
      <c r="Q1595" s="69" t="s">
        <v>7764</v>
      </c>
      <c r="R1595" s="69"/>
      <c r="S1595" s="203" t="s">
        <v>903</v>
      </c>
      <c r="T1595" s="56">
        <v>41</v>
      </c>
      <c r="U1595" s="56">
        <v>4</v>
      </c>
    </row>
    <row r="1596" spans="1:21" ht="14.25" customHeight="1" thickBot="1" x14ac:dyDescent="0.4">
      <c r="A1596" s="58">
        <v>1580</v>
      </c>
      <c r="B1596" s="69" t="s">
        <v>7758</v>
      </c>
      <c r="C1596" s="69" t="s">
        <v>7759</v>
      </c>
      <c r="D1596" s="70" t="s">
        <v>112</v>
      </c>
      <c r="E1596" s="69" t="s">
        <v>1713</v>
      </c>
      <c r="F1596" s="69" t="s">
        <v>7760</v>
      </c>
      <c r="G1596" s="69" t="s">
        <v>415</v>
      </c>
      <c r="H1596" s="70">
        <v>2021</v>
      </c>
      <c r="I1596" s="69" t="s">
        <v>63</v>
      </c>
      <c r="J1596" s="69" t="s">
        <v>63</v>
      </c>
      <c r="K1596" s="71" t="s">
        <v>7777</v>
      </c>
      <c r="L1596" s="71" t="s">
        <v>7778</v>
      </c>
      <c r="M1596" s="71" t="s">
        <v>7779</v>
      </c>
      <c r="N1596" s="69" t="s">
        <v>57</v>
      </c>
      <c r="O1596" s="64">
        <v>1</v>
      </c>
      <c r="P1596" s="72">
        <v>768790000</v>
      </c>
      <c r="Q1596" s="69" t="s">
        <v>7764</v>
      </c>
      <c r="R1596" s="69"/>
      <c r="S1596" s="203" t="s">
        <v>903</v>
      </c>
      <c r="T1596" s="56">
        <v>41</v>
      </c>
      <c r="U1596" s="56">
        <v>4</v>
      </c>
    </row>
    <row r="1597" spans="1:21" ht="14.25" customHeight="1" x14ac:dyDescent="0.35">
      <c r="A1597" s="47">
        <v>1581</v>
      </c>
      <c r="B1597" s="69" t="s">
        <v>7758</v>
      </c>
      <c r="C1597" s="69" t="s">
        <v>7759</v>
      </c>
      <c r="D1597" s="70" t="s">
        <v>116</v>
      </c>
      <c r="E1597" s="69" t="s">
        <v>1713</v>
      </c>
      <c r="F1597" s="69" t="s">
        <v>7760</v>
      </c>
      <c r="G1597" s="69" t="s">
        <v>415</v>
      </c>
      <c r="H1597" s="70">
        <v>2021</v>
      </c>
      <c r="I1597" s="69" t="s">
        <v>63</v>
      </c>
      <c r="J1597" s="69" t="s">
        <v>63</v>
      </c>
      <c r="K1597" s="71" t="s">
        <v>7780</v>
      </c>
      <c r="L1597" s="71" t="s">
        <v>7781</v>
      </c>
      <c r="M1597" s="71" t="s">
        <v>7782</v>
      </c>
      <c r="N1597" s="69" t="s">
        <v>57</v>
      </c>
      <c r="O1597" s="64">
        <v>1</v>
      </c>
      <c r="P1597" s="72">
        <v>768790000</v>
      </c>
      <c r="Q1597" s="69" t="s">
        <v>7764</v>
      </c>
      <c r="R1597" s="69"/>
      <c r="S1597" s="203" t="s">
        <v>903</v>
      </c>
      <c r="T1597" s="56">
        <v>41</v>
      </c>
      <c r="U1597" s="56">
        <v>4</v>
      </c>
    </row>
    <row r="1598" spans="1:21" ht="14.25" customHeight="1" thickBot="1" x14ac:dyDescent="0.4">
      <c r="A1598" s="58">
        <v>1582</v>
      </c>
      <c r="B1598" s="69" t="s">
        <v>7758</v>
      </c>
      <c r="C1598" s="69" t="s">
        <v>7759</v>
      </c>
      <c r="D1598" s="70" t="s">
        <v>841</v>
      </c>
      <c r="E1598" s="69" t="s">
        <v>1713</v>
      </c>
      <c r="F1598" s="69" t="s">
        <v>7760</v>
      </c>
      <c r="G1598" s="69" t="s">
        <v>415</v>
      </c>
      <c r="H1598" s="70">
        <v>2021</v>
      </c>
      <c r="I1598" s="69" t="s">
        <v>63</v>
      </c>
      <c r="J1598" s="69" t="s">
        <v>63</v>
      </c>
      <c r="K1598" s="71" t="s">
        <v>7783</v>
      </c>
      <c r="L1598" s="71" t="s">
        <v>7784</v>
      </c>
      <c r="M1598" s="71" t="s">
        <v>7785</v>
      </c>
      <c r="N1598" s="69" t="s">
        <v>57</v>
      </c>
      <c r="O1598" s="64">
        <v>1</v>
      </c>
      <c r="P1598" s="72">
        <v>768790000</v>
      </c>
      <c r="Q1598" s="69" t="s">
        <v>7764</v>
      </c>
      <c r="R1598" s="69"/>
      <c r="S1598" s="203" t="s">
        <v>903</v>
      </c>
      <c r="T1598" s="56">
        <v>41</v>
      </c>
      <c r="U1598" s="56">
        <v>4</v>
      </c>
    </row>
    <row r="1599" spans="1:21" ht="14.25" customHeight="1" x14ac:dyDescent="0.35">
      <c r="A1599" s="47">
        <v>1583</v>
      </c>
      <c r="B1599" s="69" t="s">
        <v>7758</v>
      </c>
      <c r="C1599" s="69" t="s">
        <v>7759</v>
      </c>
      <c r="D1599" s="70" t="s">
        <v>904</v>
      </c>
      <c r="E1599" s="69" t="s">
        <v>1713</v>
      </c>
      <c r="F1599" s="69" t="s">
        <v>7760</v>
      </c>
      <c r="G1599" s="69" t="s">
        <v>415</v>
      </c>
      <c r="H1599" s="70">
        <v>2021</v>
      </c>
      <c r="I1599" s="69" t="s">
        <v>63</v>
      </c>
      <c r="J1599" s="69" t="s">
        <v>63</v>
      </c>
      <c r="K1599" s="71" t="s">
        <v>7786</v>
      </c>
      <c r="L1599" s="71" t="s">
        <v>7787</v>
      </c>
      <c r="M1599" s="71" t="s">
        <v>7788</v>
      </c>
      <c r="N1599" s="69" t="s">
        <v>57</v>
      </c>
      <c r="O1599" s="64">
        <v>1</v>
      </c>
      <c r="P1599" s="72">
        <v>768790000</v>
      </c>
      <c r="Q1599" s="69" t="s">
        <v>7764</v>
      </c>
      <c r="R1599" s="69"/>
      <c r="S1599" s="203" t="s">
        <v>903</v>
      </c>
      <c r="T1599" s="56">
        <v>41</v>
      </c>
      <c r="U1599" s="56">
        <v>4</v>
      </c>
    </row>
    <row r="1600" spans="1:21" ht="14.25" customHeight="1" thickBot="1" x14ac:dyDescent="0.4">
      <c r="A1600" s="58">
        <v>1584</v>
      </c>
      <c r="B1600" s="69" t="s">
        <v>7758</v>
      </c>
      <c r="C1600" s="69" t="s">
        <v>7759</v>
      </c>
      <c r="D1600" s="70" t="s">
        <v>122</v>
      </c>
      <c r="E1600" s="69" t="s">
        <v>1713</v>
      </c>
      <c r="F1600" s="69" t="s">
        <v>7760</v>
      </c>
      <c r="G1600" s="69" t="s">
        <v>415</v>
      </c>
      <c r="H1600" s="70">
        <v>2021</v>
      </c>
      <c r="I1600" s="69" t="s">
        <v>63</v>
      </c>
      <c r="J1600" s="69" t="s">
        <v>63</v>
      </c>
      <c r="K1600" s="71" t="s">
        <v>7789</v>
      </c>
      <c r="L1600" s="71" t="s">
        <v>7790</v>
      </c>
      <c r="M1600" s="71" t="s">
        <v>7791</v>
      </c>
      <c r="N1600" s="69" t="s">
        <v>57</v>
      </c>
      <c r="O1600" s="64">
        <v>1</v>
      </c>
      <c r="P1600" s="72">
        <v>768790000</v>
      </c>
      <c r="Q1600" s="69" t="s">
        <v>7764</v>
      </c>
      <c r="R1600" s="69"/>
      <c r="S1600" s="203" t="s">
        <v>903</v>
      </c>
      <c r="T1600" s="56">
        <v>41</v>
      </c>
      <c r="U1600" s="56">
        <v>4</v>
      </c>
    </row>
    <row r="1601" spans="1:21" ht="14.25" customHeight="1" x14ac:dyDescent="0.35">
      <c r="A1601" s="47">
        <v>1585</v>
      </c>
      <c r="B1601" s="69" t="s">
        <v>7758</v>
      </c>
      <c r="C1601" s="69" t="s">
        <v>7759</v>
      </c>
      <c r="D1601" s="70" t="s">
        <v>126</v>
      </c>
      <c r="E1601" s="69" t="s">
        <v>1713</v>
      </c>
      <c r="F1601" s="69" t="s">
        <v>7760</v>
      </c>
      <c r="G1601" s="69" t="s">
        <v>415</v>
      </c>
      <c r="H1601" s="70">
        <v>2021</v>
      </c>
      <c r="I1601" s="69" t="s">
        <v>63</v>
      </c>
      <c r="J1601" s="69" t="s">
        <v>63</v>
      </c>
      <c r="K1601" s="71" t="s">
        <v>7792</v>
      </c>
      <c r="L1601" s="71" t="s">
        <v>7793</v>
      </c>
      <c r="M1601" s="71" t="s">
        <v>7794</v>
      </c>
      <c r="N1601" s="69" t="s">
        <v>57</v>
      </c>
      <c r="O1601" s="64">
        <v>1</v>
      </c>
      <c r="P1601" s="72">
        <v>768790000</v>
      </c>
      <c r="Q1601" s="69" t="s">
        <v>7764</v>
      </c>
      <c r="R1601" s="69"/>
      <c r="S1601" s="203" t="s">
        <v>903</v>
      </c>
      <c r="T1601" s="56">
        <v>41</v>
      </c>
      <c r="U1601" s="56">
        <v>4</v>
      </c>
    </row>
    <row r="1602" spans="1:21" ht="14.25" customHeight="1" thickBot="1" x14ac:dyDescent="0.4">
      <c r="A1602" s="58">
        <v>1586</v>
      </c>
      <c r="B1602" s="69" t="s">
        <v>7758</v>
      </c>
      <c r="C1602" s="69" t="s">
        <v>7759</v>
      </c>
      <c r="D1602" s="70" t="s">
        <v>132</v>
      </c>
      <c r="E1602" s="69" t="s">
        <v>1713</v>
      </c>
      <c r="F1602" s="69" t="s">
        <v>7760</v>
      </c>
      <c r="G1602" s="69" t="s">
        <v>415</v>
      </c>
      <c r="H1602" s="70">
        <v>2021</v>
      </c>
      <c r="I1602" s="69" t="s">
        <v>63</v>
      </c>
      <c r="J1602" s="69" t="s">
        <v>7795</v>
      </c>
      <c r="K1602" s="71" t="s">
        <v>63</v>
      </c>
      <c r="L1602" s="71" t="s">
        <v>63</v>
      </c>
      <c r="M1602" s="71" t="s">
        <v>63</v>
      </c>
      <c r="N1602" s="69" t="s">
        <v>57</v>
      </c>
      <c r="O1602" s="64">
        <v>1</v>
      </c>
      <c r="P1602" s="72">
        <v>768790000</v>
      </c>
      <c r="Q1602" s="69" t="s">
        <v>7764</v>
      </c>
      <c r="R1602" s="69"/>
      <c r="S1602" s="203" t="s">
        <v>903</v>
      </c>
      <c r="T1602" s="56">
        <v>41</v>
      </c>
      <c r="U1602" s="56">
        <v>4</v>
      </c>
    </row>
    <row r="1603" spans="1:21" ht="14.25" customHeight="1" x14ac:dyDescent="0.35">
      <c r="A1603" s="47">
        <v>1587</v>
      </c>
      <c r="B1603" s="69" t="s">
        <v>7758</v>
      </c>
      <c r="C1603" s="69" t="s">
        <v>7759</v>
      </c>
      <c r="D1603" s="70" t="s">
        <v>137</v>
      </c>
      <c r="E1603" s="69" t="s">
        <v>1713</v>
      </c>
      <c r="F1603" s="69" t="s">
        <v>7760</v>
      </c>
      <c r="G1603" s="69" t="s">
        <v>415</v>
      </c>
      <c r="H1603" s="70">
        <v>2021</v>
      </c>
      <c r="I1603" s="69" t="s">
        <v>63</v>
      </c>
      <c r="J1603" s="69" t="s">
        <v>63</v>
      </c>
      <c r="K1603" s="71" t="s">
        <v>7796</v>
      </c>
      <c r="L1603" s="71" t="s">
        <v>7797</v>
      </c>
      <c r="M1603" s="71" t="s">
        <v>7798</v>
      </c>
      <c r="N1603" s="69" t="s">
        <v>57</v>
      </c>
      <c r="O1603" s="64">
        <v>1</v>
      </c>
      <c r="P1603" s="72">
        <v>768790000</v>
      </c>
      <c r="Q1603" s="69" t="s">
        <v>7764</v>
      </c>
      <c r="R1603" s="69"/>
      <c r="S1603" s="203" t="s">
        <v>903</v>
      </c>
      <c r="T1603" s="56">
        <v>41</v>
      </c>
      <c r="U1603" s="56">
        <v>4</v>
      </c>
    </row>
    <row r="1604" spans="1:21" ht="14.25" customHeight="1" thickBot="1" x14ac:dyDescent="0.4">
      <c r="A1604" s="58">
        <v>1588</v>
      </c>
      <c r="B1604" s="69" t="s">
        <v>7758</v>
      </c>
      <c r="C1604" s="69" t="s">
        <v>7759</v>
      </c>
      <c r="D1604" s="70" t="s">
        <v>146</v>
      </c>
      <c r="E1604" s="69" t="s">
        <v>1713</v>
      </c>
      <c r="F1604" s="69" t="s">
        <v>7760</v>
      </c>
      <c r="G1604" s="69" t="s">
        <v>415</v>
      </c>
      <c r="H1604" s="70">
        <v>2021</v>
      </c>
      <c r="I1604" s="69" t="s">
        <v>63</v>
      </c>
      <c r="J1604" s="69" t="s">
        <v>63</v>
      </c>
      <c r="K1604" s="71" t="s">
        <v>7799</v>
      </c>
      <c r="L1604" s="71" t="s">
        <v>7800</v>
      </c>
      <c r="M1604" s="71" t="s">
        <v>7801</v>
      </c>
      <c r="N1604" s="69" t="s">
        <v>57</v>
      </c>
      <c r="O1604" s="64">
        <v>1</v>
      </c>
      <c r="P1604" s="72">
        <v>768790000</v>
      </c>
      <c r="Q1604" s="69" t="s">
        <v>7764</v>
      </c>
      <c r="R1604" s="69"/>
      <c r="S1604" s="203" t="s">
        <v>903</v>
      </c>
      <c r="T1604" s="56">
        <v>41</v>
      </c>
      <c r="U1604" s="56">
        <v>4</v>
      </c>
    </row>
    <row r="1605" spans="1:21" ht="14.25" customHeight="1" x14ac:dyDescent="0.35">
      <c r="A1605" s="47">
        <v>1589</v>
      </c>
      <c r="B1605" s="69" t="s">
        <v>7758</v>
      </c>
      <c r="C1605" s="69" t="s">
        <v>7759</v>
      </c>
      <c r="D1605" s="70" t="s">
        <v>154</v>
      </c>
      <c r="E1605" s="69" t="s">
        <v>7802</v>
      </c>
      <c r="F1605" s="69" t="s">
        <v>63</v>
      </c>
      <c r="G1605" s="69" t="s">
        <v>54</v>
      </c>
      <c r="H1605" s="70">
        <v>2022</v>
      </c>
      <c r="I1605" s="69" t="s">
        <v>63</v>
      </c>
      <c r="J1605" s="69" t="s">
        <v>7803</v>
      </c>
      <c r="K1605" s="71" t="s">
        <v>7804</v>
      </c>
      <c r="L1605" s="71" t="s">
        <v>63</v>
      </c>
      <c r="M1605" s="71" t="s">
        <v>63</v>
      </c>
      <c r="N1605" s="69" t="s">
        <v>44</v>
      </c>
      <c r="O1605" s="64">
        <v>1</v>
      </c>
      <c r="P1605" s="72">
        <v>747500000</v>
      </c>
      <c r="Q1605" s="69" t="s">
        <v>7805</v>
      </c>
      <c r="R1605" s="69"/>
      <c r="S1605" s="203" t="s">
        <v>903</v>
      </c>
      <c r="T1605" s="56">
        <v>41</v>
      </c>
      <c r="U1605" s="56">
        <v>4</v>
      </c>
    </row>
    <row r="1606" spans="1:21" ht="14.25" customHeight="1" thickBot="1" x14ac:dyDescent="0.4">
      <c r="A1606" s="58">
        <v>1590</v>
      </c>
      <c r="B1606" s="69" t="s">
        <v>1806</v>
      </c>
      <c r="C1606" s="69" t="s">
        <v>1807</v>
      </c>
      <c r="D1606" s="70" t="s">
        <v>51</v>
      </c>
      <c r="E1606" s="69" t="s">
        <v>2613</v>
      </c>
      <c r="F1606" s="69" t="s">
        <v>4230</v>
      </c>
      <c r="G1606" s="69" t="s">
        <v>54</v>
      </c>
      <c r="H1606" s="70">
        <v>2013</v>
      </c>
      <c r="I1606" s="69" t="s">
        <v>63</v>
      </c>
      <c r="J1606" s="69" t="s">
        <v>7806</v>
      </c>
      <c r="K1606" s="71" t="s">
        <v>7807</v>
      </c>
      <c r="L1606" s="71" t="s">
        <v>7808</v>
      </c>
      <c r="M1606" s="71" t="s">
        <v>7809</v>
      </c>
      <c r="N1606" s="69" t="s">
        <v>57</v>
      </c>
      <c r="O1606" s="64">
        <v>1</v>
      </c>
      <c r="P1606" s="72">
        <v>239750000</v>
      </c>
      <c r="Q1606" s="69" t="s">
        <v>2518</v>
      </c>
      <c r="R1606" s="69"/>
      <c r="S1606" s="68" t="s">
        <v>7810</v>
      </c>
      <c r="T1606" s="56">
        <v>42</v>
      </c>
      <c r="U1606" s="56">
        <v>4</v>
      </c>
    </row>
    <row r="1607" spans="1:21" ht="14.25" customHeight="1" x14ac:dyDescent="0.35">
      <c r="A1607" s="47">
        <v>1591</v>
      </c>
      <c r="B1607" s="69" t="s">
        <v>1806</v>
      </c>
      <c r="C1607" s="69" t="s">
        <v>1807</v>
      </c>
      <c r="D1607" s="70" t="s">
        <v>59</v>
      </c>
      <c r="E1607" s="69" t="s">
        <v>7811</v>
      </c>
      <c r="F1607" s="69" t="s">
        <v>4230</v>
      </c>
      <c r="G1607" s="69" t="s">
        <v>63</v>
      </c>
      <c r="H1607" s="70">
        <v>2024</v>
      </c>
      <c r="I1607" s="69" t="s">
        <v>63</v>
      </c>
      <c r="J1607" s="69" t="s">
        <v>7812</v>
      </c>
      <c r="K1607" s="71" t="s">
        <v>7813</v>
      </c>
      <c r="L1607" s="71" t="s">
        <v>7814</v>
      </c>
      <c r="M1607" s="71" t="s">
        <v>7815</v>
      </c>
      <c r="N1607" s="69" t="s">
        <v>44</v>
      </c>
      <c r="O1607" s="64">
        <v>1</v>
      </c>
      <c r="P1607" s="72">
        <v>394400000</v>
      </c>
      <c r="Q1607" s="69"/>
      <c r="R1607" s="69"/>
      <c r="S1607" s="68" t="s">
        <v>7810</v>
      </c>
      <c r="T1607" s="56">
        <v>42</v>
      </c>
      <c r="U1607" s="56">
        <v>4</v>
      </c>
    </row>
    <row r="1608" spans="1:21" ht="14.25" customHeight="1" thickBot="1" x14ac:dyDescent="0.4">
      <c r="A1608" s="58">
        <v>1592</v>
      </c>
      <c r="B1608" s="69" t="s">
        <v>79</v>
      </c>
      <c r="C1608" s="69" t="s">
        <v>80</v>
      </c>
      <c r="D1608" s="70" t="s">
        <v>51</v>
      </c>
      <c r="E1608" s="69" t="s">
        <v>4038</v>
      </c>
      <c r="F1608" s="69" t="s">
        <v>7816</v>
      </c>
      <c r="G1608" s="69" t="s">
        <v>140</v>
      </c>
      <c r="H1608" s="70">
        <v>2015</v>
      </c>
      <c r="I1608" s="69"/>
      <c r="J1608" s="69" t="s">
        <v>7817</v>
      </c>
      <c r="K1608" s="71" t="s">
        <v>7818</v>
      </c>
      <c r="L1608" s="71" t="s">
        <v>7819</v>
      </c>
      <c r="M1608" s="71" t="s">
        <v>7820</v>
      </c>
      <c r="N1608" s="69" t="s">
        <v>57</v>
      </c>
      <c r="O1608" s="64">
        <v>1</v>
      </c>
      <c r="P1608" s="72">
        <v>18976000</v>
      </c>
      <c r="Q1608" s="69" t="s">
        <v>7821</v>
      </c>
      <c r="R1608" s="69"/>
      <c r="S1608" s="68" t="s">
        <v>7810</v>
      </c>
      <c r="T1608" s="56">
        <v>42</v>
      </c>
      <c r="U1608" s="56">
        <v>3</v>
      </c>
    </row>
    <row r="1609" spans="1:21" ht="14.25" customHeight="1" x14ac:dyDescent="0.35">
      <c r="A1609" s="47">
        <v>1593</v>
      </c>
      <c r="B1609" s="69" t="s">
        <v>79</v>
      </c>
      <c r="C1609" s="69" t="s">
        <v>80</v>
      </c>
      <c r="D1609" s="70" t="s">
        <v>59</v>
      </c>
      <c r="E1609" s="69" t="s">
        <v>2513</v>
      </c>
      <c r="F1609" s="69" t="s">
        <v>202</v>
      </c>
      <c r="G1609" s="69" t="s">
        <v>54</v>
      </c>
      <c r="H1609" s="70">
        <v>2010</v>
      </c>
      <c r="I1609" s="69"/>
      <c r="J1609" s="69" t="s">
        <v>7822</v>
      </c>
      <c r="K1609" s="71" t="s">
        <v>7823</v>
      </c>
      <c r="L1609" s="71" t="s">
        <v>7824</v>
      </c>
      <c r="M1609" s="71" t="s">
        <v>7825</v>
      </c>
      <c r="N1609" s="69" t="s">
        <v>57</v>
      </c>
      <c r="O1609" s="64">
        <v>1</v>
      </c>
      <c r="P1609" s="72">
        <v>16050000</v>
      </c>
      <c r="Q1609" s="69" t="s">
        <v>7826</v>
      </c>
      <c r="R1609" s="69"/>
      <c r="S1609" s="68" t="s">
        <v>7810</v>
      </c>
      <c r="T1609" s="56">
        <v>42</v>
      </c>
      <c r="U1609" s="56">
        <v>3</v>
      </c>
    </row>
    <row r="1610" spans="1:21" ht="14.25" customHeight="1" thickBot="1" x14ac:dyDescent="0.4">
      <c r="A1610" s="58">
        <v>1594</v>
      </c>
      <c r="B1610" s="69" t="s">
        <v>79</v>
      </c>
      <c r="C1610" s="69" t="s">
        <v>80</v>
      </c>
      <c r="D1610" s="70" t="s">
        <v>97</v>
      </c>
      <c r="E1610" s="69" t="s">
        <v>7827</v>
      </c>
      <c r="F1610" s="69" t="s">
        <v>202</v>
      </c>
      <c r="G1610" s="69" t="s">
        <v>140</v>
      </c>
      <c r="H1610" s="70">
        <v>2023</v>
      </c>
      <c r="I1610" s="69" t="s">
        <v>63</v>
      </c>
      <c r="J1610" s="69" t="s">
        <v>7828</v>
      </c>
      <c r="K1610" s="71" t="s">
        <v>7829</v>
      </c>
      <c r="L1610" s="204" t="s">
        <v>7830</v>
      </c>
      <c r="M1610" s="71" t="s">
        <v>7831</v>
      </c>
      <c r="N1610" s="69" t="s">
        <v>44</v>
      </c>
      <c r="O1610" s="64">
        <v>1</v>
      </c>
      <c r="P1610" s="72">
        <v>18940000</v>
      </c>
      <c r="Q1610" s="69" t="s">
        <v>80</v>
      </c>
      <c r="R1610" s="69"/>
      <c r="S1610" s="68" t="s">
        <v>7810</v>
      </c>
      <c r="T1610" s="56">
        <v>42</v>
      </c>
      <c r="U1610" s="56">
        <v>3</v>
      </c>
    </row>
    <row r="1611" spans="1:21" ht="14.25" customHeight="1" x14ac:dyDescent="0.35">
      <c r="A1611" s="47">
        <v>1595</v>
      </c>
      <c r="B1611" s="69" t="s">
        <v>79</v>
      </c>
      <c r="C1611" s="69" t="s">
        <v>80</v>
      </c>
      <c r="D1611" s="70" t="s">
        <v>101</v>
      </c>
      <c r="E1611" s="69" t="s">
        <v>7827</v>
      </c>
      <c r="F1611" s="69" t="s">
        <v>202</v>
      </c>
      <c r="G1611" s="69" t="s">
        <v>140</v>
      </c>
      <c r="H1611" s="70">
        <v>2023</v>
      </c>
      <c r="I1611" s="69" t="s">
        <v>63</v>
      </c>
      <c r="J1611" s="69" t="s">
        <v>7832</v>
      </c>
      <c r="K1611" s="71" t="s">
        <v>7833</v>
      </c>
      <c r="L1611" s="204" t="s">
        <v>7834</v>
      </c>
      <c r="M1611" s="71" t="s">
        <v>7835</v>
      </c>
      <c r="N1611" s="69" t="s">
        <v>44</v>
      </c>
      <c r="O1611" s="64">
        <v>1</v>
      </c>
      <c r="P1611" s="72">
        <v>18940000</v>
      </c>
      <c r="Q1611" s="69" t="s">
        <v>80</v>
      </c>
      <c r="R1611" s="69"/>
      <c r="S1611" s="68" t="s">
        <v>7810</v>
      </c>
      <c r="T1611" s="56">
        <v>42</v>
      </c>
      <c r="U1611" s="56">
        <v>3</v>
      </c>
    </row>
    <row r="1612" spans="1:21" ht="14.25" customHeight="1" thickBot="1" x14ac:dyDescent="0.4">
      <c r="A1612" s="58">
        <v>1596</v>
      </c>
      <c r="B1612" s="69" t="s">
        <v>79</v>
      </c>
      <c r="C1612" s="69" t="s">
        <v>80</v>
      </c>
      <c r="D1612" s="70" t="s">
        <v>107</v>
      </c>
      <c r="E1612" s="69" t="s">
        <v>7827</v>
      </c>
      <c r="F1612" s="69" t="s">
        <v>202</v>
      </c>
      <c r="G1612" s="69" t="s">
        <v>140</v>
      </c>
      <c r="H1612" s="70">
        <v>2023</v>
      </c>
      <c r="I1612" s="69" t="s">
        <v>63</v>
      </c>
      <c r="J1612" s="69" t="s">
        <v>7836</v>
      </c>
      <c r="K1612" s="71" t="s">
        <v>7837</v>
      </c>
      <c r="L1612" s="204" t="s">
        <v>7838</v>
      </c>
      <c r="M1612" s="71" t="s">
        <v>7839</v>
      </c>
      <c r="N1612" s="69" t="s">
        <v>44</v>
      </c>
      <c r="O1612" s="64">
        <v>1</v>
      </c>
      <c r="P1612" s="72">
        <v>18940000</v>
      </c>
      <c r="Q1612" s="69" t="s">
        <v>80</v>
      </c>
      <c r="R1612" s="69"/>
      <c r="S1612" s="68" t="s">
        <v>7810</v>
      </c>
      <c r="T1612" s="56">
        <v>42</v>
      </c>
      <c r="U1612" s="56">
        <v>3</v>
      </c>
    </row>
    <row r="1613" spans="1:21" ht="14.25" customHeight="1" x14ac:dyDescent="0.35">
      <c r="A1613" s="47">
        <v>1597</v>
      </c>
      <c r="B1613" s="69" t="s">
        <v>79</v>
      </c>
      <c r="C1613" s="69" t="s">
        <v>80</v>
      </c>
      <c r="D1613" s="70" t="s">
        <v>112</v>
      </c>
      <c r="E1613" s="69" t="s">
        <v>7827</v>
      </c>
      <c r="F1613" s="69" t="s">
        <v>202</v>
      </c>
      <c r="G1613" s="69" t="s">
        <v>140</v>
      </c>
      <c r="H1613" s="70">
        <v>2023</v>
      </c>
      <c r="I1613" s="69" t="s">
        <v>63</v>
      </c>
      <c r="J1613" s="69" t="s">
        <v>7840</v>
      </c>
      <c r="K1613" s="71" t="s">
        <v>7841</v>
      </c>
      <c r="L1613" s="204" t="s">
        <v>7842</v>
      </c>
      <c r="M1613" s="71" t="s">
        <v>7843</v>
      </c>
      <c r="N1613" s="69" t="s">
        <v>44</v>
      </c>
      <c r="O1613" s="64">
        <v>1</v>
      </c>
      <c r="P1613" s="72">
        <v>18940000</v>
      </c>
      <c r="Q1613" s="69" t="s">
        <v>80</v>
      </c>
      <c r="R1613" s="69"/>
      <c r="S1613" s="68" t="s">
        <v>7810</v>
      </c>
      <c r="T1613" s="56">
        <v>42</v>
      </c>
      <c r="U1613" s="56">
        <v>3</v>
      </c>
    </row>
    <row r="1614" spans="1:21" ht="14.25" customHeight="1" thickBot="1" x14ac:dyDescent="0.4">
      <c r="A1614" s="58">
        <v>1598</v>
      </c>
      <c r="B1614" s="69" t="s">
        <v>1711</v>
      </c>
      <c r="C1614" s="69" t="s">
        <v>1712</v>
      </c>
      <c r="D1614" s="70" t="s">
        <v>51</v>
      </c>
      <c r="E1614" s="69" t="s">
        <v>7844</v>
      </c>
      <c r="F1614" s="69" t="s">
        <v>2030</v>
      </c>
      <c r="G1614" s="69" t="s">
        <v>54</v>
      </c>
      <c r="H1614" s="70">
        <v>2007</v>
      </c>
      <c r="I1614" s="69" t="s">
        <v>7845</v>
      </c>
      <c r="J1614" s="69" t="s">
        <v>7846</v>
      </c>
      <c r="K1614" s="71" t="s">
        <v>7847</v>
      </c>
      <c r="L1614" s="71" t="s">
        <v>7848</v>
      </c>
      <c r="M1614" s="71" t="s">
        <v>7849</v>
      </c>
      <c r="N1614" s="69" t="s">
        <v>57</v>
      </c>
      <c r="O1614" s="64">
        <v>1</v>
      </c>
      <c r="P1614" s="72">
        <v>933225000</v>
      </c>
      <c r="Q1614" s="69" t="s">
        <v>7850</v>
      </c>
      <c r="R1614" s="69"/>
      <c r="S1614" s="68" t="s">
        <v>7810</v>
      </c>
      <c r="T1614" s="56">
        <v>42</v>
      </c>
      <c r="U1614" s="56">
        <v>6</v>
      </c>
    </row>
    <row r="1615" spans="1:21" ht="14.25" customHeight="1" x14ac:dyDescent="0.35">
      <c r="A1615" s="47">
        <v>1599</v>
      </c>
      <c r="B1615" s="69" t="s">
        <v>1711</v>
      </c>
      <c r="C1615" s="69" t="s">
        <v>1712</v>
      </c>
      <c r="D1615" s="70" t="s">
        <v>59</v>
      </c>
      <c r="E1615" s="69" t="s">
        <v>7851</v>
      </c>
      <c r="F1615" s="69" t="s">
        <v>2030</v>
      </c>
      <c r="G1615" s="69" t="s">
        <v>54</v>
      </c>
      <c r="H1615" s="70">
        <v>2007</v>
      </c>
      <c r="I1615" s="69" t="s">
        <v>7852</v>
      </c>
      <c r="J1615" s="69" t="s">
        <v>7853</v>
      </c>
      <c r="K1615" s="71" t="s">
        <v>7854</v>
      </c>
      <c r="L1615" s="71" t="s">
        <v>7855</v>
      </c>
      <c r="M1615" s="71"/>
      <c r="N1615" s="69" t="s">
        <v>57</v>
      </c>
      <c r="O1615" s="64">
        <v>1</v>
      </c>
      <c r="P1615" s="72">
        <v>947750000</v>
      </c>
      <c r="Q1615" s="69" t="s">
        <v>7856</v>
      </c>
      <c r="R1615" s="69"/>
      <c r="S1615" s="68" t="s">
        <v>7810</v>
      </c>
      <c r="T1615" s="56">
        <v>42</v>
      </c>
      <c r="U1615" s="56">
        <v>6</v>
      </c>
    </row>
    <row r="1616" spans="1:21" ht="14.25" customHeight="1" thickBot="1" x14ac:dyDescent="0.4">
      <c r="A1616" s="58">
        <v>1600</v>
      </c>
      <c r="B1616" s="69" t="s">
        <v>1711</v>
      </c>
      <c r="C1616" s="69" t="s">
        <v>1712</v>
      </c>
      <c r="D1616" s="70" t="s">
        <v>97</v>
      </c>
      <c r="E1616" s="69" t="s">
        <v>7857</v>
      </c>
      <c r="F1616" s="69" t="s">
        <v>2030</v>
      </c>
      <c r="G1616" s="69" t="s">
        <v>140</v>
      </c>
      <c r="H1616" s="70">
        <v>2015</v>
      </c>
      <c r="I1616" s="69"/>
      <c r="J1616" s="69" t="s">
        <v>7858</v>
      </c>
      <c r="K1616" s="71" t="s">
        <v>7859</v>
      </c>
      <c r="L1616" s="71" t="s">
        <v>7860</v>
      </c>
      <c r="M1616" s="71" t="s">
        <v>7861</v>
      </c>
      <c r="N1616" s="69" t="s">
        <v>57</v>
      </c>
      <c r="O1616" s="64">
        <v>1</v>
      </c>
      <c r="P1616" s="72">
        <v>1342964363.0000002</v>
      </c>
      <c r="Q1616" s="69" t="s">
        <v>2624</v>
      </c>
      <c r="R1616" s="69"/>
      <c r="S1616" s="68" t="s">
        <v>7810</v>
      </c>
      <c r="T1616" s="56">
        <v>42</v>
      </c>
      <c r="U1616" s="56">
        <v>6</v>
      </c>
    </row>
    <row r="1617" spans="1:23" ht="14.25" customHeight="1" x14ac:dyDescent="0.35">
      <c r="A1617" s="47">
        <v>1601</v>
      </c>
      <c r="B1617" s="69" t="s">
        <v>1711</v>
      </c>
      <c r="C1617" s="69" t="s">
        <v>1712</v>
      </c>
      <c r="D1617" s="70" t="s">
        <v>101</v>
      </c>
      <c r="E1617" s="69" t="s">
        <v>7857</v>
      </c>
      <c r="F1617" s="69" t="s">
        <v>2030</v>
      </c>
      <c r="G1617" s="69" t="s">
        <v>140</v>
      </c>
      <c r="H1617" s="70">
        <v>2015</v>
      </c>
      <c r="I1617" s="69"/>
      <c r="J1617" s="69" t="s">
        <v>7862</v>
      </c>
      <c r="K1617" s="71" t="s">
        <v>7863</v>
      </c>
      <c r="L1617" s="71" t="s">
        <v>7864</v>
      </c>
      <c r="M1617" s="71" t="s">
        <v>7865</v>
      </c>
      <c r="N1617" s="69" t="s">
        <v>57</v>
      </c>
      <c r="O1617" s="64">
        <v>1</v>
      </c>
      <c r="P1617" s="72">
        <v>1342964363.0000002</v>
      </c>
      <c r="Q1617" s="69" t="s">
        <v>2624</v>
      </c>
      <c r="R1617" s="69"/>
      <c r="S1617" s="68" t="s">
        <v>7810</v>
      </c>
      <c r="T1617" s="56">
        <v>42</v>
      </c>
      <c r="U1617" s="56">
        <v>6</v>
      </c>
    </row>
    <row r="1618" spans="1:23" ht="14.25" customHeight="1" thickBot="1" x14ac:dyDescent="0.4">
      <c r="A1618" s="58">
        <v>1602</v>
      </c>
      <c r="B1618" s="69" t="s">
        <v>1711</v>
      </c>
      <c r="C1618" s="69" t="s">
        <v>1712</v>
      </c>
      <c r="D1618" s="70" t="s">
        <v>107</v>
      </c>
      <c r="E1618" s="69" t="s">
        <v>7866</v>
      </c>
      <c r="F1618" s="69" t="s">
        <v>3674</v>
      </c>
      <c r="G1618" s="69" t="s">
        <v>140</v>
      </c>
      <c r="H1618" s="70">
        <v>2016</v>
      </c>
      <c r="I1618" s="69"/>
      <c r="J1618" s="69" t="s">
        <v>7867</v>
      </c>
      <c r="K1618" s="71" t="s">
        <v>7868</v>
      </c>
      <c r="L1618" s="71" t="s">
        <v>7869</v>
      </c>
      <c r="M1618" s="71" t="s">
        <v>7870</v>
      </c>
      <c r="N1618" s="69" t="s">
        <v>57</v>
      </c>
      <c r="O1618" s="64">
        <v>1</v>
      </c>
      <c r="P1618" s="72">
        <v>1424401600</v>
      </c>
      <c r="Q1618" s="69" t="s">
        <v>7871</v>
      </c>
      <c r="R1618" s="69"/>
      <c r="S1618" s="68" t="s">
        <v>7810</v>
      </c>
      <c r="T1618" s="56">
        <v>42</v>
      </c>
      <c r="U1618" s="56">
        <v>6</v>
      </c>
    </row>
    <row r="1619" spans="1:23" ht="14.25" customHeight="1" x14ac:dyDescent="0.35">
      <c r="A1619" s="47">
        <v>1603</v>
      </c>
      <c r="B1619" s="205" t="s">
        <v>1711</v>
      </c>
      <c r="C1619" s="205" t="s">
        <v>1712</v>
      </c>
      <c r="D1619" s="206" t="s">
        <v>112</v>
      </c>
      <c r="E1619" s="205" t="s">
        <v>7872</v>
      </c>
      <c r="F1619" s="205" t="s">
        <v>7873</v>
      </c>
      <c r="G1619" s="205" t="s">
        <v>140</v>
      </c>
      <c r="H1619" s="206">
        <v>2016</v>
      </c>
      <c r="I1619" s="205"/>
      <c r="J1619" s="205" t="s">
        <v>7874</v>
      </c>
      <c r="K1619" s="207" t="s">
        <v>7875</v>
      </c>
      <c r="L1619" s="207" t="s">
        <v>7876</v>
      </c>
      <c r="M1619" s="207" t="s">
        <v>7877</v>
      </c>
      <c r="N1619" s="205" t="s">
        <v>57</v>
      </c>
      <c r="O1619" s="208">
        <v>1</v>
      </c>
      <c r="P1619" s="209">
        <v>1906551600</v>
      </c>
      <c r="Q1619" s="205" t="s">
        <v>903</v>
      </c>
      <c r="R1619" s="205"/>
      <c r="S1619" s="210" t="s">
        <v>7810</v>
      </c>
      <c r="T1619" s="56">
        <v>42</v>
      </c>
      <c r="U1619" s="56">
        <v>6</v>
      </c>
    </row>
    <row r="1620" spans="1:23" ht="25.5" customHeight="1" x14ac:dyDescent="0.35">
      <c r="A1620" s="236" t="s">
        <v>9</v>
      </c>
      <c r="B1620" s="237"/>
      <c r="C1620" s="237"/>
      <c r="D1620" s="237"/>
      <c r="E1620" s="237"/>
      <c r="F1620" s="237"/>
      <c r="G1620" s="237"/>
      <c r="H1620" s="237"/>
      <c r="I1620" s="237"/>
      <c r="J1620" s="237"/>
      <c r="K1620" s="237"/>
      <c r="L1620" s="237"/>
      <c r="M1620" s="237"/>
      <c r="N1620" s="238"/>
      <c r="O1620" s="215"/>
      <c r="P1620" s="216">
        <f>SUBTOTAL(9,P17:P1619)</f>
        <v>189840570853.79999</v>
      </c>
      <c r="Q1620" s="217"/>
      <c r="R1620" s="217"/>
      <c r="S1620" s="217"/>
      <c r="T1620" s="57"/>
      <c r="U1620" s="56"/>
      <c r="V1620" s="57"/>
      <c r="W1620" s="57"/>
    </row>
    <row r="1621" spans="1:23" ht="15" customHeight="1" x14ac:dyDescent="0.35">
      <c r="A1621" s="218"/>
      <c r="B1621" s="233" t="s">
        <v>7881</v>
      </c>
      <c r="C1621" s="234"/>
      <c r="D1621" s="234"/>
      <c r="E1621" s="234"/>
      <c r="F1621" s="234"/>
      <c r="G1621" s="234"/>
      <c r="H1621" s="234"/>
      <c r="I1621" s="234"/>
      <c r="J1621" s="234"/>
      <c r="K1621" s="234"/>
      <c r="L1621" s="234"/>
      <c r="M1621" s="234"/>
      <c r="N1621" s="235"/>
      <c r="O1621" s="218"/>
      <c r="P1621" s="219">
        <f>SUM(9,P17:P1619)</f>
        <v>189840570862.79999</v>
      </c>
      <c r="Q1621" s="218"/>
      <c r="R1621" s="218"/>
      <c r="S1621" s="218"/>
    </row>
  </sheetData>
  <autoFilter ref="A16:W1621" xr:uid="{00000000-0009-0000-0000-000000000000}"/>
  <mergeCells count="12">
    <mergeCell ref="A1:S1"/>
    <mergeCell ref="A2:S2"/>
    <mergeCell ref="A3:S3"/>
    <mergeCell ref="A4:S4"/>
    <mergeCell ref="I14:M14"/>
    <mergeCell ref="N14:N15"/>
    <mergeCell ref="P14:P15"/>
    <mergeCell ref="B1621:N1621"/>
    <mergeCell ref="A1620:N1620"/>
    <mergeCell ref="R14:R15"/>
    <mergeCell ref="Q14:Q15"/>
    <mergeCell ref="S14:S15"/>
  </mergeCells>
  <hyperlinks>
    <hyperlink ref="Q724" r:id="rId1" xr:uid="{00000000-0004-0000-0000-000000000000}"/>
  </hyperlinks>
  <pageMargins left="0.7" right="0.7" top="0.75" bottom="0.75" header="0" footer="0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sqref="A1:A2"/>
    </sheetView>
  </sheetViews>
  <sheetFormatPr defaultColWidth="14.453125" defaultRowHeight="15" customHeight="1" x14ac:dyDescent="0.35"/>
  <cols>
    <col min="1" max="1" width="9.26953125" customWidth="1"/>
    <col min="2" max="2" width="66.54296875" customWidth="1"/>
    <col min="3" max="3" width="11.08984375" customWidth="1"/>
    <col min="4" max="4" width="20.7265625" customWidth="1"/>
    <col min="5" max="5" width="10.08984375" customWidth="1"/>
    <col min="6" max="6" width="20.7265625" customWidth="1"/>
    <col min="7" max="7" width="10.453125" customWidth="1"/>
    <col min="8" max="8" width="20.7265625" customWidth="1"/>
    <col min="9" max="9" width="9.81640625" customWidth="1"/>
    <col min="10" max="10" width="20.7265625" customWidth="1"/>
    <col min="11" max="11" width="10.7265625" customWidth="1"/>
    <col min="12" max="12" width="20.7265625" customWidth="1"/>
    <col min="13" max="13" width="11" customWidth="1"/>
    <col min="14" max="14" width="20.7265625" customWidth="1"/>
    <col min="15" max="15" width="9" customWidth="1"/>
    <col min="16" max="16" width="24.26953125" customWidth="1"/>
    <col min="17" max="17" width="26.26953125" customWidth="1"/>
    <col min="18" max="18" width="19.54296875" customWidth="1"/>
  </cols>
  <sheetData>
    <row r="1" spans="1:18" ht="48.75" customHeight="1" x14ac:dyDescent="0.35">
      <c r="A1" s="251" t="s">
        <v>0</v>
      </c>
      <c r="B1" s="253" t="s">
        <v>1</v>
      </c>
      <c r="C1" s="247" t="s">
        <v>2</v>
      </c>
      <c r="D1" s="248"/>
      <c r="E1" s="247" t="s">
        <v>3</v>
      </c>
      <c r="F1" s="248"/>
      <c r="G1" s="247" t="s">
        <v>4</v>
      </c>
      <c r="H1" s="248"/>
      <c r="I1" s="247" t="s">
        <v>5</v>
      </c>
      <c r="J1" s="248"/>
      <c r="K1" s="247" t="s">
        <v>6</v>
      </c>
      <c r="L1" s="248"/>
      <c r="M1" s="247" t="s">
        <v>8</v>
      </c>
      <c r="N1" s="248"/>
      <c r="O1" s="249" t="s">
        <v>9</v>
      </c>
      <c r="P1" s="250"/>
      <c r="Q1" s="4"/>
    </row>
    <row r="2" spans="1:18" ht="21" customHeight="1" x14ac:dyDescent="0.35">
      <c r="A2" s="252"/>
      <c r="B2" s="252"/>
      <c r="C2" s="6" t="s">
        <v>12</v>
      </c>
      <c r="D2" s="7" t="s">
        <v>13</v>
      </c>
      <c r="E2" s="6" t="s">
        <v>12</v>
      </c>
      <c r="F2" s="7" t="s">
        <v>13</v>
      </c>
      <c r="G2" s="6" t="s">
        <v>12</v>
      </c>
      <c r="H2" s="7" t="s">
        <v>13</v>
      </c>
      <c r="I2" s="6" t="s">
        <v>12</v>
      </c>
      <c r="J2" s="7" t="s">
        <v>13</v>
      </c>
      <c r="K2" s="6" t="s">
        <v>12</v>
      </c>
      <c r="L2" s="7" t="s">
        <v>13</v>
      </c>
      <c r="M2" s="6" t="s">
        <v>12</v>
      </c>
      <c r="N2" s="7" t="s">
        <v>13</v>
      </c>
      <c r="O2" s="6" t="s">
        <v>12</v>
      </c>
      <c r="P2" s="7" t="s">
        <v>13</v>
      </c>
      <c r="Q2" s="4"/>
    </row>
    <row r="3" spans="1:18" ht="14.25" hidden="1" customHeight="1" x14ac:dyDescent="0.35">
      <c r="A3" s="11">
        <v>1</v>
      </c>
      <c r="B3" s="12">
        <v>2</v>
      </c>
      <c r="C3" s="14">
        <v>3</v>
      </c>
      <c r="D3" s="15"/>
      <c r="E3" s="14">
        <v>4</v>
      </c>
      <c r="F3" s="15"/>
      <c r="G3" s="12">
        <v>5</v>
      </c>
      <c r="H3" s="12"/>
      <c r="I3" s="12">
        <v>6</v>
      </c>
      <c r="J3" s="12"/>
      <c r="K3" s="12">
        <v>7</v>
      </c>
      <c r="L3" s="12"/>
      <c r="M3" s="12">
        <v>8</v>
      </c>
      <c r="N3" s="12"/>
      <c r="O3" s="12"/>
      <c r="P3" s="12">
        <v>9</v>
      </c>
      <c r="Q3" s="16"/>
    </row>
    <row r="4" spans="1:18" ht="14.25" customHeight="1" x14ac:dyDescent="0.35">
      <c r="A4" s="17">
        <v>1</v>
      </c>
      <c r="B4" s="18" t="s">
        <v>16</v>
      </c>
      <c r="C4" s="19">
        <f>SUMIFS('KENDARAAN DINAS'!$O:$O,'KENDARAAN DINAS'!$U:$U,'REKAP KENDARAAN DINAS'!$C$3,'KENDARAAN DINAS'!$T:$T,'REKAP KENDARAAN DINAS'!A4)</f>
        <v>60</v>
      </c>
      <c r="D4" s="21">
        <f>SUMIFS('KENDARAAN DINAS'!$P:$P,'KENDARAAN DINAS'!$U:$U,'REKAP KENDARAAN DINAS'!$C$3,'KENDARAAN DINAS'!$T:$T,A4)</f>
        <v>1163804988</v>
      </c>
      <c r="E4" s="19">
        <f>SUMIFS('KENDARAAN DINAS'!$O:$O,'KENDARAAN DINAS'!$U:$U,$E$3,'KENDARAAN DINAS'!$T:$T,A4)</f>
        <v>3</v>
      </c>
      <c r="F4" s="21">
        <f>SUMIFS('KENDARAAN DINAS'!$P:$P,'KENDARAAN DINAS'!$U:$U,$E$3,'KENDARAAN DINAS'!$T:$T,A4)</f>
        <v>1267000000</v>
      </c>
      <c r="G4" s="19">
        <f>SUMIFS('KENDARAAN DINAS'!$O:$O,'KENDARAAN DINAS'!$U:$U,$G$3,'KENDARAAN DINAS'!$T:$T,A4)</f>
        <v>0</v>
      </c>
      <c r="H4" s="21">
        <f>SUMIFS('KENDARAAN DINAS'!$P:$P,'KENDARAAN DINAS'!$U:$U,$G$3,'KENDARAAN DINAS'!$T:$T,A4)</f>
        <v>0</v>
      </c>
      <c r="I4" s="19">
        <f>SUMIFS('KENDARAAN DINAS'!$O:$O,'KENDARAAN DINAS'!$U:$U,$I$3,'KENDARAAN DINAS'!$T:$T,A4)</f>
        <v>0</v>
      </c>
      <c r="J4" s="21">
        <f>SUMIFS('KENDARAAN DINAS'!$P:$P,'KENDARAAN DINAS'!$U:$U,$I$3,'KENDARAAN DINAS'!$T:$T,A4)</f>
        <v>0</v>
      </c>
      <c r="K4" s="19">
        <f>SUMIFS('KENDARAAN DINAS'!$O:$O,'KENDARAAN DINAS'!$U:$U,$K$3,'KENDARAAN DINAS'!$T:$T,A4)</f>
        <v>0</v>
      </c>
      <c r="L4" s="21">
        <f>SUMIFS('KENDARAAN DINAS'!$P:$P,'KENDARAAN DINAS'!$U:$U,$K$3,'KENDARAAN DINAS'!$T:$T,A5)</f>
        <v>0</v>
      </c>
      <c r="M4" s="19">
        <f>SUMIFS('KENDARAAN DINAS'!$O:$O,'KENDARAAN DINAS'!$U:$U,$M$3,'KENDARAAN DINAS'!$T:$T,A4)</f>
        <v>0</v>
      </c>
      <c r="N4" s="21">
        <f>SUMIFS('KENDARAAN DINAS'!$P:$P,'KENDARAAN DINAS'!$U:$U,$M$3,'KENDARAAN DINAS'!$T:$T,A4)</f>
        <v>0</v>
      </c>
      <c r="O4" s="19">
        <f t="shared" ref="O4:P4" si="0">C4+E4+G4+I4+K4+M4</f>
        <v>63</v>
      </c>
      <c r="P4" s="29">
        <f t="shared" si="0"/>
        <v>2430804988</v>
      </c>
      <c r="Q4" s="30"/>
      <c r="R4" s="32"/>
    </row>
    <row r="5" spans="1:18" ht="14.25" customHeight="1" x14ac:dyDescent="0.35">
      <c r="A5" s="34">
        <v>2</v>
      </c>
      <c r="B5" s="35" t="s">
        <v>41</v>
      </c>
      <c r="C5" s="37">
        <f>SUMIFS('KENDARAAN DINAS'!$O:$O,'KENDARAAN DINAS'!$U:$U,'REKAP KENDARAAN DINAS'!$C$3,'KENDARAAN DINAS'!$T:$T,'REKAP KENDARAAN DINAS'!A5)</f>
        <v>215</v>
      </c>
      <c r="D5" s="40">
        <f>SUMIFS('KENDARAAN DINAS'!$P:$P,'KENDARAAN DINAS'!$U:$U,'REKAP KENDARAAN DINAS'!$C$3,'KENDARAAN DINAS'!$T:$T,A5)</f>
        <v>3547025066</v>
      </c>
      <c r="E5" s="37">
        <f>SUMIFS('KENDARAAN DINAS'!$O:$O,'KENDARAAN DINAS'!$U:$U,$E$3,'KENDARAAN DINAS'!$T:$T,A5)</f>
        <v>33</v>
      </c>
      <c r="F5" s="40">
        <f>SUMIFS('KENDARAAN DINAS'!$P:$P,'KENDARAAN DINAS'!$U:$U,$E$3,'KENDARAAN DINAS'!$T:$T,A5)</f>
        <v>11445354125</v>
      </c>
      <c r="G5" s="37">
        <f>SUMIFS('KENDARAAN DINAS'!$O:$O,'KENDARAAN DINAS'!$U:$U,$G$3,'KENDARAAN DINAS'!$T:$T,A5)</f>
        <v>0</v>
      </c>
      <c r="H5" s="40">
        <f>SUMIFS('KENDARAAN DINAS'!$P:$P,'KENDARAAN DINAS'!$U:$U,$G$3,'KENDARAAN DINAS'!$T:$T,A5)</f>
        <v>0</v>
      </c>
      <c r="I5" s="37">
        <f>SUMIFS('KENDARAAN DINAS'!$O:$O,'KENDARAAN DINAS'!$U:$U,$I$3,'KENDARAAN DINAS'!$T:$T,A5)</f>
        <v>1</v>
      </c>
      <c r="J5" s="40">
        <f>SUMIFS('KENDARAAN DINAS'!$P:$P,'KENDARAAN DINAS'!$U:$U,$I$3,'KENDARAAN DINAS'!$T:$T,A5)</f>
        <v>643500000</v>
      </c>
      <c r="K5" s="37">
        <f>SUMIFS('KENDARAAN DINAS'!$O:$O,'KENDARAAN DINAS'!$U:$U,$K$3,'KENDARAAN DINAS'!$T:$T,A5)</f>
        <v>0</v>
      </c>
      <c r="L5" s="40">
        <f>SUMIFS('KENDARAAN DINAS'!$P:$P,'KENDARAAN DINAS'!$U:$U,$K$3,'KENDARAAN DINAS'!$T:$T,A6)</f>
        <v>0</v>
      </c>
      <c r="M5" s="37">
        <f>SUMIFS('KENDARAAN DINAS'!$O:$O,'KENDARAAN DINAS'!$U:$U,$M$3,'KENDARAAN DINAS'!$T:$T,A5)</f>
        <v>0</v>
      </c>
      <c r="N5" s="40">
        <f>SUMIFS('KENDARAAN DINAS'!$P:$P,'KENDARAAN DINAS'!$U:$U,$M$3,'KENDARAAN DINAS'!$T:$T,A5)</f>
        <v>0</v>
      </c>
      <c r="O5" s="37">
        <f t="shared" ref="O5:P5" si="1">C5+E5+G5+I5+K5+M5</f>
        <v>249</v>
      </c>
      <c r="P5" s="62">
        <f t="shared" si="1"/>
        <v>15635879191</v>
      </c>
      <c r="Q5" s="30"/>
      <c r="R5" s="32"/>
    </row>
    <row r="6" spans="1:18" ht="14.25" customHeight="1" x14ac:dyDescent="0.35">
      <c r="A6" s="34">
        <v>3</v>
      </c>
      <c r="B6" s="35" t="s">
        <v>64</v>
      </c>
      <c r="C6" s="37">
        <f>SUMIFS('KENDARAAN DINAS'!$O:$O,'KENDARAAN DINAS'!$U:$U,'REKAP KENDARAAN DINAS'!$C$3,'KENDARAAN DINAS'!$T:$T,'REKAP KENDARAAN DINAS'!A6)</f>
        <v>13</v>
      </c>
      <c r="D6" s="40">
        <f>SUMIFS('KENDARAAN DINAS'!$P:$P,'KENDARAAN DINAS'!$U:$U,'REKAP KENDARAAN DINAS'!$C$3,'KENDARAAN DINAS'!$T:$T,A6)</f>
        <v>188563566</v>
      </c>
      <c r="E6" s="37">
        <f>SUMIFS('KENDARAAN DINAS'!$O:$O,'KENDARAAN DINAS'!$U:$U,$E$3,'KENDARAAN DINAS'!$T:$T,A6)</f>
        <v>20</v>
      </c>
      <c r="F6" s="40">
        <f>SUMIFS('KENDARAAN DINAS'!$P:$P,'KENDARAAN DINAS'!$U:$U,$E$3,'KENDARAAN DINAS'!$T:$T,A6)</f>
        <v>4414557750</v>
      </c>
      <c r="G6" s="37">
        <f>SUMIFS('KENDARAAN DINAS'!$O:$O,'KENDARAAN DINAS'!$U:$U,$G$3,'KENDARAAN DINAS'!$T:$T,A6)</f>
        <v>0</v>
      </c>
      <c r="H6" s="40">
        <f>SUMIFS('KENDARAAN DINAS'!$P:$P,'KENDARAAN DINAS'!$U:$U,$G$3,'KENDARAAN DINAS'!$T:$T,A6)</f>
        <v>0</v>
      </c>
      <c r="I6" s="37">
        <f>SUMIFS('KENDARAAN DINAS'!$O:$O,'KENDARAAN DINAS'!$U:$U,$I$3,'KENDARAAN DINAS'!$T:$T,A6)</f>
        <v>0</v>
      </c>
      <c r="J6" s="40">
        <f>SUMIFS('KENDARAAN DINAS'!$P:$P,'KENDARAAN DINAS'!$U:$U,$I$3,'KENDARAAN DINAS'!$T:$T,A6)</f>
        <v>0</v>
      </c>
      <c r="K6" s="37">
        <f>SUMIFS('KENDARAAN DINAS'!$O:$O,'KENDARAAN DINAS'!$U:$U,$K$3,'KENDARAAN DINAS'!$T:$T,A6)</f>
        <v>0</v>
      </c>
      <c r="L6" s="40">
        <f>SUMIFS('KENDARAAN DINAS'!$P:$P,'KENDARAAN DINAS'!$U:$U,$K$3,'KENDARAAN DINAS'!$T:$T,A7)</f>
        <v>0</v>
      </c>
      <c r="M6" s="37">
        <f>SUMIFS('KENDARAAN DINAS'!$O:$O,'KENDARAAN DINAS'!$U:$U,$M$3,'KENDARAAN DINAS'!$T:$T,A6)</f>
        <v>0</v>
      </c>
      <c r="N6" s="40">
        <f>SUMIFS('KENDARAAN DINAS'!$P:$P,'KENDARAAN DINAS'!$U:$U,$M$3,'KENDARAAN DINAS'!$T:$T,A6)</f>
        <v>0</v>
      </c>
      <c r="O6" s="37">
        <f t="shared" ref="O6:P6" si="2">C6+E6+G6+I6+K6+M6</f>
        <v>33</v>
      </c>
      <c r="P6" s="62">
        <f t="shared" si="2"/>
        <v>4603121316</v>
      </c>
      <c r="Q6" s="16"/>
    </row>
    <row r="7" spans="1:18" ht="14.25" customHeight="1" x14ac:dyDescent="0.35">
      <c r="A7" s="34">
        <v>4</v>
      </c>
      <c r="B7" s="35" t="s">
        <v>91</v>
      </c>
      <c r="C7" s="37">
        <f>SUMIFS('KENDARAAN DINAS'!$O:$O,'KENDARAAN DINAS'!$U:$U,'REKAP KENDARAAN DINAS'!$C$3,'KENDARAAN DINAS'!$T:$T,'REKAP KENDARAAN DINAS'!A7)</f>
        <v>15</v>
      </c>
      <c r="D7" s="40">
        <f>SUMIFS('KENDARAAN DINAS'!$P:$P,'KENDARAAN DINAS'!$U:$U,'REKAP KENDARAAN DINAS'!$C$3,'KENDARAAN DINAS'!$T:$T,A7)</f>
        <v>327325000</v>
      </c>
      <c r="E7" s="37">
        <f>SUMIFS('KENDARAAN DINAS'!$O:$O,'KENDARAAN DINAS'!$U:$U,$E$3,'KENDARAAN DINAS'!$T:$T,A7)</f>
        <v>2</v>
      </c>
      <c r="F7" s="40">
        <f>SUMIFS('KENDARAAN DINAS'!$P:$P,'KENDARAAN DINAS'!$U:$U,$E$3,'KENDARAAN DINAS'!$T:$T,A7)</f>
        <v>927000000</v>
      </c>
      <c r="G7" s="37">
        <f>SUMIFS('KENDARAAN DINAS'!$O:$O,'KENDARAAN DINAS'!$U:$U,$G$3,'KENDARAAN DINAS'!$T:$T,A7)</f>
        <v>0</v>
      </c>
      <c r="H7" s="40">
        <f>SUMIFS('KENDARAAN DINAS'!$P:$P,'KENDARAAN DINAS'!$U:$U,$G$3,'KENDARAAN DINAS'!$T:$T,A7)</f>
        <v>0</v>
      </c>
      <c r="I7" s="37">
        <f>SUMIFS('KENDARAAN DINAS'!$O:$O,'KENDARAAN DINAS'!$U:$U,$I$3,'KENDARAAN DINAS'!$T:$T,A7)</f>
        <v>0</v>
      </c>
      <c r="J7" s="40">
        <f>SUMIFS('KENDARAAN DINAS'!$P:$P,'KENDARAAN DINAS'!$U:$U,$I$3,'KENDARAAN DINAS'!$T:$T,A7)</f>
        <v>0</v>
      </c>
      <c r="K7" s="37">
        <f>SUMIFS('KENDARAAN DINAS'!$O:$O,'KENDARAAN DINAS'!$U:$U,$K$3,'KENDARAAN DINAS'!$T:$T,A7)</f>
        <v>0</v>
      </c>
      <c r="L7" s="40">
        <f>SUMIFS('KENDARAAN DINAS'!$P:$P,'KENDARAAN DINAS'!$U:$U,$K$3,'KENDARAAN DINAS'!$T:$T,A8)</f>
        <v>0</v>
      </c>
      <c r="M7" s="37">
        <f>SUMIFS('KENDARAAN DINAS'!$O:$O,'KENDARAAN DINAS'!$U:$U,$M$3,'KENDARAAN DINAS'!$T:$T,A7)</f>
        <v>0</v>
      </c>
      <c r="N7" s="40">
        <f>SUMIFS('KENDARAAN DINAS'!$P:$P,'KENDARAAN DINAS'!$U:$U,$M$3,'KENDARAAN DINAS'!$T:$T,A7)</f>
        <v>0</v>
      </c>
      <c r="O7" s="37">
        <f t="shared" ref="O7:P7" si="3">C7+E7+G7+I7+K7+M7</f>
        <v>17</v>
      </c>
      <c r="P7" s="62">
        <f t="shared" si="3"/>
        <v>1254325000</v>
      </c>
      <c r="Q7" s="16"/>
    </row>
    <row r="8" spans="1:18" ht="14.25" customHeight="1" x14ac:dyDescent="0.35">
      <c r="A8" s="34">
        <v>5</v>
      </c>
      <c r="B8" s="35" t="s">
        <v>106</v>
      </c>
      <c r="C8" s="37">
        <f>SUMIFS('KENDARAAN DINAS'!$O:$O,'KENDARAAN DINAS'!$U:$U,'REKAP KENDARAAN DINAS'!$C$3,'KENDARAAN DINAS'!$T:$T,'REKAP KENDARAAN DINAS'!A8)</f>
        <v>40</v>
      </c>
      <c r="D8" s="40">
        <f>SUMIFS('KENDARAAN DINAS'!$P:$P,'KENDARAAN DINAS'!$U:$U,'REKAP KENDARAAN DINAS'!$C$3,'KENDARAAN DINAS'!$T:$T,A8)</f>
        <v>1670594510</v>
      </c>
      <c r="E8" s="37">
        <f>SUMIFS('KENDARAAN DINAS'!$O:$O,'KENDARAAN DINAS'!$U:$U,$E$3,'KENDARAAN DINAS'!$T:$T,A8)</f>
        <v>7</v>
      </c>
      <c r="F8" s="40">
        <f>SUMIFS('KENDARAAN DINAS'!$P:$P,'KENDARAAN DINAS'!$U:$U,$E$3,'KENDARAAN DINAS'!$T:$T,A8)</f>
        <v>3173510000</v>
      </c>
      <c r="G8" s="37">
        <f>SUMIFS('KENDARAAN DINAS'!$O:$O,'KENDARAAN DINAS'!$U:$U,$G$3,'KENDARAAN DINAS'!$T:$T,A8)</f>
        <v>0</v>
      </c>
      <c r="H8" s="40">
        <f>SUMIFS('KENDARAAN DINAS'!$P:$P,'KENDARAAN DINAS'!$U:$U,$G$3,'KENDARAAN DINAS'!$T:$T,A8)</f>
        <v>0</v>
      </c>
      <c r="I8" s="37">
        <f>SUMIFS('KENDARAAN DINAS'!$O:$O,'KENDARAAN DINAS'!$U:$U,$I$3,'KENDARAAN DINAS'!$T:$T,A8)</f>
        <v>12</v>
      </c>
      <c r="J8" s="40">
        <f>SUMIFS('KENDARAAN DINAS'!$P:$P,'KENDARAAN DINAS'!$U:$U,$I$3,'KENDARAAN DINAS'!$T:$T,A8)</f>
        <v>7635264015</v>
      </c>
      <c r="K8" s="37">
        <f>SUMIFS('KENDARAAN DINAS'!$O:$O,'KENDARAAN DINAS'!$U:$U,$K$3,'KENDARAAN DINAS'!$T:$T,A8)</f>
        <v>0</v>
      </c>
      <c r="L8" s="40">
        <f>SUMIFS('KENDARAAN DINAS'!$P:$P,'KENDARAAN DINAS'!$U:$U,$K$3,'KENDARAAN DINAS'!$T:$T,A9)</f>
        <v>0</v>
      </c>
      <c r="M8" s="37">
        <f>SUMIFS('KENDARAAN DINAS'!$O:$O,'KENDARAAN DINAS'!$U:$U,$M$3,'KENDARAAN DINAS'!$T:$T,A8)</f>
        <v>0</v>
      </c>
      <c r="N8" s="40">
        <f>SUMIFS('KENDARAAN DINAS'!$P:$P,'KENDARAAN DINAS'!$U:$U,$M$3,'KENDARAAN DINAS'!$T:$T,A8)</f>
        <v>0</v>
      </c>
      <c r="O8" s="37">
        <f t="shared" ref="O8:P8" si="4">C8+E8+G8+I8+K8+M8</f>
        <v>59</v>
      </c>
      <c r="P8" s="62">
        <f t="shared" si="4"/>
        <v>12479368525</v>
      </c>
      <c r="Q8" s="16"/>
    </row>
    <row r="9" spans="1:18" ht="14.25" customHeight="1" x14ac:dyDescent="0.35">
      <c r="A9" s="34">
        <v>6</v>
      </c>
      <c r="B9" s="35" t="s">
        <v>128</v>
      </c>
      <c r="C9" s="37">
        <f>SUMIFS('KENDARAAN DINAS'!$O:$O,'KENDARAAN DINAS'!$U:$U,'REKAP KENDARAAN DINAS'!$C$3,'KENDARAAN DINAS'!$T:$T,'REKAP KENDARAAN DINAS'!A9)</f>
        <v>24</v>
      </c>
      <c r="D9" s="40">
        <f>SUMIFS('KENDARAAN DINAS'!$P:$P,'KENDARAAN DINAS'!$U:$U,'REKAP KENDARAAN DINAS'!$C$3,'KENDARAAN DINAS'!$T:$T,A9)</f>
        <v>565149333</v>
      </c>
      <c r="E9" s="37">
        <f>SUMIFS('KENDARAAN DINAS'!$O:$O,'KENDARAAN DINAS'!$U:$U,$E$3,'KENDARAAN DINAS'!$T:$T,A9)</f>
        <v>2</v>
      </c>
      <c r="F9" s="40">
        <f>SUMIFS('KENDARAAN DINAS'!$P:$P,'KENDARAAN DINAS'!$U:$U,$E$3,'KENDARAAN DINAS'!$T:$T,A9)</f>
        <v>744200000</v>
      </c>
      <c r="G9" s="37">
        <f>SUMIFS('KENDARAAN DINAS'!$O:$O,'KENDARAAN DINAS'!$U:$U,$G$3,'KENDARAAN DINAS'!$T:$T,A9)</f>
        <v>0</v>
      </c>
      <c r="H9" s="40">
        <f>SUMIFS('KENDARAAN DINAS'!$P:$P,'KENDARAAN DINAS'!$U:$U,$G$3,'KENDARAAN DINAS'!$T:$T,A9)</f>
        <v>0</v>
      </c>
      <c r="I9" s="37">
        <f>SUMIFS('KENDARAAN DINAS'!$O:$O,'KENDARAAN DINAS'!$U:$U,$I$3,'KENDARAAN DINAS'!$T:$T,A9)</f>
        <v>0</v>
      </c>
      <c r="J9" s="40">
        <f>SUMIFS('KENDARAAN DINAS'!$P:$P,'KENDARAAN DINAS'!$U:$U,$I$3,'KENDARAAN DINAS'!$T:$T,A9)</f>
        <v>0</v>
      </c>
      <c r="K9" s="37">
        <f>SUMIFS('KENDARAAN DINAS'!$O:$O,'KENDARAAN DINAS'!$U:$U,$K$3,'KENDARAAN DINAS'!$T:$T,A9)</f>
        <v>0</v>
      </c>
      <c r="L9" s="40">
        <f>SUMIFS('KENDARAAN DINAS'!$P:$P,'KENDARAAN DINAS'!$U:$U,$K$3,'KENDARAAN DINAS'!$T:$T,A10)</f>
        <v>0</v>
      </c>
      <c r="M9" s="37">
        <f>SUMIFS('KENDARAAN DINAS'!$O:$O,'KENDARAAN DINAS'!$U:$U,$M$3,'KENDARAAN DINAS'!$T:$T,A9)</f>
        <v>0</v>
      </c>
      <c r="N9" s="40">
        <f>SUMIFS('KENDARAAN DINAS'!$P:$P,'KENDARAAN DINAS'!$U:$U,$M$3,'KENDARAAN DINAS'!$T:$T,A9)</f>
        <v>0</v>
      </c>
      <c r="O9" s="37">
        <f t="shared" ref="O9:P9" si="5">C9+E9+G9+I9+K9+M9</f>
        <v>26</v>
      </c>
      <c r="P9" s="62">
        <f t="shared" si="5"/>
        <v>1309349333</v>
      </c>
      <c r="Q9" s="16"/>
    </row>
    <row r="10" spans="1:18" ht="14.25" customHeight="1" x14ac:dyDescent="0.35">
      <c r="A10" s="34">
        <v>7</v>
      </c>
      <c r="B10" s="35" t="s">
        <v>153</v>
      </c>
      <c r="C10" s="37">
        <f>SUMIFS('KENDARAAN DINAS'!$O:$O,'KENDARAAN DINAS'!$U:$U,'REKAP KENDARAAN DINAS'!$C$3,'KENDARAAN DINAS'!$T:$T,'REKAP KENDARAAN DINAS'!A10)</f>
        <v>8</v>
      </c>
      <c r="D10" s="40">
        <f>SUMIFS('KENDARAAN DINAS'!$P:$P,'KENDARAAN DINAS'!$U:$U,'REKAP KENDARAAN DINAS'!$C$3,'KENDARAAN DINAS'!$T:$T,A10)</f>
        <v>218588000</v>
      </c>
      <c r="E10" s="37">
        <f>SUMIFS('KENDARAAN DINAS'!$O:$O,'KENDARAAN DINAS'!$U:$U,$E$3,'KENDARAAN DINAS'!$T:$T,A10)</f>
        <v>4</v>
      </c>
      <c r="F10" s="40">
        <f>SUMIFS('KENDARAAN DINAS'!$P:$P,'KENDARAAN DINAS'!$U:$U,$E$3,'KENDARAAN DINAS'!$T:$T,A10)</f>
        <v>1406720000</v>
      </c>
      <c r="G10" s="37">
        <f>SUMIFS('KENDARAAN DINAS'!$O:$O,'KENDARAAN DINAS'!$U:$U,$G$3,'KENDARAAN DINAS'!$T:$T,A10)</f>
        <v>0</v>
      </c>
      <c r="H10" s="40">
        <f>SUMIFS('KENDARAAN DINAS'!$P:$P,'KENDARAAN DINAS'!$U:$U,$G$3,'KENDARAAN DINAS'!$T:$T,A10)</f>
        <v>0</v>
      </c>
      <c r="I10" s="37">
        <f>SUMIFS('KENDARAAN DINAS'!$O:$O,'KENDARAAN DINAS'!$U:$U,$I$3,'KENDARAAN DINAS'!$T:$T,A10)</f>
        <v>1</v>
      </c>
      <c r="J10" s="40">
        <f>SUMIFS('KENDARAAN DINAS'!$P:$P,'KENDARAAN DINAS'!$U:$U,$I$3,'KENDARAAN DINAS'!$T:$T,A10)</f>
        <v>358291000</v>
      </c>
      <c r="K10" s="37">
        <f>SUMIFS('KENDARAAN DINAS'!$O:$O,'KENDARAAN DINAS'!$U:$U,$K$3,'KENDARAAN DINAS'!$T:$T,A10)</f>
        <v>0</v>
      </c>
      <c r="L10" s="40">
        <f>SUMIFS('KENDARAAN DINAS'!$P:$P,'KENDARAAN DINAS'!$U:$U,$K$3,'KENDARAAN DINAS'!$T:$T,A11)</f>
        <v>0</v>
      </c>
      <c r="M10" s="37">
        <f>SUMIFS('KENDARAAN DINAS'!$O:$O,'KENDARAAN DINAS'!$U:$U,$M$3,'KENDARAAN DINAS'!$T:$T,A10)</f>
        <v>0</v>
      </c>
      <c r="N10" s="40">
        <f>SUMIFS('KENDARAAN DINAS'!$P:$P,'KENDARAAN DINAS'!$U:$U,$M$3,'KENDARAAN DINAS'!$T:$T,A10)</f>
        <v>0</v>
      </c>
      <c r="O10" s="37">
        <f t="shared" ref="O10:P10" si="6">C10+E10+G10+I10+K10+M10</f>
        <v>13</v>
      </c>
      <c r="P10" s="62">
        <f t="shared" si="6"/>
        <v>1983599000</v>
      </c>
      <c r="Q10" s="16"/>
    </row>
    <row r="11" spans="1:18" ht="14.25" customHeight="1" x14ac:dyDescent="0.35">
      <c r="A11" s="34">
        <v>8</v>
      </c>
      <c r="B11" s="35" t="s">
        <v>182</v>
      </c>
      <c r="C11" s="37">
        <f>SUMIFS('KENDARAAN DINAS'!$O:$O,'KENDARAAN DINAS'!$U:$U,'REKAP KENDARAAN DINAS'!$C$3,'KENDARAAN DINAS'!$T:$T,'REKAP KENDARAAN DINAS'!A11)</f>
        <v>9</v>
      </c>
      <c r="D11" s="40">
        <f>SUMIFS('KENDARAAN DINAS'!$P:$P,'KENDARAAN DINAS'!$U:$U,'REKAP KENDARAAN DINAS'!$C$3,'KENDARAAN DINAS'!$T:$T,A11)</f>
        <v>167628300</v>
      </c>
      <c r="E11" s="37">
        <f>SUMIFS('KENDARAAN DINAS'!$O:$O,'KENDARAAN DINAS'!$U:$U,$E$3,'KENDARAAN DINAS'!$T:$T,A11)</f>
        <v>2</v>
      </c>
      <c r="F11" s="40">
        <f>SUMIFS('KENDARAAN DINAS'!$P:$P,'KENDARAAN DINAS'!$U:$U,$E$3,'KENDARAAN DINAS'!$T:$T,A11)</f>
        <v>532945000</v>
      </c>
      <c r="G11" s="37">
        <f>SUMIFS('KENDARAAN DINAS'!$O:$O,'KENDARAAN DINAS'!$U:$U,$G$3,'KENDARAAN DINAS'!$T:$T,A11)</f>
        <v>0</v>
      </c>
      <c r="H11" s="40">
        <f>SUMIFS('KENDARAAN DINAS'!$P:$P,'KENDARAAN DINAS'!$U:$U,$G$3,'KENDARAAN DINAS'!$T:$T,A11)</f>
        <v>0</v>
      </c>
      <c r="I11" s="37">
        <f>SUMIFS('KENDARAAN DINAS'!$O:$O,'KENDARAAN DINAS'!$U:$U,$I$3,'KENDARAAN DINAS'!$T:$T,A11)</f>
        <v>0</v>
      </c>
      <c r="J11" s="40">
        <f>SUMIFS('KENDARAAN DINAS'!$P:$P,'KENDARAAN DINAS'!$U:$U,$I$3,'KENDARAAN DINAS'!$T:$T,A11)</f>
        <v>0</v>
      </c>
      <c r="K11" s="37">
        <f>SUMIFS('KENDARAAN DINAS'!$O:$O,'KENDARAAN DINAS'!$U:$U,$K$3,'KENDARAAN DINAS'!$T:$T,A11)</f>
        <v>0</v>
      </c>
      <c r="L11" s="40">
        <f>SUMIFS('KENDARAAN DINAS'!$P:$P,'KENDARAAN DINAS'!$U:$U,$K$3,'KENDARAAN DINAS'!$T:$T,A12)</f>
        <v>0</v>
      </c>
      <c r="M11" s="37">
        <f>SUMIFS('KENDARAAN DINAS'!$O:$O,'KENDARAAN DINAS'!$U:$U,$M$3,'KENDARAAN DINAS'!$T:$T,A11)</f>
        <v>0</v>
      </c>
      <c r="N11" s="40">
        <f>SUMIFS('KENDARAAN DINAS'!$P:$P,'KENDARAAN DINAS'!$U:$U,$M$3,'KENDARAAN DINAS'!$T:$T,A11)</f>
        <v>0</v>
      </c>
      <c r="O11" s="37">
        <f t="shared" ref="O11:P11" si="7">C11+E11+G11+I11+K11+M11</f>
        <v>11</v>
      </c>
      <c r="P11" s="62">
        <f t="shared" si="7"/>
        <v>700573300</v>
      </c>
      <c r="Q11" s="16"/>
    </row>
    <row r="12" spans="1:18" ht="14.25" customHeight="1" x14ac:dyDescent="0.35">
      <c r="A12" s="34">
        <v>9</v>
      </c>
      <c r="B12" s="35" t="s">
        <v>193</v>
      </c>
      <c r="C12" s="37">
        <f>SUMIFS('KENDARAAN DINAS'!$O:$O,'KENDARAAN DINAS'!$U:$U,'REKAP KENDARAAN DINAS'!$C$3,'KENDARAAN DINAS'!$T:$T,'REKAP KENDARAAN DINAS'!A12)</f>
        <v>10</v>
      </c>
      <c r="D12" s="40">
        <f>SUMIFS('KENDARAAN DINAS'!$P:$P,'KENDARAAN DINAS'!$U:$U,'REKAP KENDARAAN DINAS'!$C$3,'KENDARAAN DINAS'!$T:$T,A12)</f>
        <v>178791600</v>
      </c>
      <c r="E12" s="37">
        <f>SUMIFS('KENDARAAN DINAS'!$O:$O,'KENDARAAN DINAS'!$U:$U,$E$3,'KENDARAAN DINAS'!$T:$T,A12)</f>
        <v>3</v>
      </c>
      <c r="F12" s="40">
        <f>SUMIFS('KENDARAAN DINAS'!$P:$P,'KENDARAAN DINAS'!$U:$U,$E$3,'KENDARAAN DINAS'!$T:$T,A12)</f>
        <v>1163270000</v>
      </c>
      <c r="G12" s="37">
        <f>SUMIFS('KENDARAAN DINAS'!$O:$O,'KENDARAAN DINAS'!$U:$U,$G$3,'KENDARAAN DINAS'!$T:$T,A12)</f>
        <v>0</v>
      </c>
      <c r="H12" s="40">
        <f>SUMIFS('KENDARAAN DINAS'!$P:$P,'KENDARAAN DINAS'!$U:$U,$G$3,'KENDARAAN DINAS'!$T:$T,A12)</f>
        <v>0</v>
      </c>
      <c r="I12" s="37">
        <f>SUMIFS('KENDARAAN DINAS'!$O:$O,'KENDARAAN DINAS'!$U:$U,$I$3,'KENDARAAN DINAS'!$T:$T,A12)</f>
        <v>0</v>
      </c>
      <c r="J12" s="40">
        <f>SUMIFS('KENDARAAN DINAS'!$P:$P,'KENDARAAN DINAS'!$U:$U,$I$3,'KENDARAAN DINAS'!$T:$T,A12)</f>
        <v>0</v>
      </c>
      <c r="K12" s="37">
        <f>SUMIFS('KENDARAAN DINAS'!$O:$O,'KENDARAAN DINAS'!$U:$U,$K$3,'KENDARAAN DINAS'!$T:$T,A12)</f>
        <v>0</v>
      </c>
      <c r="L12" s="40">
        <f>SUMIFS('KENDARAAN DINAS'!$P:$P,'KENDARAAN DINAS'!$U:$U,$K$3,'KENDARAAN DINAS'!$T:$T,A13)</f>
        <v>0</v>
      </c>
      <c r="M12" s="37">
        <f>SUMIFS('KENDARAAN DINAS'!$O:$O,'KENDARAAN DINAS'!$U:$U,$M$3,'KENDARAAN DINAS'!$T:$T,A12)</f>
        <v>0</v>
      </c>
      <c r="N12" s="40">
        <f>SUMIFS('KENDARAAN DINAS'!$P:$P,'KENDARAAN DINAS'!$U:$U,$M$3,'KENDARAAN DINAS'!$T:$T,A12)</f>
        <v>0</v>
      </c>
      <c r="O12" s="37">
        <f t="shared" ref="O12:P12" si="8">C12+E12+G12+I12+K12+M12</f>
        <v>13</v>
      </c>
      <c r="P12" s="62">
        <f t="shared" si="8"/>
        <v>1342061600</v>
      </c>
      <c r="Q12" s="16"/>
    </row>
    <row r="13" spans="1:18" ht="14.25" customHeight="1" x14ac:dyDescent="0.35">
      <c r="A13" s="34">
        <v>10</v>
      </c>
      <c r="B13" s="35" t="s">
        <v>204</v>
      </c>
      <c r="C13" s="37">
        <f>SUMIFS('KENDARAAN DINAS'!$O:$O,'KENDARAAN DINAS'!$U:$U,'REKAP KENDARAAN DINAS'!$C$3,'KENDARAAN DINAS'!$T:$T,'REKAP KENDARAAN DINAS'!A13)</f>
        <v>13</v>
      </c>
      <c r="D13" s="40">
        <f>SUMIFS('KENDARAAN DINAS'!$P:$P,'KENDARAAN DINAS'!$U:$U,'REKAP KENDARAAN DINAS'!$C$3,'KENDARAAN DINAS'!$T:$T,A13)</f>
        <v>213429983</v>
      </c>
      <c r="E13" s="37">
        <f>SUMIFS('KENDARAAN DINAS'!$O:$O,'KENDARAAN DINAS'!$U:$U,$E$3,'KENDARAAN DINAS'!$T:$T,A13)</f>
        <v>2</v>
      </c>
      <c r="F13" s="40">
        <f>SUMIFS('KENDARAAN DINAS'!$P:$P,'KENDARAAN DINAS'!$U:$U,$E$3,'KENDARAAN DINAS'!$T:$T,A13)</f>
        <v>472787200</v>
      </c>
      <c r="G13" s="37">
        <f>SUMIFS('KENDARAAN DINAS'!$O:$O,'KENDARAAN DINAS'!$U:$U,$G$3,'KENDARAAN DINAS'!$T:$T,A13)</f>
        <v>0</v>
      </c>
      <c r="H13" s="40">
        <f>SUMIFS('KENDARAAN DINAS'!$P:$P,'KENDARAAN DINAS'!$U:$U,$G$3,'KENDARAAN DINAS'!$T:$T,A13)</f>
        <v>0</v>
      </c>
      <c r="I13" s="37">
        <f>SUMIFS('KENDARAAN DINAS'!$O:$O,'KENDARAAN DINAS'!$U:$U,$I$3,'KENDARAAN DINAS'!$T:$T,A13)</f>
        <v>0</v>
      </c>
      <c r="J13" s="40">
        <f>SUMIFS('KENDARAAN DINAS'!$P:$P,'KENDARAAN DINAS'!$U:$U,$I$3,'KENDARAAN DINAS'!$T:$T,A13)</f>
        <v>0</v>
      </c>
      <c r="K13" s="37">
        <f>SUMIFS('KENDARAAN DINAS'!$O:$O,'KENDARAAN DINAS'!$U:$U,$K$3,'KENDARAAN DINAS'!$T:$T,A13)</f>
        <v>0</v>
      </c>
      <c r="L13" s="40">
        <f>SUMIFS('KENDARAAN DINAS'!$P:$P,'KENDARAAN DINAS'!$U:$U,$K$3,'KENDARAAN DINAS'!$T:$T,A14)</f>
        <v>0</v>
      </c>
      <c r="M13" s="37">
        <f>SUMIFS('KENDARAAN DINAS'!$O:$O,'KENDARAAN DINAS'!$U:$U,$M$3,'KENDARAAN DINAS'!$T:$T,A13)</f>
        <v>0</v>
      </c>
      <c r="N13" s="40">
        <f>SUMIFS('KENDARAAN DINAS'!$P:$P,'KENDARAAN DINAS'!$U:$U,$M$3,'KENDARAAN DINAS'!$T:$T,A13)</f>
        <v>0</v>
      </c>
      <c r="O13" s="37">
        <f t="shared" ref="O13:P13" si="9">C13+E13+G13+I13+K13+M13</f>
        <v>15</v>
      </c>
      <c r="P13" s="62">
        <f t="shared" si="9"/>
        <v>686217183</v>
      </c>
      <c r="Q13" s="16"/>
    </row>
    <row r="14" spans="1:18" ht="14.25" customHeight="1" x14ac:dyDescent="0.35">
      <c r="A14" s="34">
        <v>11</v>
      </c>
      <c r="B14" s="35" t="s">
        <v>234</v>
      </c>
      <c r="C14" s="37">
        <f>SUMIFS('KENDARAAN DINAS'!$O:$O,'KENDARAAN DINAS'!$U:$U,'REKAP KENDARAAN DINAS'!$C$3,'KENDARAAN DINAS'!$T:$T,'REKAP KENDARAAN DINAS'!A14)</f>
        <v>24</v>
      </c>
      <c r="D14" s="40">
        <f>SUMIFS('KENDARAAN DINAS'!$P:$P,'KENDARAAN DINAS'!$U:$U,'REKAP KENDARAAN DINAS'!$C$3,'KENDARAAN DINAS'!$T:$T,A14)</f>
        <v>469707333</v>
      </c>
      <c r="E14" s="37">
        <f>SUMIFS('KENDARAAN DINAS'!$O:$O,'KENDARAAN DINAS'!$U:$U,$E$3,'KENDARAAN DINAS'!$T:$T,A14)</f>
        <v>2</v>
      </c>
      <c r="F14" s="40">
        <f>SUMIFS('KENDARAAN DINAS'!$P:$P,'KENDARAAN DINAS'!$U:$U,$E$3,'KENDARAAN DINAS'!$T:$T,A14)</f>
        <v>907095000</v>
      </c>
      <c r="G14" s="37">
        <f>SUMIFS('KENDARAAN DINAS'!$O:$O,'KENDARAAN DINAS'!$U:$U,$G$3,'KENDARAAN DINAS'!$T:$T,A14)</f>
        <v>0</v>
      </c>
      <c r="H14" s="40">
        <f>SUMIFS('KENDARAAN DINAS'!$P:$P,'KENDARAAN DINAS'!$U:$U,$G$3,'KENDARAAN DINAS'!$T:$T,A14)</f>
        <v>0</v>
      </c>
      <c r="I14" s="37">
        <f>SUMIFS('KENDARAAN DINAS'!$O:$O,'KENDARAAN DINAS'!$U:$U,$I$3,'KENDARAAN DINAS'!$T:$T,A14)</f>
        <v>0</v>
      </c>
      <c r="J14" s="40">
        <f>SUMIFS('KENDARAAN DINAS'!$P:$P,'KENDARAAN DINAS'!$U:$U,$I$3,'KENDARAAN DINAS'!$T:$T,A14)</f>
        <v>0</v>
      </c>
      <c r="K14" s="37">
        <f>SUMIFS('KENDARAAN DINAS'!$O:$O,'KENDARAAN DINAS'!$U:$U,$K$3,'KENDARAAN DINAS'!$T:$T,A14)</f>
        <v>0</v>
      </c>
      <c r="L14" s="40">
        <f>SUMIFS('KENDARAAN DINAS'!$P:$P,'KENDARAAN DINAS'!$U:$U,$K$3,'KENDARAAN DINAS'!$T:$T,A15)</f>
        <v>0</v>
      </c>
      <c r="M14" s="37">
        <f>SUMIFS('KENDARAAN DINAS'!$O:$O,'KENDARAAN DINAS'!$U:$U,$M$3,'KENDARAAN DINAS'!$T:$T,A14)</f>
        <v>0</v>
      </c>
      <c r="N14" s="40">
        <f>SUMIFS('KENDARAAN DINAS'!$P:$P,'KENDARAAN DINAS'!$U:$U,$M$3,'KENDARAAN DINAS'!$T:$T,A14)</f>
        <v>0</v>
      </c>
      <c r="O14" s="37">
        <f t="shared" ref="O14:P14" si="10">C14+E14+G14+I14+K14+M14</f>
        <v>26</v>
      </c>
      <c r="P14" s="62">
        <f t="shared" si="10"/>
        <v>1376802333</v>
      </c>
      <c r="Q14" s="16"/>
    </row>
    <row r="15" spans="1:18" ht="14.25" customHeight="1" x14ac:dyDescent="0.35">
      <c r="A15" s="34">
        <v>12</v>
      </c>
      <c r="B15" s="35" t="s">
        <v>258</v>
      </c>
      <c r="C15" s="37">
        <f>SUMIFS('KENDARAAN DINAS'!$O:$O,'KENDARAAN DINAS'!$U:$U,'REKAP KENDARAAN DINAS'!$C$3,'KENDARAAN DINAS'!$T:$T,'REKAP KENDARAAN DINAS'!A15)</f>
        <v>78</v>
      </c>
      <c r="D15" s="40">
        <f>SUMIFS('KENDARAAN DINAS'!$P:$P,'KENDARAAN DINAS'!$U:$U,'REKAP KENDARAAN DINAS'!$C$3,'KENDARAAN DINAS'!$T:$T,A15)</f>
        <v>1174700483</v>
      </c>
      <c r="E15" s="37">
        <f>SUMIFS('KENDARAAN DINAS'!$O:$O,'KENDARAAN DINAS'!$U:$U,$E$3,'KENDARAAN DINAS'!$T:$T,A15)</f>
        <v>5</v>
      </c>
      <c r="F15" s="40">
        <f>SUMIFS('KENDARAAN DINAS'!$P:$P,'KENDARAAN DINAS'!$U:$U,$E$3,'KENDARAAN DINAS'!$T:$T,A15)</f>
        <v>1154160000</v>
      </c>
      <c r="G15" s="37">
        <f>SUMIFS('KENDARAAN DINAS'!$O:$O,'KENDARAAN DINAS'!$U:$U,$G$3,'KENDARAAN DINAS'!$T:$T,A15)</f>
        <v>0</v>
      </c>
      <c r="H15" s="40">
        <f>SUMIFS('KENDARAAN DINAS'!$P:$P,'KENDARAAN DINAS'!$U:$U,$G$3,'KENDARAAN DINAS'!$T:$T,A15)</f>
        <v>0</v>
      </c>
      <c r="I15" s="37">
        <f>SUMIFS('KENDARAAN DINAS'!$O:$O,'KENDARAAN DINAS'!$U:$U,$I$3,'KENDARAAN DINAS'!$T:$T,A15)</f>
        <v>0</v>
      </c>
      <c r="J15" s="40">
        <f>SUMIFS('KENDARAAN DINAS'!$P:$P,'KENDARAAN DINAS'!$U:$U,$I$3,'KENDARAAN DINAS'!$T:$T,A15)</f>
        <v>0</v>
      </c>
      <c r="K15" s="37">
        <f>SUMIFS('KENDARAAN DINAS'!$O:$O,'KENDARAAN DINAS'!$U:$U,$K$3,'KENDARAAN DINAS'!$T:$T,A15)</f>
        <v>0</v>
      </c>
      <c r="L15" s="40">
        <f>SUMIFS('KENDARAAN DINAS'!$P:$P,'KENDARAAN DINAS'!$U:$U,$K$3,'KENDARAAN DINAS'!$T:$T,A16)</f>
        <v>0</v>
      </c>
      <c r="M15" s="37">
        <f>SUMIFS('KENDARAAN DINAS'!$O:$O,'KENDARAAN DINAS'!$U:$U,$M$3,'KENDARAAN DINAS'!$T:$T,A15)</f>
        <v>0</v>
      </c>
      <c r="N15" s="40">
        <f>SUMIFS('KENDARAAN DINAS'!$P:$P,'KENDARAAN DINAS'!$U:$U,$M$3,'KENDARAAN DINAS'!$T:$T,A15)</f>
        <v>0</v>
      </c>
      <c r="O15" s="37">
        <f t="shared" ref="O15:P15" si="11">C15+E15+G15+I15+K15+M15</f>
        <v>83</v>
      </c>
      <c r="P15" s="62">
        <f t="shared" si="11"/>
        <v>2328860483</v>
      </c>
      <c r="Q15" s="16"/>
    </row>
    <row r="16" spans="1:18" ht="14.25" customHeight="1" x14ac:dyDescent="0.35">
      <c r="A16" s="34">
        <v>13</v>
      </c>
      <c r="B16" s="35" t="s">
        <v>283</v>
      </c>
      <c r="C16" s="37">
        <f>SUMIFS('KENDARAAN DINAS'!$O:$O,'KENDARAAN DINAS'!$U:$U,'REKAP KENDARAAN DINAS'!$C$3,'KENDARAAN DINAS'!$T:$T,'REKAP KENDARAAN DINAS'!A16)</f>
        <v>30</v>
      </c>
      <c r="D16" s="40">
        <f>SUMIFS('KENDARAAN DINAS'!$P:$P,'KENDARAAN DINAS'!$U:$U,'REKAP KENDARAAN DINAS'!$C$3,'KENDARAAN DINAS'!$T:$T,A16)</f>
        <v>950437082</v>
      </c>
      <c r="E16" s="37">
        <f>SUMIFS('KENDARAAN DINAS'!$O:$O,'KENDARAAN DINAS'!$U:$U,$E$3,'KENDARAAN DINAS'!$T:$T,A16)</f>
        <v>5</v>
      </c>
      <c r="F16" s="40">
        <f>SUMIFS('KENDARAAN DINAS'!$P:$P,'KENDARAAN DINAS'!$U:$U,$E$3,'KENDARAAN DINAS'!$T:$T,A16)</f>
        <v>1794058500</v>
      </c>
      <c r="G16" s="37">
        <f>SUMIFS('KENDARAAN DINAS'!$O:$O,'KENDARAAN DINAS'!$U:$U,$G$3,'KENDARAAN DINAS'!$T:$T,A16)</f>
        <v>0</v>
      </c>
      <c r="H16" s="40">
        <f>SUMIFS('KENDARAAN DINAS'!$P:$P,'KENDARAAN DINAS'!$U:$U,$G$3,'KENDARAAN DINAS'!$T:$T,A16)</f>
        <v>0</v>
      </c>
      <c r="I16" s="37">
        <f>SUMIFS('KENDARAAN DINAS'!$O:$O,'KENDARAAN DINAS'!$U:$U,$I$3,'KENDARAAN DINAS'!$T:$T,A16)</f>
        <v>8</v>
      </c>
      <c r="J16" s="40">
        <f>SUMIFS('KENDARAAN DINAS'!$P:$P,'KENDARAAN DINAS'!$U:$U,$I$3,'KENDARAAN DINAS'!$T:$T,A16)</f>
        <v>5060263000</v>
      </c>
      <c r="K16" s="37">
        <f>SUMIFS('KENDARAAN DINAS'!$O:$O,'KENDARAAN DINAS'!$U:$U,$K$3,'KENDARAAN DINAS'!$T:$T,A16)</f>
        <v>0</v>
      </c>
      <c r="L16" s="40">
        <f>SUMIFS('KENDARAAN DINAS'!$P:$P,'KENDARAAN DINAS'!$U:$U,$K$3,'KENDARAAN DINAS'!$T:$T,A17)</f>
        <v>0</v>
      </c>
      <c r="M16" s="37">
        <f>SUMIFS('KENDARAAN DINAS'!$O:$O,'KENDARAAN DINAS'!$U:$U,$M$3,'KENDARAAN DINAS'!$T:$T,A16)</f>
        <v>0</v>
      </c>
      <c r="N16" s="40">
        <f>SUMIFS('KENDARAAN DINAS'!$P:$P,'KENDARAAN DINAS'!$U:$U,$M$3,'KENDARAAN DINAS'!$T:$T,A16)</f>
        <v>0</v>
      </c>
      <c r="O16" s="37">
        <f t="shared" ref="O16:P16" si="12">C16+E16+G16+I16+K16+M16</f>
        <v>43</v>
      </c>
      <c r="P16" s="62">
        <f t="shared" si="12"/>
        <v>7804758582</v>
      </c>
      <c r="Q16" s="16"/>
    </row>
    <row r="17" spans="1:18" ht="14.25" customHeight="1" x14ac:dyDescent="0.35">
      <c r="A17" s="34">
        <v>14</v>
      </c>
      <c r="B17" s="35" t="s">
        <v>309</v>
      </c>
      <c r="C17" s="37">
        <f>SUMIFS('KENDARAAN DINAS'!$O:$O,'KENDARAAN DINAS'!$U:$U,'REKAP KENDARAAN DINAS'!$C$3,'KENDARAAN DINAS'!$T:$T,'REKAP KENDARAAN DINAS'!A17)</f>
        <v>15</v>
      </c>
      <c r="D17" s="40">
        <f>SUMIFS('KENDARAAN DINAS'!$P:$P,'KENDARAAN DINAS'!$U:$U,'REKAP KENDARAAN DINAS'!$C$3,'KENDARAAN DINAS'!$T:$T,A17)</f>
        <v>251951100</v>
      </c>
      <c r="E17" s="37">
        <f>SUMIFS('KENDARAAN DINAS'!$O:$O,'KENDARAAN DINAS'!$U:$U,$E$3,'KENDARAAN DINAS'!$T:$T,A17)</f>
        <v>1</v>
      </c>
      <c r="F17" s="40">
        <f>SUMIFS('KENDARAAN DINAS'!$P:$P,'KENDARAAN DINAS'!$U:$U,$E$3,'KENDARAAN DINAS'!$T:$T,A17)</f>
        <v>240000000</v>
      </c>
      <c r="G17" s="37">
        <f>SUMIFS('KENDARAAN DINAS'!$O:$O,'KENDARAAN DINAS'!$U:$U,$G$3,'KENDARAAN DINAS'!$T:$T,A17)</f>
        <v>0</v>
      </c>
      <c r="H17" s="40">
        <f>SUMIFS('KENDARAAN DINAS'!$P:$P,'KENDARAAN DINAS'!$U:$U,$G$3,'KENDARAAN DINAS'!$T:$T,A17)</f>
        <v>0</v>
      </c>
      <c r="I17" s="37">
        <f>SUMIFS('KENDARAAN DINAS'!$O:$O,'KENDARAAN DINAS'!$U:$U,$I$3,'KENDARAAN DINAS'!$T:$T,A17)</f>
        <v>0</v>
      </c>
      <c r="J17" s="40">
        <f>SUMIFS('KENDARAAN DINAS'!$P:$P,'KENDARAAN DINAS'!$U:$U,$I$3,'KENDARAAN DINAS'!$T:$T,A17)</f>
        <v>0</v>
      </c>
      <c r="K17" s="37">
        <f>SUMIFS('KENDARAAN DINAS'!$O:$O,'KENDARAAN DINAS'!$U:$U,$K$3,'KENDARAAN DINAS'!$T:$T,A17)</f>
        <v>0</v>
      </c>
      <c r="L17" s="40">
        <f>SUMIFS('KENDARAAN DINAS'!$P:$P,'KENDARAAN DINAS'!$U:$U,$K$3,'KENDARAAN DINAS'!$T:$T,A18)</f>
        <v>0</v>
      </c>
      <c r="M17" s="37">
        <f>SUMIFS('KENDARAAN DINAS'!$O:$O,'KENDARAAN DINAS'!$U:$U,$M$3,'KENDARAAN DINAS'!$T:$T,A17)</f>
        <v>0</v>
      </c>
      <c r="N17" s="40">
        <f>SUMIFS('KENDARAAN DINAS'!$P:$P,'KENDARAAN DINAS'!$U:$U,$M$3,'KENDARAAN DINAS'!$T:$T,A17)</f>
        <v>0</v>
      </c>
      <c r="O17" s="37">
        <f t="shared" ref="O17:P17" si="13">C17+E17+G17+I17+K17+M17</f>
        <v>16</v>
      </c>
      <c r="P17" s="62">
        <f t="shared" si="13"/>
        <v>491951100</v>
      </c>
      <c r="Q17" s="16"/>
    </row>
    <row r="18" spans="1:18" ht="14.25" customHeight="1" x14ac:dyDescent="0.35">
      <c r="A18" s="34">
        <v>15</v>
      </c>
      <c r="B18" s="35" t="s">
        <v>333</v>
      </c>
      <c r="C18" s="37">
        <f>SUMIFS('KENDARAAN DINAS'!$O:$O,'KENDARAAN DINAS'!$U:$U,'REKAP KENDARAAN DINAS'!$C$3,'KENDARAAN DINAS'!$T:$T,'REKAP KENDARAAN DINAS'!A18)</f>
        <v>16</v>
      </c>
      <c r="D18" s="40">
        <f>SUMIFS('KENDARAAN DINAS'!$P:$P,'KENDARAAN DINAS'!$U:$U,'REKAP KENDARAAN DINAS'!$C$3,'KENDARAAN DINAS'!$T:$T,A18)</f>
        <v>264569162</v>
      </c>
      <c r="E18" s="37">
        <f>SUMIFS('KENDARAAN DINAS'!$O:$O,'KENDARAAN DINAS'!$U:$U,$E$3,'KENDARAAN DINAS'!$T:$T,A18)</f>
        <v>4</v>
      </c>
      <c r="F18" s="40">
        <f>SUMIFS('KENDARAAN DINAS'!$P:$P,'KENDARAAN DINAS'!$U:$U,$E$3,'KENDARAAN DINAS'!$T:$T,A18)</f>
        <v>1549210000</v>
      </c>
      <c r="G18" s="37">
        <f>SUMIFS('KENDARAAN DINAS'!$O:$O,'KENDARAAN DINAS'!$U:$U,$G$3,'KENDARAAN DINAS'!$T:$T,A18)</f>
        <v>0</v>
      </c>
      <c r="H18" s="40">
        <f>SUMIFS('KENDARAAN DINAS'!$P:$P,'KENDARAAN DINAS'!$U:$U,$G$3,'KENDARAAN DINAS'!$T:$T,A18)</f>
        <v>0</v>
      </c>
      <c r="I18" s="37">
        <f>SUMIFS('KENDARAAN DINAS'!$O:$O,'KENDARAAN DINAS'!$U:$U,$I$3,'KENDARAAN DINAS'!$T:$T,A18)</f>
        <v>0</v>
      </c>
      <c r="J18" s="40">
        <f>SUMIFS('KENDARAAN DINAS'!$P:$P,'KENDARAAN DINAS'!$U:$U,$I$3,'KENDARAAN DINAS'!$T:$T,A18)</f>
        <v>0</v>
      </c>
      <c r="K18" s="37">
        <f>SUMIFS('KENDARAAN DINAS'!$O:$O,'KENDARAAN DINAS'!$U:$U,$K$3,'KENDARAAN DINAS'!$T:$T,A18)</f>
        <v>0</v>
      </c>
      <c r="L18" s="40">
        <f>SUMIFS('KENDARAAN DINAS'!$P:$P,'KENDARAAN DINAS'!$U:$U,$K$3,'KENDARAAN DINAS'!$T:$T,A19)</f>
        <v>0</v>
      </c>
      <c r="M18" s="37">
        <f>SUMIFS('KENDARAAN DINAS'!$O:$O,'KENDARAAN DINAS'!$U:$U,$M$3,'KENDARAAN DINAS'!$T:$T,A18)</f>
        <v>0</v>
      </c>
      <c r="N18" s="40">
        <f>SUMIFS('KENDARAAN DINAS'!$P:$P,'KENDARAAN DINAS'!$U:$U,$M$3,'KENDARAAN DINAS'!$T:$T,A18)</f>
        <v>0</v>
      </c>
      <c r="O18" s="37">
        <f t="shared" ref="O18:P18" si="14">C18+E18+G18+I18+K18+M18</f>
        <v>20</v>
      </c>
      <c r="P18" s="62">
        <f t="shared" si="14"/>
        <v>1813779162</v>
      </c>
      <c r="Q18" s="16"/>
    </row>
    <row r="19" spans="1:18" ht="14.25" customHeight="1" x14ac:dyDescent="0.35">
      <c r="A19" s="34">
        <v>16</v>
      </c>
      <c r="B19" s="35" t="s">
        <v>354</v>
      </c>
      <c r="C19" s="37">
        <f>SUMIFS('KENDARAAN DINAS'!$O:$O,'KENDARAAN DINAS'!$U:$U,'REKAP KENDARAAN DINAS'!$C$3,'KENDARAAN DINAS'!$T:$T,'REKAP KENDARAAN DINAS'!A19)</f>
        <v>0</v>
      </c>
      <c r="D19" s="40">
        <f>SUMIFS('KENDARAAN DINAS'!$P:$P,'KENDARAAN DINAS'!$U:$U,'REKAP KENDARAAN DINAS'!$C$3,'KENDARAAN DINAS'!$T:$T,A19)</f>
        <v>299559364</v>
      </c>
      <c r="E19" s="37">
        <f>SUMIFS('KENDARAAN DINAS'!$O:$O,'KENDARAAN DINAS'!$U:$U,$E$3,'KENDARAAN DINAS'!$T:$T,A19)</f>
        <v>0</v>
      </c>
      <c r="F19" s="40">
        <f>SUMIFS('KENDARAAN DINAS'!$P:$P,'KENDARAAN DINAS'!$U:$U,$E$3,'KENDARAAN DINAS'!$T:$T,A19)</f>
        <v>3844704642</v>
      </c>
      <c r="G19" s="37">
        <f>SUMIFS('KENDARAAN DINAS'!$O:$O,'KENDARAAN DINAS'!$U:$U,$G$3,'KENDARAAN DINAS'!$T:$T,A19)</f>
        <v>0</v>
      </c>
      <c r="H19" s="40">
        <f>SUMIFS('KENDARAAN DINAS'!$P:$P,'KENDARAAN DINAS'!$U:$U,$G$3,'KENDARAAN DINAS'!$T:$T,A19)</f>
        <v>109375000</v>
      </c>
      <c r="I19" s="37">
        <f>SUMIFS('KENDARAAN DINAS'!$O:$O,'KENDARAAN DINAS'!$U:$U,$I$3,'KENDARAAN DINAS'!$T:$T,A19)</f>
        <v>0</v>
      </c>
      <c r="J19" s="40">
        <f>SUMIFS('KENDARAAN DINAS'!$P:$P,'KENDARAAN DINAS'!$U:$U,$I$3,'KENDARAAN DINAS'!$T:$T,A19)</f>
        <v>1498499200</v>
      </c>
      <c r="K19" s="37">
        <f>SUMIFS('KENDARAAN DINAS'!$O:$O,'KENDARAAN DINAS'!$U:$U,$K$3,'KENDARAAN DINAS'!$T:$T,A19)</f>
        <v>0</v>
      </c>
      <c r="L19" s="40">
        <f>SUMIFS('KENDARAAN DINAS'!$P:$P,'KENDARAAN DINAS'!$U:$U,$K$3,'KENDARAAN DINAS'!$T:$T,A20)</f>
        <v>0</v>
      </c>
      <c r="M19" s="37">
        <f>SUMIFS('KENDARAAN DINAS'!$O:$O,'KENDARAAN DINAS'!$U:$U,$M$3,'KENDARAAN DINAS'!$T:$T,A19)</f>
        <v>0</v>
      </c>
      <c r="N19" s="40">
        <f>SUMIFS('KENDARAAN DINAS'!$P:$P,'KENDARAAN DINAS'!$U:$U,$M$3,'KENDARAAN DINAS'!$T:$T,A19)</f>
        <v>0</v>
      </c>
      <c r="O19" s="37">
        <f t="shared" ref="O19:P19" si="15">C19+E19+G19+I19+K19+M19</f>
        <v>0</v>
      </c>
      <c r="P19" s="62">
        <f t="shared" si="15"/>
        <v>5752138206</v>
      </c>
      <c r="Q19" s="16"/>
    </row>
    <row r="20" spans="1:18" ht="14.25" customHeight="1" x14ac:dyDescent="0.35">
      <c r="A20" s="34">
        <v>17</v>
      </c>
      <c r="B20" s="35" t="s">
        <v>377</v>
      </c>
      <c r="C20" s="37">
        <f>SUMIFS('KENDARAAN DINAS'!$O:$O,'KENDARAAN DINAS'!$U:$U,'REKAP KENDARAAN DINAS'!$C$3,'KENDARAAN DINAS'!$T:$T,'REKAP KENDARAAN DINAS'!A20)</f>
        <v>15</v>
      </c>
      <c r="D20" s="40">
        <f>SUMIFS('KENDARAAN DINAS'!$P:$P,'KENDARAAN DINAS'!$U:$U,'REKAP KENDARAAN DINAS'!$C$3,'KENDARAAN DINAS'!$T:$T,A20)</f>
        <v>262114374</v>
      </c>
      <c r="E20" s="37">
        <f>SUMIFS('KENDARAAN DINAS'!$O:$O,'KENDARAAN DINAS'!$U:$U,$E$3,'KENDARAAN DINAS'!$T:$T,A20)</f>
        <v>2</v>
      </c>
      <c r="F20" s="40">
        <f>SUMIFS('KENDARAAN DINAS'!$P:$P,'KENDARAAN DINAS'!$U:$U,$E$3,'KENDARAAN DINAS'!$T:$T,A20)</f>
        <v>638467000</v>
      </c>
      <c r="G20" s="37">
        <f>SUMIFS('KENDARAAN DINAS'!$O:$O,'KENDARAAN DINAS'!$U:$U,$G$3,'KENDARAAN DINAS'!$T:$T,A20)</f>
        <v>0</v>
      </c>
      <c r="H20" s="40">
        <f>SUMIFS('KENDARAAN DINAS'!$P:$P,'KENDARAAN DINAS'!$U:$U,$G$3,'KENDARAAN DINAS'!$T:$T,A20)</f>
        <v>0</v>
      </c>
      <c r="I20" s="37">
        <f>SUMIFS('KENDARAAN DINAS'!$O:$O,'KENDARAAN DINAS'!$U:$U,$I$3,'KENDARAAN DINAS'!$T:$T,A20)</f>
        <v>0</v>
      </c>
      <c r="J20" s="40">
        <f>SUMIFS('KENDARAAN DINAS'!$P:$P,'KENDARAAN DINAS'!$U:$U,$I$3,'KENDARAAN DINAS'!$T:$T,A20)</f>
        <v>0</v>
      </c>
      <c r="K20" s="37">
        <f>SUMIFS('KENDARAAN DINAS'!$O:$O,'KENDARAAN DINAS'!$U:$U,$K$3,'KENDARAAN DINAS'!$T:$T,A20)</f>
        <v>0</v>
      </c>
      <c r="L20" s="40">
        <f>SUMIFS('KENDARAAN DINAS'!$P:$P,'KENDARAAN DINAS'!$U:$U,$K$3,'KENDARAAN DINAS'!$T:$T,A21)</f>
        <v>0</v>
      </c>
      <c r="M20" s="37">
        <f>SUMIFS('KENDARAAN DINAS'!$O:$O,'KENDARAAN DINAS'!$U:$U,$M$3,'KENDARAAN DINAS'!$T:$T,A20)</f>
        <v>0</v>
      </c>
      <c r="N20" s="40">
        <f>SUMIFS('KENDARAAN DINAS'!$P:$P,'KENDARAAN DINAS'!$U:$U,$M$3,'KENDARAAN DINAS'!$T:$T,A20)</f>
        <v>0</v>
      </c>
      <c r="O20" s="37">
        <f t="shared" ref="O20:P20" si="16">C20+E20+G20+I20+K20+M20</f>
        <v>17</v>
      </c>
      <c r="P20" s="62">
        <f t="shared" si="16"/>
        <v>900581374</v>
      </c>
      <c r="Q20" s="16"/>
    </row>
    <row r="21" spans="1:18" ht="14.25" customHeight="1" x14ac:dyDescent="0.35">
      <c r="A21" s="34">
        <v>18</v>
      </c>
      <c r="B21" s="35" t="s">
        <v>397</v>
      </c>
      <c r="C21" s="37">
        <f>SUMIFS('KENDARAAN DINAS'!$O:$O,'KENDARAAN DINAS'!$U:$U,'REKAP KENDARAAN DINAS'!$C$3,'KENDARAAN DINAS'!$T:$T,'REKAP KENDARAAN DINAS'!A21)</f>
        <v>19</v>
      </c>
      <c r="D21" s="40">
        <f>SUMIFS('KENDARAAN DINAS'!$P:$P,'KENDARAAN DINAS'!$U:$U,'REKAP KENDARAAN DINAS'!$C$3,'KENDARAAN DINAS'!$T:$T,A21)</f>
        <v>365288132</v>
      </c>
      <c r="E21" s="37">
        <f>SUMIFS('KENDARAAN DINAS'!$O:$O,'KENDARAAN DINAS'!$U:$U,$E$3,'KENDARAAN DINAS'!$T:$T,A21)</f>
        <v>2</v>
      </c>
      <c r="F21" s="40">
        <f>SUMIFS('KENDARAAN DINAS'!$P:$P,'KENDARAAN DINAS'!$U:$U,$E$3,'KENDARAAN DINAS'!$T:$T,A21)</f>
        <v>853500000</v>
      </c>
      <c r="G21" s="37">
        <f>SUMIFS('KENDARAAN DINAS'!$O:$O,'KENDARAAN DINAS'!$U:$U,$G$3,'KENDARAAN DINAS'!$T:$T,A21)</f>
        <v>0</v>
      </c>
      <c r="H21" s="40">
        <f>SUMIFS('KENDARAAN DINAS'!$P:$P,'KENDARAAN DINAS'!$U:$U,$G$3,'KENDARAAN DINAS'!$T:$T,A21)</f>
        <v>0</v>
      </c>
      <c r="I21" s="37">
        <f>SUMIFS('KENDARAAN DINAS'!$O:$O,'KENDARAAN DINAS'!$U:$U,$I$3,'KENDARAAN DINAS'!$T:$T,A21)</f>
        <v>0</v>
      </c>
      <c r="J21" s="40">
        <f>SUMIFS('KENDARAAN DINAS'!$P:$P,'KENDARAAN DINAS'!$U:$U,$I$3,'KENDARAAN DINAS'!$T:$T,A21)</f>
        <v>0</v>
      </c>
      <c r="K21" s="37">
        <f>SUMIFS('KENDARAAN DINAS'!$O:$O,'KENDARAAN DINAS'!$U:$U,$K$3,'KENDARAAN DINAS'!$T:$T,A21)</f>
        <v>0</v>
      </c>
      <c r="L21" s="40">
        <f>SUMIFS('KENDARAAN DINAS'!$P:$P,'KENDARAAN DINAS'!$U:$U,$K$3,'KENDARAAN DINAS'!$T:$T,A22)</f>
        <v>0</v>
      </c>
      <c r="M21" s="37">
        <f>SUMIFS('KENDARAAN DINAS'!$O:$O,'KENDARAAN DINAS'!$U:$U,$M$3,'KENDARAAN DINAS'!$T:$T,A21)</f>
        <v>0</v>
      </c>
      <c r="N21" s="40">
        <f>SUMIFS('KENDARAAN DINAS'!$P:$P,'KENDARAAN DINAS'!$U:$U,$M$3,'KENDARAAN DINAS'!$T:$T,A21)</f>
        <v>0</v>
      </c>
      <c r="O21" s="37">
        <f t="shared" ref="O21:P21" si="17">C21+E21+G21+I21+K21+M21</f>
        <v>21</v>
      </c>
      <c r="P21" s="62">
        <f t="shared" si="17"/>
        <v>1218788132</v>
      </c>
      <c r="Q21" s="16"/>
    </row>
    <row r="22" spans="1:18" ht="14.25" customHeight="1" x14ac:dyDescent="0.35">
      <c r="A22" s="34">
        <v>19</v>
      </c>
      <c r="B22" s="35" t="s">
        <v>419</v>
      </c>
      <c r="C22" s="37">
        <f>SUMIFS('KENDARAAN DINAS'!$O:$O,'KENDARAAN DINAS'!$U:$U,'REKAP KENDARAAN DINAS'!$C$3,'KENDARAAN DINAS'!$T:$T,'REKAP KENDARAAN DINAS'!A22)</f>
        <v>18</v>
      </c>
      <c r="D22" s="40">
        <f>SUMIFS('KENDARAAN DINAS'!$P:$P,'KENDARAAN DINAS'!$U:$U,'REKAP KENDARAAN DINAS'!$C$3,'KENDARAAN DINAS'!$T:$T,A22)</f>
        <v>309091530</v>
      </c>
      <c r="E22" s="37">
        <f>SUMIFS('KENDARAAN DINAS'!$O:$O,'KENDARAAN DINAS'!$U:$U,$E$3,'KENDARAAN DINAS'!$T:$T,A22)</f>
        <v>1</v>
      </c>
      <c r="F22" s="40">
        <f>SUMIFS('KENDARAAN DINAS'!$P:$P,'KENDARAAN DINAS'!$U:$U,$E$3,'KENDARAAN DINAS'!$T:$T,A22)</f>
        <v>241669450</v>
      </c>
      <c r="G22" s="37">
        <f>SUMIFS('KENDARAAN DINAS'!$O:$O,'KENDARAAN DINAS'!$U:$U,$G$3,'KENDARAAN DINAS'!$T:$T,A22)</f>
        <v>0</v>
      </c>
      <c r="H22" s="40">
        <f>SUMIFS('KENDARAAN DINAS'!$P:$P,'KENDARAAN DINAS'!$U:$U,$G$3,'KENDARAAN DINAS'!$T:$T,A22)</f>
        <v>0</v>
      </c>
      <c r="I22" s="37">
        <f>SUMIFS('KENDARAAN DINAS'!$O:$O,'KENDARAAN DINAS'!$U:$U,$I$3,'KENDARAAN DINAS'!$T:$T,A22)</f>
        <v>0</v>
      </c>
      <c r="J22" s="40">
        <f>SUMIFS('KENDARAAN DINAS'!$P:$P,'KENDARAAN DINAS'!$U:$U,$I$3,'KENDARAAN DINAS'!$T:$T,A22)</f>
        <v>0</v>
      </c>
      <c r="K22" s="37">
        <f>SUMIFS('KENDARAAN DINAS'!$O:$O,'KENDARAAN DINAS'!$U:$U,$K$3,'KENDARAAN DINAS'!$T:$T,A22)</f>
        <v>0</v>
      </c>
      <c r="L22" s="40">
        <f>SUMIFS('KENDARAAN DINAS'!$P:$P,'KENDARAAN DINAS'!$U:$U,$K$3,'KENDARAAN DINAS'!$T:$T,A23)</f>
        <v>0</v>
      </c>
      <c r="M22" s="37">
        <f>SUMIFS('KENDARAAN DINAS'!$O:$O,'KENDARAAN DINAS'!$U:$U,$M$3,'KENDARAAN DINAS'!$T:$T,A22)</f>
        <v>0</v>
      </c>
      <c r="N22" s="40">
        <f>SUMIFS('KENDARAAN DINAS'!$P:$P,'KENDARAAN DINAS'!$U:$U,$M$3,'KENDARAAN DINAS'!$T:$T,A22)</f>
        <v>0</v>
      </c>
      <c r="O22" s="37">
        <f t="shared" ref="O22:P22" si="18">C22+E22+G22+I22+K22+M22</f>
        <v>19</v>
      </c>
      <c r="P22" s="62">
        <f t="shared" si="18"/>
        <v>550760980</v>
      </c>
      <c r="Q22" s="16"/>
    </row>
    <row r="23" spans="1:18" ht="14.25" customHeight="1" x14ac:dyDescent="0.35">
      <c r="A23" s="34">
        <v>20</v>
      </c>
      <c r="B23" s="35" t="s">
        <v>440</v>
      </c>
      <c r="C23" s="37">
        <f>SUMIFS('KENDARAAN DINAS'!$O:$O,'KENDARAAN DINAS'!$U:$U,'REKAP KENDARAAN DINAS'!$C$3,'KENDARAAN DINAS'!$T:$T,'REKAP KENDARAAN DINAS'!A23)</f>
        <v>8</v>
      </c>
      <c r="D23" s="40">
        <f>SUMIFS('KENDARAAN DINAS'!$P:$P,'KENDARAAN DINAS'!$U:$U,'REKAP KENDARAAN DINAS'!$C$3,'KENDARAAN DINAS'!$T:$T,A23)</f>
        <v>134884810</v>
      </c>
      <c r="E23" s="37">
        <f>SUMIFS('KENDARAAN DINAS'!$O:$O,'KENDARAAN DINAS'!$U:$U,$E$3,'KENDARAAN DINAS'!$T:$T,A23)</f>
        <v>2</v>
      </c>
      <c r="F23" s="40">
        <f>SUMIFS('KENDARAAN DINAS'!$P:$P,'KENDARAAN DINAS'!$U:$U,$E$3,'KENDARAAN DINAS'!$T:$T,A23)</f>
        <v>398430000</v>
      </c>
      <c r="G23" s="37">
        <f>SUMIFS('KENDARAAN DINAS'!$O:$O,'KENDARAAN DINAS'!$U:$U,$G$3,'KENDARAAN DINAS'!$T:$T,A23)</f>
        <v>0</v>
      </c>
      <c r="H23" s="40">
        <f>SUMIFS('KENDARAAN DINAS'!$P:$P,'KENDARAAN DINAS'!$U:$U,$G$3,'KENDARAAN DINAS'!$T:$T,A23)</f>
        <v>0</v>
      </c>
      <c r="I23" s="37">
        <f>SUMIFS('KENDARAAN DINAS'!$O:$O,'KENDARAAN DINAS'!$U:$U,$I$3,'KENDARAAN DINAS'!$T:$T,A23)</f>
        <v>0</v>
      </c>
      <c r="J23" s="40">
        <f>SUMIFS('KENDARAAN DINAS'!$P:$P,'KENDARAAN DINAS'!$U:$U,$I$3,'KENDARAAN DINAS'!$T:$T,A23)</f>
        <v>0</v>
      </c>
      <c r="K23" s="37">
        <f>SUMIFS('KENDARAAN DINAS'!$O:$O,'KENDARAAN DINAS'!$U:$U,$K$3,'KENDARAAN DINAS'!$T:$T,A23)</f>
        <v>0</v>
      </c>
      <c r="L23" s="40">
        <f>SUMIFS('KENDARAAN DINAS'!$P:$P,'KENDARAAN DINAS'!$U:$U,$K$3,'KENDARAAN DINAS'!$T:$T,A24)</f>
        <v>0</v>
      </c>
      <c r="M23" s="37">
        <f>SUMIFS('KENDARAAN DINAS'!$O:$O,'KENDARAAN DINAS'!$U:$U,$M$3,'KENDARAAN DINAS'!$T:$T,A23)</f>
        <v>0</v>
      </c>
      <c r="N23" s="40">
        <f>SUMIFS('KENDARAAN DINAS'!$P:$P,'KENDARAAN DINAS'!$U:$U,$M$3,'KENDARAAN DINAS'!$T:$T,A23)</f>
        <v>0</v>
      </c>
      <c r="O23" s="37">
        <f t="shared" ref="O23:P23" si="19">C23+E23+G23+I23+K23+M23</f>
        <v>10</v>
      </c>
      <c r="P23" s="62">
        <f t="shared" si="19"/>
        <v>533314810</v>
      </c>
      <c r="Q23" s="16"/>
    </row>
    <row r="24" spans="1:18" ht="14.25" customHeight="1" x14ac:dyDescent="0.35">
      <c r="A24" s="34">
        <v>21</v>
      </c>
      <c r="B24" s="35" t="s">
        <v>466</v>
      </c>
      <c r="C24" s="37">
        <f>SUMIFS('KENDARAAN DINAS'!$O:$O,'KENDARAAN DINAS'!$U:$U,'REKAP KENDARAAN DINAS'!$C$3,'KENDARAAN DINAS'!$T:$T,'REKAP KENDARAAN DINAS'!A24)</f>
        <v>8</v>
      </c>
      <c r="D24" s="40">
        <f>SUMIFS('KENDARAAN DINAS'!$P:$P,'KENDARAAN DINAS'!$U:$U,'REKAP KENDARAAN DINAS'!$C$3,'KENDARAAN DINAS'!$T:$T,A24)</f>
        <v>148134098.80000001</v>
      </c>
      <c r="E24" s="37">
        <f>SUMIFS('KENDARAAN DINAS'!$O:$O,'KENDARAAN DINAS'!$U:$U,$E$3,'KENDARAAN DINAS'!$T:$T,A24)</f>
        <v>3</v>
      </c>
      <c r="F24" s="40">
        <f>SUMIFS('KENDARAAN DINAS'!$P:$P,'KENDARAAN DINAS'!$U:$U,$E$3,'KENDARAAN DINAS'!$T:$T,A24)</f>
        <v>1149014999</v>
      </c>
      <c r="G24" s="37">
        <f>SUMIFS('KENDARAAN DINAS'!$O:$O,'KENDARAAN DINAS'!$U:$U,$G$3,'KENDARAAN DINAS'!$T:$T,A24)</f>
        <v>0</v>
      </c>
      <c r="H24" s="40">
        <f>SUMIFS('KENDARAAN DINAS'!$P:$P,'KENDARAAN DINAS'!$U:$U,$G$3,'KENDARAAN DINAS'!$T:$T,A24)</f>
        <v>0</v>
      </c>
      <c r="I24" s="37">
        <f>SUMIFS('KENDARAAN DINAS'!$O:$O,'KENDARAAN DINAS'!$U:$U,$I$3,'KENDARAAN DINAS'!$T:$T,A24)</f>
        <v>0</v>
      </c>
      <c r="J24" s="40">
        <f>SUMIFS('KENDARAAN DINAS'!$P:$P,'KENDARAAN DINAS'!$U:$U,$I$3,'KENDARAAN DINAS'!$T:$T,A24)</f>
        <v>0</v>
      </c>
      <c r="K24" s="37">
        <f>SUMIFS('KENDARAAN DINAS'!$O:$O,'KENDARAAN DINAS'!$U:$U,$K$3,'KENDARAAN DINAS'!$T:$T,A24)</f>
        <v>0</v>
      </c>
      <c r="L24" s="40">
        <f>SUMIFS('KENDARAAN DINAS'!$P:$P,'KENDARAAN DINAS'!$U:$U,$K$3,'KENDARAAN DINAS'!$T:$T,A25)</f>
        <v>0</v>
      </c>
      <c r="M24" s="37">
        <f>SUMIFS('KENDARAAN DINAS'!$O:$O,'KENDARAAN DINAS'!$U:$U,$M$3,'KENDARAAN DINAS'!$T:$T,A24)</f>
        <v>0</v>
      </c>
      <c r="N24" s="40">
        <f>SUMIFS('KENDARAAN DINAS'!$P:$P,'KENDARAAN DINAS'!$U:$U,$M$3,'KENDARAAN DINAS'!$T:$T,A24)</f>
        <v>0</v>
      </c>
      <c r="O24" s="37">
        <f t="shared" ref="O24:P24" si="20">C24+E24+G24+I24+K24+M24</f>
        <v>11</v>
      </c>
      <c r="P24" s="62">
        <f t="shared" si="20"/>
        <v>1297149097.8</v>
      </c>
      <c r="Q24" s="16"/>
    </row>
    <row r="25" spans="1:18" ht="14.25" customHeight="1" x14ac:dyDescent="0.35">
      <c r="A25" s="34">
        <v>22</v>
      </c>
      <c r="B25" s="35" t="s">
        <v>495</v>
      </c>
      <c r="C25" s="37">
        <f>SUMIFS('KENDARAAN DINAS'!$O:$O,'KENDARAAN DINAS'!$U:$U,'REKAP KENDARAAN DINAS'!$C$3,'KENDARAAN DINAS'!$T:$T,'REKAP KENDARAAN DINAS'!A25)</f>
        <v>17</v>
      </c>
      <c r="D25" s="40">
        <f>SUMIFS('KENDARAAN DINAS'!$P:$P,'KENDARAAN DINAS'!$U:$U,'REKAP KENDARAAN DINAS'!$C$3,'KENDARAAN DINAS'!$T:$T,A25)</f>
        <v>422916000</v>
      </c>
      <c r="E25" s="37">
        <f>SUMIFS('KENDARAAN DINAS'!$O:$O,'KENDARAAN DINAS'!$U:$U,$E$3,'KENDARAAN DINAS'!$T:$T,A25)</f>
        <v>2</v>
      </c>
      <c r="F25" s="40">
        <f>SUMIFS('KENDARAAN DINAS'!$P:$P,'KENDARAAN DINAS'!$U:$U,$E$3,'KENDARAAN DINAS'!$T:$T,A25)</f>
        <v>617750000</v>
      </c>
      <c r="G25" s="37">
        <f>SUMIFS('KENDARAAN DINAS'!$O:$O,'KENDARAAN DINAS'!$U:$U,$G$3,'KENDARAAN DINAS'!$T:$T,A25)</f>
        <v>0</v>
      </c>
      <c r="H25" s="40">
        <f>SUMIFS('KENDARAAN DINAS'!$P:$P,'KENDARAAN DINAS'!$U:$U,$G$3,'KENDARAAN DINAS'!$T:$T,A25)</f>
        <v>0</v>
      </c>
      <c r="I25" s="37">
        <f>SUMIFS('KENDARAAN DINAS'!$O:$O,'KENDARAAN DINAS'!$U:$U,$I$3,'KENDARAAN DINAS'!$T:$T,A25)</f>
        <v>0</v>
      </c>
      <c r="J25" s="40">
        <f>SUMIFS('KENDARAAN DINAS'!$P:$P,'KENDARAAN DINAS'!$U:$U,$I$3,'KENDARAAN DINAS'!$T:$T,A25)</f>
        <v>0</v>
      </c>
      <c r="K25" s="37">
        <f>SUMIFS('KENDARAAN DINAS'!$O:$O,'KENDARAAN DINAS'!$U:$U,$K$3,'KENDARAAN DINAS'!$T:$T,A25)</f>
        <v>0</v>
      </c>
      <c r="L25" s="40">
        <f>SUMIFS('KENDARAAN DINAS'!$P:$P,'KENDARAAN DINAS'!$U:$U,$K$3,'KENDARAAN DINAS'!$T:$T,A26)</f>
        <v>0</v>
      </c>
      <c r="M25" s="37">
        <f>SUMIFS('KENDARAAN DINAS'!$O:$O,'KENDARAAN DINAS'!$U:$U,$M$3,'KENDARAAN DINAS'!$T:$T,A25)</f>
        <v>0</v>
      </c>
      <c r="N25" s="40">
        <f>SUMIFS('KENDARAAN DINAS'!$P:$P,'KENDARAAN DINAS'!$U:$U,$M$3,'KENDARAAN DINAS'!$T:$T,A25)</f>
        <v>0</v>
      </c>
      <c r="O25" s="37">
        <f t="shared" ref="O25:P25" si="21">C25+E25+G25+I25+K25+M25</f>
        <v>19</v>
      </c>
      <c r="P25" s="62">
        <f t="shared" si="21"/>
        <v>1040666000</v>
      </c>
      <c r="Q25" s="16"/>
    </row>
    <row r="26" spans="1:18" ht="14.25" customHeight="1" x14ac:dyDescent="0.35">
      <c r="A26" s="34">
        <v>23</v>
      </c>
      <c r="B26" s="35" t="s">
        <v>515</v>
      </c>
      <c r="C26" s="37">
        <f>SUMIFS('KENDARAAN DINAS'!$O:$O,'KENDARAAN DINAS'!$U:$U,'REKAP KENDARAAN DINAS'!$C$3,'KENDARAAN DINAS'!$T:$T,'REKAP KENDARAAN DINAS'!A26)</f>
        <v>24</v>
      </c>
      <c r="D26" s="40">
        <f>SUMIFS('KENDARAAN DINAS'!$P:$P,'KENDARAAN DINAS'!$U:$U,'REKAP KENDARAAN DINAS'!$C$3,'KENDARAAN DINAS'!$T:$T,A26)</f>
        <v>462432932</v>
      </c>
      <c r="E26" s="37">
        <f>SUMIFS('KENDARAAN DINAS'!$O:$O,'KENDARAAN DINAS'!$U:$U,$E$3,'KENDARAAN DINAS'!$T:$T,A26)</f>
        <v>2</v>
      </c>
      <c r="F26" s="40">
        <f>SUMIFS('KENDARAAN DINAS'!$P:$P,'KENDARAAN DINAS'!$U:$U,$E$3,'KENDARAAN DINAS'!$T:$T,A26)</f>
        <v>645615000</v>
      </c>
      <c r="G26" s="37">
        <f>SUMIFS('KENDARAAN DINAS'!$O:$O,'KENDARAAN DINAS'!$U:$U,$G$3,'KENDARAAN DINAS'!$T:$T,A26)</f>
        <v>0</v>
      </c>
      <c r="H26" s="40">
        <f>SUMIFS('KENDARAAN DINAS'!$P:$P,'KENDARAAN DINAS'!$U:$U,$G$3,'KENDARAAN DINAS'!$T:$T,A26)</f>
        <v>0</v>
      </c>
      <c r="I26" s="37">
        <f>SUMIFS('KENDARAAN DINAS'!$O:$O,'KENDARAAN DINAS'!$U:$U,$I$3,'KENDARAAN DINAS'!$T:$T,A26)</f>
        <v>0</v>
      </c>
      <c r="J26" s="40">
        <f>SUMIFS('KENDARAAN DINAS'!$P:$P,'KENDARAAN DINAS'!$U:$U,$I$3,'KENDARAAN DINAS'!$T:$T,A26)</f>
        <v>0</v>
      </c>
      <c r="K26" s="37">
        <f>SUMIFS('KENDARAAN DINAS'!$O:$O,'KENDARAAN DINAS'!$U:$U,$K$3,'KENDARAAN DINAS'!$T:$T,A26)</f>
        <v>0</v>
      </c>
      <c r="L26" s="40">
        <f>SUMIFS('KENDARAAN DINAS'!$P:$P,'KENDARAAN DINAS'!$U:$U,$K$3,'KENDARAAN DINAS'!$T:$T,A27)</f>
        <v>0</v>
      </c>
      <c r="M26" s="37">
        <f>SUMIFS('KENDARAAN DINAS'!$O:$O,'KENDARAAN DINAS'!$U:$U,$M$3,'KENDARAAN DINAS'!$T:$T,A26)</f>
        <v>0</v>
      </c>
      <c r="N26" s="40">
        <f>SUMIFS('KENDARAAN DINAS'!$P:$P,'KENDARAAN DINAS'!$U:$U,$M$3,'KENDARAAN DINAS'!$T:$T,A26)</f>
        <v>0</v>
      </c>
      <c r="O26" s="37">
        <f t="shared" ref="O26:P26" si="22">C26+E26+G26+I26+K26+M26</f>
        <v>26</v>
      </c>
      <c r="P26" s="62">
        <f t="shared" si="22"/>
        <v>1108047932</v>
      </c>
      <c r="Q26" s="16"/>
    </row>
    <row r="27" spans="1:18" ht="14.25" customHeight="1" x14ac:dyDescent="0.35">
      <c r="A27" s="34">
        <v>24</v>
      </c>
      <c r="B27" s="35" t="s">
        <v>542</v>
      </c>
      <c r="C27" s="37">
        <f>SUMIFS('KENDARAAN DINAS'!$O:$O,'KENDARAAN DINAS'!$U:$U,'REKAP KENDARAAN DINAS'!$C$3,'KENDARAAN DINAS'!$T:$T,'REKAP KENDARAAN DINAS'!A27)</f>
        <v>48</v>
      </c>
      <c r="D27" s="40">
        <f>SUMIFS('KENDARAAN DINAS'!$P:$P,'KENDARAAN DINAS'!$U:$U,'REKAP KENDARAAN DINAS'!$C$3,'KENDARAAN DINAS'!$T:$T,A27)</f>
        <v>1109266341</v>
      </c>
      <c r="E27" s="37">
        <f>SUMIFS('KENDARAAN DINAS'!$O:$O,'KENDARAAN DINAS'!$U:$U,$E$3,'KENDARAAN DINAS'!$T:$T,A27)</f>
        <v>34</v>
      </c>
      <c r="F27" s="40">
        <f>SUMIFS('KENDARAAN DINAS'!$P:$P,'KENDARAAN DINAS'!$U:$U,$E$3,'KENDARAAN DINAS'!$T:$T,A27)</f>
        <v>14452998150</v>
      </c>
      <c r="G27" s="37">
        <f>SUMIFS('KENDARAAN DINAS'!$O:$O,'KENDARAAN DINAS'!$U:$U,$G$3,'KENDARAAN DINAS'!$T:$T,A27)</f>
        <v>1</v>
      </c>
      <c r="H27" s="40">
        <f>SUMIFS('KENDARAAN DINAS'!$P:$P,'KENDARAAN DINAS'!$U:$U,$G$3,'KENDARAAN DINAS'!$T:$T,A27)</f>
        <v>1180000000</v>
      </c>
      <c r="I27" s="37">
        <f>SUMIFS('KENDARAAN DINAS'!$O:$O,'KENDARAAN DINAS'!$U:$U,$I$3,'KENDARAAN DINAS'!$T:$T,A27)</f>
        <v>0</v>
      </c>
      <c r="J27" s="40">
        <f>SUMIFS('KENDARAAN DINAS'!$P:$P,'KENDARAAN DINAS'!$U:$U,$I$3,'KENDARAAN DINAS'!$T:$T,A27)</f>
        <v>0</v>
      </c>
      <c r="K27" s="37">
        <f>SUMIFS('KENDARAAN DINAS'!$O:$O,'KENDARAAN DINAS'!$U:$U,$K$3,'KENDARAAN DINAS'!$T:$T,A27)</f>
        <v>0</v>
      </c>
      <c r="L27" s="40">
        <f>SUMIFS('KENDARAAN DINAS'!$P:$P,'KENDARAAN DINAS'!$U:$U,$K$3,'KENDARAAN DINAS'!$T:$T,A28)</f>
        <v>0</v>
      </c>
      <c r="M27" s="37">
        <f>SUMIFS('KENDARAAN DINAS'!$O:$O,'KENDARAAN DINAS'!$U:$U,$M$3,'KENDARAAN DINAS'!$T:$T,A27)</f>
        <v>0</v>
      </c>
      <c r="N27" s="40">
        <f>SUMIFS('KENDARAAN DINAS'!$P:$P,'KENDARAAN DINAS'!$U:$U,$M$3,'KENDARAAN DINAS'!$T:$T,A27)</f>
        <v>0</v>
      </c>
      <c r="O27" s="37">
        <f t="shared" ref="O27:P27" si="23">C27+E27+G27+I27+K27+M27</f>
        <v>83</v>
      </c>
      <c r="P27" s="62">
        <f t="shared" si="23"/>
        <v>16742264491</v>
      </c>
      <c r="Q27" s="16"/>
    </row>
    <row r="28" spans="1:18" ht="14.25" customHeight="1" x14ac:dyDescent="0.35">
      <c r="A28" s="34">
        <v>25</v>
      </c>
      <c r="B28" s="35" t="s">
        <v>561</v>
      </c>
      <c r="C28" s="37">
        <f>SUMIFS('KENDARAAN DINAS'!$O:$O,'KENDARAAN DINAS'!$U:$U,'REKAP KENDARAAN DINAS'!$C$3,'KENDARAAN DINAS'!$T:$T,'REKAP KENDARAAN DINAS'!A28)</f>
        <v>36</v>
      </c>
      <c r="D28" s="40">
        <f>SUMIFS('KENDARAAN DINAS'!$P:$P,'KENDARAAN DINAS'!$U:$U,'REKAP KENDARAAN DINAS'!$C$3,'KENDARAAN DINAS'!$T:$T,A28)</f>
        <v>555582053</v>
      </c>
      <c r="E28" s="37">
        <f>SUMIFS('KENDARAAN DINAS'!$O:$O,'KENDARAAN DINAS'!$U:$U,$E$3,'KENDARAAN DINAS'!$T:$T,A28)</f>
        <v>27</v>
      </c>
      <c r="F28" s="40">
        <f>SUMIFS('KENDARAAN DINAS'!$P:$P,'KENDARAAN DINAS'!$U:$U,$E$3,'KENDARAAN DINAS'!$T:$T,A28)</f>
        <v>7236163000</v>
      </c>
      <c r="G28" s="37">
        <f>SUMIFS('KENDARAAN DINAS'!$O:$O,'KENDARAAN DINAS'!$U:$U,$G$3,'KENDARAAN DINAS'!$T:$T,A28)</f>
        <v>0</v>
      </c>
      <c r="H28" s="40">
        <f>SUMIFS('KENDARAAN DINAS'!$P:$P,'KENDARAAN DINAS'!$U:$U,$G$3,'KENDARAAN DINAS'!$T:$T,A28)</f>
        <v>0</v>
      </c>
      <c r="I28" s="37">
        <f>SUMIFS('KENDARAAN DINAS'!$O:$O,'KENDARAAN DINAS'!$U:$U,$I$3,'KENDARAAN DINAS'!$T:$T,A28)</f>
        <v>0</v>
      </c>
      <c r="J28" s="40">
        <f>SUMIFS('KENDARAAN DINAS'!$P:$P,'KENDARAAN DINAS'!$U:$U,$I$3,'KENDARAAN DINAS'!$T:$T,A28)</f>
        <v>0</v>
      </c>
      <c r="K28" s="37">
        <f>SUMIFS('KENDARAAN DINAS'!$O:$O,'KENDARAAN DINAS'!$U:$U,$K$3,'KENDARAAN DINAS'!$T:$T,A28)</f>
        <v>0</v>
      </c>
      <c r="L28" s="40">
        <f>SUMIFS('KENDARAAN DINAS'!$P:$P,'KENDARAAN DINAS'!$U:$U,$K$3,'KENDARAAN DINAS'!$T:$T,A29)</f>
        <v>0</v>
      </c>
      <c r="M28" s="37">
        <f>SUMIFS('KENDARAAN DINAS'!$O:$O,'KENDARAAN DINAS'!$U:$U,$M$3,'KENDARAAN DINAS'!$T:$T,A28)</f>
        <v>0</v>
      </c>
      <c r="N28" s="40">
        <f>SUMIFS('KENDARAAN DINAS'!$P:$P,'KENDARAAN DINAS'!$U:$U,$M$3,'KENDARAAN DINAS'!$T:$T,A28)</f>
        <v>0</v>
      </c>
      <c r="O28" s="37">
        <f t="shared" ref="O28:P28" si="24">C28+E28+G28+I28+K28+M28</f>
        <v>63</v>
      </c>
      <c r="P28" s="62">
        <f t="shared" si="24"/>
        <v>7791745053</v>
      </c>
      <c r="Q28" s="16"/>
    </row>
    <row r="29" spans="1:18" ht="14.25" customHeight="1" x14ac:dyDescent="0.35">
      <c r="A29" s="34">
        <v>26</v>
      </c>
      <c r="B29" s="35" t="s">
        <v>580</v>
      </c>
      <c r="C29" s="37">
        <f>SUMIFS('KENDARAAN DINAS'!$O:$O,'KENDARAAN DINAS'!$U:$U,'REKAP KENDARAAN DINAS'!$C$3,'KENDARAAN DINAS'!$T:$T,'REKAP KENDARAAN DINAS'!A29)</f>
        <v>26</v>
      </c>
      <c r="D29" s="40">
        <f>SUMIFS('KENDARAAN DINAS'!$P:$P,'KENDARAAN DINAS'!$U:$U,'REKAP KENDARAAN DINAS'!$C$3,'KENDARAAN DINAS'!$T:$T,A29)</f>
        <v>532973660</v>
      </c>
      <c r="E29" s="37">
        <f>SUMIFS('KENDARAAN DINAS'!$O:$O,'KENDARAAN DINAS'!$U:$U,$E$3,'KENDARAAN DINAS'!$T:$T,A29)</f>
        <v>1</v>
      </c>
      <c r="F29" s="40">
        <f>SUMIFS('KENDARAAN DINAS'!$P:$P,'KENDARAAN DINAS'!$U:$U,$E$3,'KENDARAAN DINAS'!$T:$T,A29)</f>
        <v>479300000</v>
      </c>
      <c r="G29" s="37">
        <f>SUMIFS('KENDARAAN DINAS'!$O:$O,'KENDARAAN DINAS'!$U:$U,$G$3,'KENDARAAN DINAS'!$T:$T,A29)</f>
        <v>0</v>
      </c>
      <c r="H29" s="40">
        <f>SUMIFS('KENDARAAN DINAS'!$P:$P,'KENDARAAN DINAS'!$U:$U,$G$3,'KENDARAAN DINAS'!$T:$T,A29)</f>
        <v>0</v>
      </c>
      <c r="I29" s="37">
        <f>SUMIFS('KENDARAAN DINAS'!$O:$O,'KENDARAAN DINAS'!$U:$U,$I$3,'KENDARAAN DINAS'!$T:$T,A29)</f>
        <v>0</v>
      </c>
      <c r="J29" s="40">
        <f>SUMIFS('KENDARAAN DINAS'!$P:$P,'KENDARAAN DINAS'!$U:$U,$I$3,'KENDARAAN DINAS'!$T:$T,A29)</f>
        <v>0</v>
      </c>
      <c r="K29" s="37">
        <f>SUMIFS('KENDARAAN DINAS'!$O:$O,'KENDARAAN DINAS'!$U:$U,$K$3,'KENDARAAN DINAS'!$T:$T,A29)</f>
        <v>0</v>
      </c>
      <c r="L29" s="40">
        <f>SUMIFS('KENDARAAN DINAS'!$P:$P,'KENDARAAN DINAS'!$U:$U,$K$3,'KENDARAAN DINAS'!$T:$T,A30)</f>
        <v>0</v>
      </c>
      <c r="M29" s="37">
        <f>SUMIFS('KENDARAAN DINAS'!$O:$O,'KENDARAAN DINAS'!$U:$U,$M$3,'KENDARAAN DINAS'!$T:$T,A29)</f>
        <v>0</v>
      </c>
      <c r="N29" s="40">
        <f>SUMIFS('KENDARAAN DINAS'!$P:$P,'KENDARAAN DINAS'!$U:$U,$M$3,'KENDARAAN DINAS'!$T:$T,A29)</f>
        <v>0</v>
      </c>
      <c r="O29" s="37">
        <f t="shared" ref="O29:P29" si="25">C29+E29+G29+I29+K29+M29</f>
        <v>27</v>
      </c>
      <c r="P29" s="62">
        <f t="shared" si="25"/>
        <v>1012273660</v>
      </c>
      <c r="Q29" s="78"/>
    </row>
    <row r="30" spans="1:18" ht="14.25" customHeight="1" x14ac:dyDescent="0.35">
      <c r="A30" s="34">
        <v>27</v>
      </c>
      <c r="B30" s="35" t="s">
        <v>605</v>
      </c>
      <c r="C30" s="37">
        <f>SUMIFS('KENDARAAN DINAS'!$O:$O,'KENDARAAN DINAS'!$U:$U,'REKAP KENDARAAN DINAS'!$C$3,'KENDARAAN DINAS'!$T:$T,'REKAP KENDARAAN DINAS'!A30)</f>
        <v>16</v>
      </c>
      <c r="D30" s="40">
        <f>SUMIFS('KENDARAAN DINAS'!$P:$P,'KENDARAAN DINAS'!$U:$U,'REKAP KENDARAAN DINAS'!$C$3,'KENDARAAN DINAS'!$T:$T,A30)</f>
        <v>248390300</v>
      </c>
      <c r="E30" s="37">
        <f>SUMIFS('KENDARAAN DINAS'!$O:$O,'KENDARAAN DINAS'!$U:$U,$E$3,'KENDARAAN DINAS'!$T:$T,A30)</f>
        <v>2</v>
      </c>
      <c r="F30" s="40">
        <f>SUMIFS('KENDARAAN DINAS'!$P:$P,'KENDARAAN DINAS'!$U:$U,$E$3,'KENDARAAN DINAS'!$T:$T,A30)</f>
        <v>765100000</v>
      </c>
      <c r="G30" s="37">
        <f>SUMIFS('KENDARAAN DINAS'!$O:$O,'KENDARAAN DINAS'!$U:$U,$G$3,'KENDARAAN DINAS'!$T:$T,A30)</f>
        <v>0</v>
      </c>
      <c r="H30" s="40">
        <f>SUMIFS('KENDARAAN DINAS'!$P:$P,'KENDARAAN DINAS'!$U:$U,$G$3,'KENDARAAN DINAS'!$T:$T,A30)</f>
        <v>0</v>
      </c>
      <c r="I30" s="37">
        <f>SUMIFS('KENDARAAN DINAS'!$O:$O,'KENDARAAN DINAS'!$U:$U,$I$3,'KENDARAAN DINAS'!$T:$T,A30)</f>
        <v>0</v>
      </c>
      <c r="J30" s="40">
        <f>SUMIFS('KENDARAAN DINAS'!$P:$P,'KENDARAAN DINAS'!$U:$U,$I$3,'KENDARAAN DINAS'!$T:$T,A30)</f>
        <v>0</v>
      </c>
      <c r="K30" s="37">
        <f>SUMIFS('KENDARAAN DINAS'!$O:$O,'KENDARAAN DINAS'!$U:$U,$K$3,'KENDARAAN DINAS'!$T:$T,A30)</f>
        <v>0</v>
      </c>
      <c r="L30" s="40">
        <f>SUMIFS('KENDARAAN DINAS'!$P:$P,'KENDARAAN DINAS'!$U:$U,$K$3,'KENDARAAN DINAS'!$T:$T,A31)</f>
        <v>0</v>
      </c>
      <c r="M30" s="37">
        <f>SUMIFS('KENDARAAN DINAS'!$O:$O,'KENDARAAN DINAS'!$U:$U,$M$3,'KENDARAAN DINAS'!$T:$T,A30)</f>
        <v>0</v>
      </c>
      <c r="N30" s="40">
        <f>SUMIFS('KENDARAAN DINAS'!$P:$P,'KENDARAAN DINAS'!$U:$U,$M$3,'KENDARAAN DINAS'!$T:$T,A30)</f>
        <v>0</v>
      </c>
      <c r="O30" s="37">
        <f t="shared" ref="O30:P30" si="26">C30+E30+G30+I30+K30+M30</f>
        <v>18</v>
      </c>
      <c r="P30" s="62">
        <f t="shared" si="26"/>
        <v>1013490300</v>
      </c>
      <c r="Q30" s="16"/>
    </row>
    <row r="31" spans="1:18" ht="14.25" customHeight="1" x14ac:dyDescent="0.35">
      <c r="A31" s="34">
        <v>28</v>
      </c>
      <c r="B31" s="35" t="s">
        <v>621</v>
      </c>
      <c r="C31" s="37">
        <f>SUMIFS('KENDARAAN DINAS'!$O:$O,'KENDARAAN DINAS'!$U:$U,'REKAP KENDARAAN DINAS'!$C$3,'KENDARAAN DINAS'!$T:$T,'REKAP KENDARAAN DINAS'!A31)</f>
        <v>17</v>
      </c>
      <c r="D31" s="40">
        <f>SUMIFS('KENDARAAN DINAS'!$P:$P,'KENDARAAN DINAS'!$U:$U,'REKAP KENDARAAN DINAS'!$C$3,'KENDARAAN DINAS'!$T:$T,A31)</f>
        <v>269578000</v>
      </c>
      <c r="E31" s="37">
        <f>SUMIFS('KENDARAAN DINAS'!$O:$O,'KENDARAAN DINAS'!$U:$U,$E$3,'KENDARAAN DINAS'!$T:$T,A31)</f>
        <v>10</v>
      </c>
      <c r="F31" s="40">
        <f>SUMIFS('KENDARAAN DINAS'!$P:$P,'KENDARAAN DINAS'!$U:$U,$E$3,'KENDARAAN DINAS'!$T:$T,A31)</f>
        <v>4083835000</v>
      </c>
      <c r="G31" s="37">
        <f>SUMIFS('KENDARAAN DINAS'!$O:$O,'KENDARAAN DINAS'!$U:$U,$G$3,'KENDARAAN DINAS'!$T:$T,A31)</f>
        <v>0</v>
      </c>
      <c r="H31" s="40">
        <f>SUMIFS('KENDARAAN DINAS'!$P:$P,'KENDARAAN DINAS'!$U:$U,$G$3,'KENDARAAN DINAS'!$T:$T,A31)</f>
        <v>0</v>
      </c>
      <c r="I31" s="37">
        <f>SUMIFS('KENDARAAN DINAS'!$O:$O,'KENDARAAN DINAS'!$U:$U,$I$3,'KENDARAAN DINAS'!$T:$T,A31)</f>
        <v>0</v>
      </c>
      <c r="J31" s="40">
        <f>SUMIFS('KENDARAAN DINAS'!$P:$P,'KENDARAAN DINAS'!$U:$U,$I$3,'KENDARAAN DINAS'!$T:$T,A31)</f>
        <v>0</v>
      </c>
      <c r="K31" s="37">
        <f>SUMIFS('KENDARAAN DINAS'!$O:$O,'KENDARAAN DINAS'!$U:$U,$K$3,'KENDARAAN DINAS'!$T:$T,A31)</f>
        <v>0</v>
      </c>
      <c r="L31" s="40">
        <f>SUMIFS('KENDARAAN DINAS'!$P:$P,'KENDARAAN DINAS'!$U:$U,$K$3,'KENDARAAN DINAS'!$T:$T,A32)</f>
        <v>0</v>
      </c>
      <c r="M31" s="37">
        <f>SUMIFS('KENDARAAN DINAS'!$O:$O,'KENDARAAN DINAS'!$U:$U,$M$3,'KENDARAAN DINAS'!$T:$T,A31)</f>
        <v>0</v>
      </c>
      <c r="N31" s="40">
        <f>SUMIFS('KENDARAAN DINAS'!$P:$P,'KENDARAAN DINAS'!$U:$U,$M$3,'KENDARAAN DINAS'!$T:$T,A31)</f>
        <v>0</v>
      </c>
      <c r="O31" s="37">
        <f t="shared" ref="O31:P31" si="27">C31+E31+G31+I31+K31+M31</f>
        <v>27</v>
      </c>
      <c r="P31" s="62">
        <f t="shared" si="27"/>
        <v>4353413000</v>
      </c>
      <c r="Q31" s="79"/>
    </row>
    <row r="32" spans="1:18" ht="14.25" customHeight="1" x14ac:dyDescent="0.35">
      <c r="A32" s="34">
        <v>29</v>
      </c>
      <c r="B32" s="35" t="s">
        <v>646</v>
      </c>
      <c r="C32" s="37">
        <f>SUMIFS('KENDARAAN DINAS'!$O:$O,'KENDARAAN DINAS'!$U:$U,'REKAP KENDARAAN DINAS'!$C$3,'KENDARAAN DINAS'!$T:$T,'REKAP KENDARAAN DINAS'!A32)</f>
        <v>118</v>
      </c>
      <c r="D32" s="40">
        <f>SUMIFS('KENDARAAN DINAS'!$P:$P,'KENDARAAN DINAS'!$U:$U,'REKAP KENDARAAN DINAS'!$C$3,'KENDARAAN DINAS'!$T:$T,A32)</f>
        <v>2502803135</v>
      </c>
      <c r="E32" s="37">
        <f>SUMIFS('KENDARAAN DINAS'!$O:$O,'KENDARAAN DINAS'!$U:$U,$E$3,'KENDARAAN DINAS'!$T:$T,A32)</f>
        <v>38</v>
      </c>
      <c r="F32" s="40">
        <f>SUMIFS('KENDARAAN DINAS'!$P:$P,'KENDARAAN DINAS'!$U:$U,$E$3,'KENDARAAN DINAS'!$T:$T,A32)</f>
        <v>15996395000</v>
      </c>
      <c r="G32" s="37">
        <f>SUMIFS('KENDARAAN DINAS'!$O:$O,'KENDARAAN DINAS'!$U:$U,$G$3,'KENDARAAN DINAS'!$T:$T,A32)</f>
        <v>0</v>
      </c>
      <c r="H32" s="40">
        <f>SUMIFS('KENDARAAN DINAS'!$P:$P,'KENDARAAN DINAS'!$U:$U,$G$3,'KENDARAAN DINAS'!$T:$T,A32)</f>
        <v>0</v>
      </c>
      <c r="I32" s="37">
        <f>SUMIFS('KENDARAAN DINAS'!$O:$O,'KENDARAAN DINAS'!$U:$U,$I$3,'KENDARAAN DINAS'!$T:$T,A32)</f>
        <v>2</v>
      </c>
      <c r="J32" s="40">
        <f>SUMIFS('KENDARAAN DINAS'!$P:$P,'KENDARAAN DINAS'!$U:$U,$I$3,'KENDARAAN DINAS'!$T:$T,A32)</f>
        <v>545178000</v>
      </c>
      <c r="K32" s="37">
        <f>SUMIFS('KENDARAAN DINAS'!$O:$O,'KENDARAAN DINAS'!$U:$U,$K$3,'KENDARAAN DINAS'!$T:$T,A32)</f>
        <v>0</v>
      </c>
      <c r="L32" s="40">
        <f>SUMIFS('KENDARAAN DINAS'!$P:$P,'KENDARAAN DINAS'!$U:$U,$K$3,'KENDARAAN DINAS'!$T:$T,A33)</f>
        <v>0</v>
      </c>
      <c r="M32" s="37">
        <f>SUMIFS('KENDARAAN DINAS'!$O:$O,'KENDARAAN DINAS'!$U:$U,$M$3,'KENDARAAN DINAS'!$T:$T,A32)</f>
        <v>0</v>
      </c>
      <c r="N32" s="40">
        <f>SUMIFS('KENDARAAN DINAS'!$P:$P,'KENDARAAN DINAS'!$U:$U,$M$3,'KENDARAAN DINAS'!$T:$T,A32)</f>
        <v>0</v>
      </c>
      <c r="O32" s="37">
        <f t="shared" ref="O32:P32" si="28">C32+E32+G32+I32+K32+M32</f>
        <v>158</v>
      </c>
      <c r="P32" s="62">
        <f t="shared" si="28"/>
        <v>19044376135</v>
      </c>
      <c r="Q32" s="80"/>
      <c r="R32" s="81"/>
    </row>
    <row r="33" spans="1:26" ht="14.25" customHeight="1" x14ac:dyDescent="0.35">
      <c r="A33" s="34">
        <v>30</v>
      </c>
      <c r="B33" s="35" t="s">
        <v>665</v>
      </c>
      <c r="C33" s="37">
        <f>SUMIFS('KENDARAAN DINAS'!$O:$O,'KENDARAAN DINAS'!$U:$U,'REKAP KENDARAAN DINAS'!$C$3,'KENDARAAN DINAS'!$T:$T,'REKAP KENDARAAN DINAS'!A33)</f>
        <v>41</v>
      </c>
      <c r="D33" s="40">
        <f>SUMIFS('KENDARAAN DINAS'!$P:$P,'KENDARAAN DINAS'!$U:$U,'REKAP KENDARAAN DINAS'!$C$3,'KENDARAAN DINAS'!$T:$T,A33)</f>
        <v>983001596</v>
      </c>
      <c r="E33" s="37">
        <f>SUMIFS('KENDARAAN DINAS'!$O:$O,'KENDARAAN DINAS'!$U:$U,$E$3,'KENDARAAN DINAS'!$T:$T,A33)</f>
        <v>3</v>
      </c>
      <c r="F33" s="40">
        <f>SUMIFS('KENDARAAN DINAS'!$P:$P,'KENDARAAN DINAS'!$U:$U,$E$3,'KENDARAAN DINAS'!$T:$T,A33)</f>
        <v>1173585000</v>
      </c>
      <c r="G33" s="37">
        <f>SUMIFS('KENDARAAN DINAS'!$O:$O,'KENDARAAN DINAS'!$U:$U,$G$3,'KENDARAAN DINAS'!$T:$T,A33)</f>
        <v>0</v>
      </c>
      <c r="H33" s="40">
        <f>SUMIFS('KENDARAAN DINAS'!$P:$P,'KENDARAAN DINAS'!$U:$U,$G$3,'KENDARAAN DINAS'!$T:$T,A33)</f>
        <v>0</v>
      </c>
      <c r="I33" s="37">
        <f>SUMIFS('KENDARAAN DINAS'!$O:$O,'KENDARAAN DINAS'!$U:$U,$I$3,'KENDARAAN DINAS'!$T:$T,A33)</f>
        <v>0</v>
      </c>
      <c r="J33" s="40">
        <f>SUMIFS('KENDARAAN DINAS'!$P:$P,'KENDARAAN DINAS'!$U:$U,$I$3,'KENDARAAN DINAS'!$T:$T,A33)</f>
        <v>0</v>
      </c>
      <c r="K33" s="37">
        <f>SUMIFS('KENDARAAN DINAS'!$O:$O,'KENDARAAN DINAS'!$U:$U,$K$3,'KENDARAAN DINAS'!$T:$T,A33)</f>
        <v>0</v>
      </c>
      <c r="L33" s="40">
        <f>SUMIFS('KENDARAAN DINAS'!$P:$P,'KENDARAAN DINAS'!$U:$U,$K$3,'KENDARAAN DINAS'!$T:$T,A34)</f>
        <v>0</v>
      </c>
      <c r="M33" s="37">
        <f>SUMIFS('KENDARAAN DINAS'!$O:$O,'KENDARAAN DINAS'!$U:$U,$M$3,'KENDARAAN DINAS'!$T:$T,A33)</f>
        <v>0</v>
      </c>
      <c r="N33" s="40">
        <f>SUMIFS('KENDARAAN DINAS'!$P:$P,'KENDARAAN DINAS'!$U:$U,$M$3,'KENDARAAN DINAS'!$T:$T,A33)</f>
        <v>0</v>
      </c>
      <c r="O33" s="37">
        <f t="shared" ref="O33:P33" si="29">C33+E33+G33+I33+K33+M33</f>
        <v>44</v>
      </c>
      <c r="P33" s="62">
        <f t="shared" si="29"/>
        <v>2156586596</v>
      </c>
      <c r="Q33" s="16"/>
    </row>
    <row r="34" spans="1:26" ht="14.25" customHeight="1" x14ac:dyDescent="0.35">
      <c r="A34" s="34">
        <v>31</v>
      </c>
      <c r="B34" s="35" t="s">
        <v>687</v>
      </c>
      <c r="C34" s="37">
        <f>SUMIFS('KENDARAAN DINAS'!$O:$O,'KENDARAAN DINAS'!$U:$U,'REKAP KENDARAAN DINAS'!$C$3,'KENDARAAN DINAS'!$T:$T,'REKAP KENDARAAN DINAS'!A34)</f>
        <v>10</v>
      </c>
      <c r="D34" s="40">
        <f>SUMIFS('KENDARAAN DINAS'!$P:$P,'KENDARAAN DINAS'!$U:$U,'REKAP KENDARAAN DINAS'!$C$3,'KENDARAAN DINAS'!$T:$T,A34)</f>
        <v>236194616</v>
      </c>
      <c r="E34" s="37">
        <f>SUMIFS('KENDARAAN DINAS'!$O:$O,'KENDARAAN DINAS'!$U:$U,$E$3,'KENDARAAN DINAS'!$T:$T,A34)</f>
        <v>2</v>
      </c>
      <c r="F34" s="40">
        <f>SUMIFS('KENDARAAN DINAS'!$P:$P,'KENDARAAN DINAS'!$U:$U,$E$3,'KENDARAAN DINAS'!$T:$T,A34)</f>
        <v>870150000</v>
      </c>
      <c r="G34" s="37">
        <f>SUMIFS('KENDARAAN DINAS'!$O:$O,'KENDARAAN DINAS'!$U:$U,$G$3,'KENDARAAN DINAS'!$T:$T,A34)</f>
        <v>0</v>
      </c>
      <c r="H34" s="40">
        <f>SUMIFS('KENDARAAN DINAS'!$P:$P,'KENDARAAN DINAS'!$U:$U,$G$3,'KENDARAAN DINAS'!$T:$T,A34)</f>
        <v>0</v>
      </c>
      <c r="I34" s="37">
        <f>SUMIFS('KENDARAAN DINAS'!$O:$O,'KENDARAAN DINAS'!$U:$U,$I$3,'KENDARAAN DINAS'!$T:$T,A34)</f>
        <v>1</v>
      </c>
      <c r="J34" s="40">
        <f>SUMIFS('KENDARAAN DINAS'!$P:$P,'KENDARAAN DINAS'!$U:$U,$I$3,'KENDARAAN DINAS'!$T:$T,A34)</f>
        <v>310000000</v>
      </c>
      <c r="K34" s="37">
        <f>SUMIFS('KENDARAAN DINAS'!$O:$O,'KENDARAAN DINAS'!$U:$U,$K$3,'KENDARAAN DINAS'!$T:$T,A34)</f>
        <v>0</v>
      </c>
      <c r="L34" s="40">
        <f>SUMIFS('KENDARAAN DINAS'!$P:$P,'KENDARAAN DINAS'!$U:$U,$K$3,'KENDARAAN DINAS'!$T:$T,A35)</f>
        <v>0</v>
      </c>
      <c r="M34" s="37">
        <f>SUMIFS('KENDARAAN DINAS'!$O:$O,'KENDARAAN DINAS'!$U:$U,$M$3,'KENDARAAN DINAS'!$T:$T,A34)</f>
        <v>0</v>
      </c>
      <c r="N34" s="40">
        <f>SUMIFS('KENDARAAN DINAS'!$P:$P,'KENDARAAN DINAS'!$U:$U,$M$3,'KENDARAAN DINAS'!$T:$T,A34)</f>
        <v>0</v>
      </c>
      <c r="O34" s="37">
        <f t="shared" ref="O34:P34" si="30">C34+E34+G34+I34+K34+M34</f>
        <v>13</v>
      </c>
      <c r="P34" s="62">
        <f t="shared" si="30"/>
        <v>1416344616</v>
      </c>
      <c r="Q34" s="16"/>
    </row>
    <row r="35" spans="1:26" ht="14.25" customHeight="1" x14ac:dyDescent="0.35">
      <c r="A35" s="34">
        <v>32</v>
      </c>
      <c r="B35" s="35" t="s">
        <v>712</v>
      </c>
      <c r="C35" s="37">
        <f>SUMIFS('KENDARAAN DINAS'!$O:$O,'KENDARAAN DINAS'!$U:$U,'REKAP KENDARAAN DINAS'!$C$3,'KENDARAAN DINAS'!$T:$T,'REKAP KENDARAAN DINAS'!A35)</f>
        <v>6</v>
      </c>
      <c r="D35" s="40">
        <f>SUMIFS('KENDARAAN DINAS'!$P:$P,'KENDARAAN DINAS'!$U:$U,'REKAP KENDARAAN DINAS'!$C$3,'KENDARAAN DINAS'!$T:$T,A35)</f>
        <v>94430267</v>
      </c>
      <c r="E35" s="37">
        <f>SUMIFS('KENDARAAN DINAS'!$O:$O,'KENDARAAN DINAS'!$U:$U,$E$3,'KENDARAAN DINAS'!$T:$T,A35)</f>
        <v>1</v>
      </c>
      <c r="F35" s="40">
        <f>SUMIFS('KENDARAAN DINAS'!$P:$P,'KENDARAAN DINAS'!$U:$U,$E$3,'KENDARAAN DINAS'!$T:$T,A35)</f>
        <v>470900000</v>
      </c>
      <c r="G35" s="37">
        <f>SUMIFS('KENDARAAN DINAS'!$O:$O,'KENDARAAN DINAS'!$U:$U,$G$3,'KENDARAAN DINAS'!$T:$T,A35)</f>
        <v>0</v>
      </c>
      <c r="H35" s="40">
        <f>SUMIFS('KENDARAAN DINAS'!$P:$P,'KENDARAAN DINAS'!$U:$U,$G$3,'KENDARAAN DINAS'!$T:$T,A35)</f>
        <v>0</v>
      </c>
      <c r="I35" s="37">
        <f>SUMIFS('KENDARAAN DINAS'!$O:$O,'KENDARAAN DINAS'!$U:$U,$I$3,'KENDARAAN DINAS'!$T:$T,A35)</f>
        <v>0</v>
      </c>
      <c r="J35" s="40">
        <f>SUMIFS('KENDARAAN DINAS'!$P:$P,'KENDARAAN DINAS'!$U:$U,$I$3,'KENDARAAN DINAS'!$T:$T,A35)</f>
        <v>0</v>
      </c>
      <c r="K35" s="37">
        <f>SUMIFS('KENDARAAN DINAS'!$O:$O,'KENDARAAN DINAS'!$U:$U,$K$3,'KENDARAAN DINAS'!$T:$T,A35)</f>
        <v>0</v>
      </c>
      <c r="L35" s="40">
        <f>SUMIFS('KENDARAAN DINAS'!$P:$P,'KENDARAAN DINAS'!$U:$U,$K$3,'KENDARAAN DINAS'!$T:$T,A36)</f>
        <v>0</v>
      </c>
      <c r="M35" s="37">
        <f>SUMIFS('KENDARAAN DINAS'!$O:$O,'KENDARAAN DINAS'!$U:$U,$M$3,'KENDARAAN DINAS'!$T:$T,A35)</f>
        <v>0</v>
      </c>
      <c r="N35" s="40">
        <f>SUMIFS('KENDARAAN DINAS'!$P:$P,'KENDARAAN DINAS'!$U:$U,$M$3,'KENDARAAN DINAS'!$T:$T,A35)</f>
        <v>0</v>
      </c>
      <c r="O35" s="37">
        <f t="shared" ref="O35:P35" si="31">C35+E35+G35+I35+K35+M35</f>
        <v>7</v>
      </c>
      <c r="P35" s="62">
        <f t="shared" si="31"/>
        <v>565330267</v>
      </c>
      <c r="Q35" s="16"/>
    </row>
    <row r="36" spans="1:26" ht="14.25" customHeight="1" x14ac:dyDescent="0.35">
      <c r="A36" s="34">
        <v>33</v>
      </c>
      <c r="B36" s="35" t="s">
        <v>731</v>
      </c>
      <c r="C36" s="37">
        <f>SUMIFS('KENDARAAN DINAS'!$O:$O,'KENDARAAN DINAS'!$U:$U,'REKAP KENDARAAN DINAS'!$C$3,'KENDARAAN DINAS'!$T:$T,'REKAP KENDARAAN DINAS'!A36)</f>
        <v>9</v>
      </c>
      <c r="D36" s="40">
        <f>SUMIFS('KENDARAAN DINAS'!$P:$P,'KENDARAAN DINAS'!$U:$U,'REKAP KENDARAAN DINAS'!$C$3,'KENDARAAN DINAS'!$T:$T,A36)</f>
        <v>160667127</v>
      </c>
      <c r="E36" s="37">
        <f>SUMIFS('KENDARAAN DINAS'!$O:$O,'KENDARAAN DINAS'!$U:$U,$E$3,'KENDARAAN DINAS'!$T:$T,A36)</f>
        <v>1</v>
      </c>
      <c r="F36" s="40">
        <f>SUMIFS('KENDARAAN DINAS'!$P:$P,'KENDARAAN DINAS'!$U:$U,$E$3,'KENDARAAN DINAS'!$T:$T,A36)</f>
        <v>477500000</v>
      </c>
      <c r="G36" s="37">
        <f>SUMIFS('KENDARAAN DINAS'!$O:$O,'KENDARAAN DINAS'!$U:$U,$G$3,'KENDARAAN DINAS'!$T:$T,A36)</f>
        <v>0</v>
      </c>
      <c r="H36" s="40" t="s">
        <v>63</v>
      </c>
      <c r="I36" s="37">
        <f>SUMIFS('KENDARAAN DINAS'!$O:$O,'KENDARAAN DINAS'!$U:$U,$I$3,'KENDARAAN DINAS'!$T:$T,A36)</f>
        <v>0</v>
      </c>
      <c r="J36" s="40">
        <f>SUMIFS('KENDARAAN DINAS'!$P:$P,'KENDARAAN DINAS'!$U:$U,$I$3,'KENDARAAN DINAS'!$T:$T,A36)</f>
        <v>0</v>
      </c>
      <c r="K36" s="37">
        <f>SUMIFS('KENDARAAN DINAS'!$O:$O,'KENDARAAN DINAS'!$U:$U,$K$3,'KENDARAAN DINAS'!$T:$T,A36)</f>
        <v>0</v>
      </c>
      <c r="L36" s="40">
        <f>SUMIFS('KENDARAAN DINAS'!$P:$P,'KENDARAAN DINAS'!$U:$U,$K$3,'KENDARAAN DINAS'!$T:$T,A37)</f>
        <v>0</v>
      </c>
      <c r="M36" s="37">
        <f>SUMIFS('KENDARAAN DINAS'!$O:$O,'KENDARAAN DINAS'!$U:$U,$M$3,'KENDARAAN DINAS'!$T:$T,A36)</f>
        <v>0</v>
      </c>
      <c r="N36" s="40">
        <f>SUMIFS('KENDARAAN DINAS'!$P:$P,'KENDARAAN DINAS'!$U:$U,$M$3,'KENDARAAN DINAS'!$T:$T,A36)</f>
        <v>0</v>
      </c>
      <c r="O36" s="37">
        <f t="shared" ref="O36:P36" si="32">C36+E36+G36+I36+K36+M36</f>
        <v>10</v>
      </c>
      <c r="P36" s="62" t="e">
        <f t="shared" si="32"/>
        <v>#VALUE!</v>
      </c>
      <c r="Q36" s="16"/>
    </row>
    <row r="37" spans="1:26" ht="14.25" customHeight="1" x14ac:dyDescent="0.35">
      <c r="A37" s="34">
        <v>34</v>
      </c>
      <c r="B37" s="35" t="s">
        <v>758</v>
      </c>
      <c r="C37" s="37">
        <f>SUMIFS('KENDARAAN DINAS'!$O:$O,'KENDARAAN DINAS'!$U:$U,'REKAP KENDARAAN DINAS'!$C$3,'KENDARAAN DINAS'!$T:$T,'REKAP KENDARAAN DINAS'!A37)</f>
        <v>23</v>
      </c>
      <c r="D37" s="40">
        <f>SUMIFS('KENDARAAN DINAS'!$P:$P,'KENDARAAN DINAS'!$U:$U,'REKAP KENDARAAN DINAS'!$C$3,'KENDARAAN DINAS'!$T:$T,A37)</f>
        <v>521298819</v>
      </c>
      <c r="E37" s="37">
        <f>SUMIFS('KENDARAAN DINAS'!$O:$O,'KENDARAAN DINAS'!$U:$U,$E$3,'KENDARAAN DINAS'!$T:$T,A37)</f>
        <v>3</v>
      </c>
      <c r="F37" s="40">
        <f>SUMIFS('KENDARAAN DINAS'!$P:$P,'KENDARAAN DINAS'!$U:$U,$E$3,'KENDARAAN DINAS'!$T:$T,A37)</f>
        <v>888600000</v>
      </c>
      <c r="G37" s="37">
        <f>SUMIFS('KENDARAAN DINAS'!$O:$O,'KENDARAAN DINAS'!$U:$U,$G$3,'KENDARAAN DINAS'!$T:$T,A37)</f>
        <v>0</v>
      </c>
      <c r="H37" s="40">
        <f>SUMIFS('KENDARAAN DINAS'!$P:$P,'KENDARAAN DINAS'!$U:$U,$G$3,'KENDARAAN DINAS'!$T:$T,A37)</f>
        <v>0</v>
      </c>
      <c r="I37" s="37">
        <f>SUMIFS('KENDARAAN DINAS'!$O:$O,'KENDARAAN DINAS'!$U:$U,$I$3,'KENDARAAN DINAS'!$T:$T,A37)</f>
        <v>0</v>
      </c>
      <c r="J37" s="40">
        <f>SUMIFS('KENDARAAN DINAS'!$P:$P,'KENDARAAN DINAS'!$U:$U,$I$3,'KENDARAAN DINAS'!$T:$T,A37)</f>
        <v>0</v>
      </c>
      <c r="K37" s="37">
        <f>SUMIFS('KENDARAAN DINAS'!$O:$O,'KENDARAAN DINAS'!$U:$U,$K$3,'KENDARAAN DINAS'!$T:$T,A37)</f>
        <v>0</v>
      </c>
      <c r="L37" s="40">
        <f>SUMIFS('KENDARAAN DINAS'!$P:$P,'KENDARAAN DINAS'!$U:$U,$K$3,'KENDARAAN DINAS'!$T:$T,A38)</f>
        <v>0</v>
      </c>
      <c r="M37" s="37">
        <f>SUMIFS('KENDARAAN DINAS'!$O:$O,'KENDARAAN DINAS'!$U:$U,$M$3,'KENDARAAN DINAS'!$T:$T,A37)</f>
        <v>0</v>
      </c>
      <c r="N37" s="40">
        <f>SUMIFS('KENDARAAN DINAS'!$P:$P,'KENDARAAN DINAS'!$U:$U,$M$3,'KENDARAAN DINAS'!$T:$T,A37)</f>
        <v>0</v>
      </c>
      <c r="O37" s="37">
        <f t="shared" ref="O37:P37" si="33">C37+E37+G37+I37+K37+M37</f>
        <v>26</v>
      </c>
      <c r="P37" s="62">
        <f t="shared" si="33"/>
        <v>1409898819</v>
      </c>
      <c r="Q37" s="16"/>
    </row>
    <row r="38" spans="1:26" ht="14.25" customHeight="1" x14ac:dyDescent="0.35">
      <c r="A38" s="34">
        <v>35</v>
      </c>
      <c r="B38" s="35" t="s">
        <v>775</v>
      </c>
      <c r="C38" s="37">
        <f>SUMIFS('KENDARAAN DINAS'!$O:$O,'KENDARAAN DINAS'!$U:$U,'REKAP KENDARAAN DINAS'!$C$3,'KENDARAAN DINAS'!$T:$T,'REKAP KENDARAAN DINAS'!A38)</f>
        <v>8</v>
      </c>
      <c r="D38" s="40">
        <f>SUMIFS('KENDARAAN DINAS'!$P:$P,'KENDARAAN DINAS'!$U:$U,'REKAP KENDARAAN DINAS'!$C$3,'KENDARAAN DINAS'!$T:$T,A38)</f>
        <v>151584133</v>
      </c>
      <c r="E38" s="37">
        <f>SUMIFS('KENDARAAN DINAS'!$O:$O,'KENDARAAN DINAS'!$U:$U,$E$3,'KENDARAAN DINAS'!$T:$T,A38)</f>
        <v>1</v>
      </c>
      <c r="F38" s="40">
        <f>SUMIFS('KENDARAAN DINAS'!$P:$P,'KENDARAAN DINAS'!$U:$U,$E$3,'KENDARAAN DINAS'!$T:$T,A38)</f>
        <v>425500000</v>
      </c>
      <c r="G38" s="37">
        <f>SUMIFS('KENDARAAN DINAS'!$O:$O,'KENDARAAN DINAS'!$U:$U,$G$3,'KENDARAAN DINAS'!$T:$T,A38)</f>
        <v>0</v>
      </c>
      <c r="H38" s="40">
        <f>SUMIFS('KENDARAAN DINAS'!$P:$P,'KENDARAAN DINAS'!$U:$U,$G$3,'KENDARAAN DINAS'!$T:$T,A38)</f>
        <v>0</v>
      </c>
      <c r="I38" s="37">
        <f>SUMIFS('KENDARAAN DINAS'!$O:$O,'KENDARAAN DINAS'!$U:$U,$I$3,'KENDARAAN DINAS'!$T:$T,A38)</f>
        <v>1</v>
      </c>
      <c r="J38" s="40">
        <f>SUMIFS('KENDARAAN DINAS'!$P:$P,'KENDARAAN DINAS'!$U:$U,$I$3,'KENDARAAN DINAS'!$T:$T,A38)</f>
        <v>310000000</v>
      </c>
      <c r="K38" s="37">
        <f>SUMIFS('KENDARAAN DINAS'!$O:$O,'KENDARAAN DINAS'!$U:$U,$K$3,'KENDARAAN DINAS'!$T:$T,A38)</f>
        <v>0</v>
      </c>
      <c r="L38" s="40">
        <f>SUMIFS('KENDARAAN DINAS'!$P:$P,'KENDARAAN DINAS'!$U:$U,$K$3,'KENDARAAN DINAS'!$T:$T,A39)</f>
        <v>0</v>
      </c>
      <c r="M38" s="37">
        <f>SUMIFS('KENDARAAN DINAS'!$O:$O,'KENDARAAN DINAS'!$U:$U,$M$3,'KENDARAAN DINAS'!$T:$T,A38)</f>
        <v>0</v>
      </c>
      <c r="N38" s="40">
        <f>SUMIFS('KENDARAAN DINAS'!$P:$P,'KENDARAAN DINAS'!$U:$U,$M$3,'KENDARAAN DINAS'!$T:$T,A38)</f>
        <v>0</v>
      </c>
      <c r="O38" s="37">
        <f t="shared" ref="O38:P38" si="34">C38+E38+G38+I38+K38+M38</f>
        <v>10</v>
      </c>
      <c r="P38" s="62">
        <f t="shared" si="34"/>
        <v>887084133</v>
      </c>
      <c r="Q38" s="16"/>
    </row>
    <row r="39" spans="1:26" ht="14.25" customHeight="1" x14ac:dyDescent="0.35">
      <c r="A39" s="34">
        <v>36</v>
      </c>
      <c r="B39" s="35" t="s">
        <v>797</v>
      </c>
      <c r="C39" s="37">
        <f>SUMIFS('KENDARAAN DINAS'!$O:$O,'KENDARAAN DINAS'!$U:$U,'REKAP KENDARAAN DINAS'!$C$3,'KENDARAAN DINAS'!$T:$T,'REKAP KENDARAAN DINAS'!A39)</f>
        <v>6</v>
      </c>
      <c r="D39" s="40">
        <f>SUMIFS('KENDARAAN DINAS'!$P:$P,'KENDARAAN DINAS'!$U:$U,'REKAP KENDARAAN DINAS'!$C$3,'KENDARAAN DINAS'!$T:$T,A39)</f>
        <v>119575760</v>
      </c>
      <c r="E39" s="37">
        <f>SUMIFS('KENDARAAN DINAS'!$O:$O,'KENDARAAN DINAS'!$U:$U,$E$3,'KENDARAAN DINAS'!$T:$T,A39)</f>
        <v>2</v>
      </c>
      <c r="F39" s="40">
        <f>SUMIFS('KENDARAAN DINAS'!$P:$P,'KENDARAAN DINAS'!$U:$U,$E$3,'KENDARAAN DINAS'!$T:$T,A39)</f>
        <v>870150000</v>
      </c>
      <c r="G39" s="37">
        <f>SUMIFS('KENDARAAN DINAS'!$O:$O,'KENDARAAN DINAS'!$U:$U,$G$3,'KENDARAAN DINAS'!$T:$T,A39)</f>
        <v>0</v>
      </c>
      <c r="H39" s="40">
        <f>SUMIFS('KENDARAAN DINAS'!$P:$P,'KENDARAAN DINAS'!$U:$U,$G$3,'KENDARAAN DINAS'!$T:$T,A39)</f>
        <v>0</v>
      </c>
      <c r="I39" s="37">
        <f>SUMIFS('KENDARAAN DINAS'!$O:$O,'KENDARAAN DINAS'!$U:$U,$I$3,'KENDARAAN DINAS'!$T:$T,A39)</f>
        <v>0</v>
      </c>
      <c r="J39" s="40">
        <f>SUMIFS('KENDARAAN DINAS'!$P:$P,'KENDARAAN DINAS'!$U:$U,$I$3,'KENDARAAN DINAS'!$T:$T,A39)</f>
        <v>0</v>
      </c>
      <c r="K39" s="37">
        <f>SUMIFS('KENDARAAN DINAS'!$O:$O,'KENDARAAN DINAS'!$U:$U,$K$3,'KENDARAAN DINAS'!$T:$T,A39)</f>
        <v>0</v>
      </c>
      <c r="L39" s="40">
        <f>SUMIFS('KENDARAAN DINAS'!$P:$P,'KENDARAAN DINAS'!$U:$U,$K$3,'KENDARAAN DINAS'!$T:$T,A40)</f>
        <v>0</v>
      </c>
      <c r="M39" s="37">
        <f>SUMIFS('KENDARAAN DINAS'!$O:$O,'KENDARAAN DINAS'!$U:$U,$M$3,'KENDARAAN DINAS'!$T:$T,A39)</f>
        <v>0</v>
      </c>
      <c r="N39" s="40">
        <f>SUMIFS('KENDARAAN DINAS'!$P:$P,'KENDARAAN DINAS'!$U:$U,$M$3,'KENDARAAN DINAS'!$T:$T,A39)</f>
        <v>0</v>
      </c>
      <c r="O39" s="37">
        <f t="shared" ref="O39:P39" si="35">C39+E39+G39+I39+K39+M39</f>
        <v>8</v>
      </c>
      <c r="P39" s="62">
        <f t="shared" si="35"/>
        <v>989725760</v>
      </c>
      <c r="Q39" s="16"/>
    </row>
    <row r="40" spans="1:26" ht="14.25" customHeight="1" x14ac:dyDescent="0.35">
      <c r="A40" s="34">
        <v>37</v>
      </c>
      <c r="B40" s="35" t="s">
        <v>817</v>
      </c>
      <c r="C40" s="37">
        <f>SUMIFS('KENDARAAN DINAS'!$O:$O,'KENDARAAN DINAS'!$U:$U,'REKAP KENDARAAN DINAS'!$C$3,'KENDARAAN DINAS'!$T:$T,'REKAP KENDARAAN DINAS'!A40)</f>
        <v>4</v>
      </c>
      <c r="D40" s="40">
        <f>SUMIFS('KENDARAAN DINAS'!$P:$P,'KENDARAAN DINAS'!$U:$U,'REKAP KENDARAAN DINAS'!$C$3,'KENDARAAN DINAS'!$T:$T,A40)</f>
        <v>78577550</v>
      </c>
      <c r="E40" s="37">
        <f>SUMIFS('KENDARAAN DINAS'!$O:$O,'KENDARAAN DINAS'!$U:$U,$E$3,'KENDARAAN DINAS'!$T:$T,A40)</f>
        <v>0</v>
      </c>
      <c r="F40" s="40">
        <f>SUMIFS('KENDARAAN DINAS'!$P:$P,'KENDARAAN DINAS'!$U:$U,$E$3,'KENDARAAN DINAS'!$T:$T,A40)</f>
        <v>0</v>
      </c>
      <c r="G40" s="37">
        <f>SUMIFS('KENDARAAN DINAS'!$O:$O,'KENDARAAN DINAS'!$U:$U,$G$3,'KENDARAAN DINAS'!$T:$T,A40)</f>
        <v>0</v>
      </c>
      <c r="H40" s="40">
        <f>SUMIFS('KENDARAAN DINAS'!$P:$P,'KENDARAAN DINAS'!$U:$U,$G$3,'KENDARAAN DINAS'!$T:$T,A40)</f>
        <v>0</v>
      </c>
      <c r="I40" s="37">
        <f>SUMIFS('KENDARAAN DINAS'!$O:$O,'KENDARAAN DINAS'!$U:$U,$I$3,'KENDARAAN DINAS'!$T:$T,A40)</f>
        <v>0</v>
      </c>
      <c r="J40" s="40">
        <f>SUMIFS('KENDARAAN DINAS'!$P:$P,'KENDARAAN DINAS'!$U:$U,$I$3,'KENDARAAN DINAS'!$T:$T,A40)</f>
        <v>0</v>
      </c>
      <c r="K40" s="37">
        <f>SUMIFS('KENDARAAN DINAS'!$O:$O,'KENDARAAN DINAS'!$U:$U,$K$3,'KENDARAAN DINAS'!$T:$T,A40)</f>
        <v>0</v>
      </c>
      <c r="L40" s="40">
        <f>SUMIFS('KENDARAAN DINAS'!$P:$P,'KENDARAAN DINAS'!$U:$U,$K$3,'KENDARAAN DINAS'!$T:$T,A41)</f>
        <v>0</v>
      </c>
      <c r="M40" s="37">
        <f>SUMIFS('KENDARAAN DINAS'!$O:$O,'KENDARAAN DINAS'!$U:$U,$M$3,'KENDARAAN DINAS'!$T:$T,A40)</f>
        <v>0</v>
      </c>
      <c r="N40" s="40">
        <f>SUMIFS('KENDARAAN DINAS'!$P:$P,'KENDARAAN DINAS'!$U:$U,$M$3,'KENDARAAN DINAS'!$T:$T,A40)</f>
        <v>0</v>
      </c>
      <c r="O40" s="37">
        <f t="shared" ref="O40:P40" si="36">C40+E40+G40+I40+K40+M40</f>
        <v>4</v>
      </c>
      <c r="P40" s="62">
        <f t="shared" si="36"/>
        <v>78577550</v>
      </c>
      <c r="Q40" s="16"/>
    </row>
    <row r="41" spans="1:26" ht="14.25" customHeight="1" x14ac:dyDescent="0.35">
      <c r="A41" s="34">
        <v>38</v>
      </c>
      <c r="B41" s="35" t="s">
        <v>838</v>
      </c>
      <c r="C41" s="37">
        <f>SUMIFS('KENDARAAN DINAS'!$O:$O,'KENDARAAN DINAS'!$U:$U,'REKAP KENDARAAN DINAS'!$C$3,'KENDARAAN DINAS'!$T:$T,'REKAP KENDARAAN DINAS'!A41)</f>
        <v>4</v>
      </c>
      <c r="D41" s="40">
        <f>SUMIFS('KENDARAAN DINAS'!$P:$P,'KENDARAAN DINAS'!$U:$U,'REKAP KENDARAAN DINAS'!$C$3,'KENDARAAN DINAS'!$T:$T,A41)</f>
        <v>68091683</v>
      </c>
      <c r="E41" s="37">
        <f>SUMIFS('KENDARAAN DINAS'!$O:$O,'KENDARAAN DINAS'!$U:$U,$E$3,'KENDARAAN DINAS'!$T:$T,A41)</f>
        <v>1</v>
      </c>
      <c r="F41" s="40">
        <f>SUMIFS('KENDARAAN DINAS'!$P:$P,'KENDARAAN DINAS'!$U:$U,$E$3,'KENDARAAN DINAS'!$T:$T,A41)</f>
        <v>477500000</v>
      </c>
      <c r="G41" s="37">
        <f>SUMIFS('KENDARAAN DINAS'!$O:$O,'KENDARAAN DINAS'!$U:$U,$G$3,'KENDARAAN DINAS'!$T:$T,A41)</f>
        <v>0</v>
      </c>
      <c r="H41" s="40">
        <f>SUMIFS('KENDARAAN DINAS'!$P:$P,'KENDARAAN DINAS'!$U:$U,$G$3,'KENDARAAN DINAS'!$T:$T,A41)</f>
        <v>0</v>
      </c>
      <c r="I41" s="37">
        <f>SUMIFS('KENDARAAN DINAS'!$O:$O,'KENDARAAN DINAS'!$U:$U,$I$3,'KENDARAAN DINAS'!$T:$T,A41)</f>
        <v>0</v>
      </c>
      <c r="J41" s="40">
        <f>SUMIFS('KENDARAAN DINAS'!$P:$P,'KENDARAAN DINAS'!$U:$U,$I$3,'KENDARAAN DINAS'!$T:$T,A41)</f>
        <v>0</v>
      </c>
      <c r="K41" s="37">
        <f>SUMIFS('KENDARAAN DINAS'!$O:$O,'KENDARAAN DINAS'!$U:$U,$K$3,'KENDARAAN DINAS'!$T:$T,A41)</f>
        <v>0</v>
      </c>
      <c r="L41" s="40">
        <f>SUMIFS('KENDARAAN DINAS'!$P:$P,'KENDARAAN DINAS'!$U:$U,$K$3,'KENDARAAN DINAS'!$T:$T,A42)</f>
        <v>0</v>
      </c>
      <c r="M41" s="37">
        <f>SUMIFS('KENDARAAN DINAS'!$O:$O,'KENDARAAN DINAS'!$U:$U,$M$3,'KENDARAAN DINAS'!$T:$T,A41)</f>
        <v>0</v>
      </c>
      <c r="N41" s="40">
        <f>SUMIFS('KENDARAAN DINAS'!$P:$P,'KENDARAAN DINAS'!$U:$U,$M$3,'KENDARAAN DINAS'!$T:$T,A41)</f>
        <v>0</v>
      </c>
      <c r="O41" s="37">
        <f t="shared" ref="O41:P41" si="37">C41+E41+G41+I41+K41+M41</f>
        <v>5</v>
      </c>
      <c r="P41" s="62">
        <f t="shared" si="37"/>
        <v>545591683</v>
      </c>
      <c r="Q41" s="16"/>
    </row>
    <row r="42" spans="1:26" ht="14.25" customHeight="1" x14ac:dyDescent="0.35">
      <c r="A42" s="34">
        <v>39</v>
      </c>
      <c r="B42" s="35" t="s">
        <v>859</v>
      </c>
      <c r="C42" s="37">
        <f>SUMIFS('KENDARAAN DINAS'!$O:$O,'KENDARAAN DINAS'!$U:$U,'REKAP KENDARAAN DINAS'!$C$3,'KENDARAAN DINAS'!$T:$T,'REKAP KENDARAAN DINAS'!A42)</f>
        <v>3</v>
      </c>
      <c r="D42" s="40">
        <f>SUMIFS('KENDARAAN DINAS'!$P:$P,'KENDARAAN DINAS'!$U:$U,'REKAP KENDARAAN DINAS'!$C$3,'KENDARAAN DINAS'!$T:$T,A42)</f>
        <v>45875583</v>
      </c>
      <c r="E42" s="37">
        <f>SUMIFS('KENDARAAN DINAS'!$O:$O,'KENDARAAN DINAS'!$U:$U,$E$3,'KENDARAAN DINAS'!$T:$T,A42)</f>
        <v>1</v>
      </c>
      <c r="F42" s="40">
        <f>SUMIFS('KENDARAAN DINAS'!$P:$P,'KENDARAAN DINAS'!$U:$U,$E$3,'KENDARAAN DINAS'!$T:$T,A42)</f>
        <v>477500000</v>
      </c>
      <c r="G42" s="37">
        <f>SUMIFS('KENDARAAN DINAS'!$O:$O,'KENDARAAN DINAS'!$U:$U,$G$3,'KENDARAAN DINAS'!$T:$T,A42)</f>
        <v>0</v>
      </c>
      <c r="H42" s="40">
        <f>SUMIFS('KENDARAAN DINAS'!$P:$P,'KENDARAAN DINAS'!$U:$U,$G$3,'KENDARAAN DINAS'!$T:$T,A42)</f>
        <v>0</v>
      </c>
      <c r="I42" s="37">
        <f>SUMIFS('KENDARAAN DINAS'!$O:$O,'KENDARAAN DINAS'!$U:$U,$I$3,'KENDARAAN DINAS'!$T:$T,A42)</f>
        <v>0</v>
      </c>
      <c r="J42" s="40">
        <f>SUMIFS('KENDARAAN DINAS'!$P:$P,'KENDARAAN DINAS'!$U:$U,$I$3,'KENDARAAN DINAS'!$T:$T,A42)</f>
        <v>0</v>
      </c>
      <c r="K42" s="37">
        <f>SUMIFS('KENDARAAN DINAS'!$O:$O,'KENDARAAN DINAS'!$U:$U,$K$3,'KENDARAAN DINAS'!$T:$T,A42)</f>
        <v>0</v>
      </c>
      <c r="L42" s="40">
        <f>SUMIFS('KENDARAAN DINAS'!$P:$P,'KENDARAAN DINAS'!$U:$U,$K$3,'KENDARAAN DINAS'!$T:$T,A43)</f>
        <v>0</v>
      </c>
      <c r="M42" s="37">
        <f>SUMIFS('KENDARAAN DINAS'!$O:$O,'KENDARAAN DINAS'!$U:$U,$M$3,'KENDARAAN DINAS'!$T:$T,A42)</f>
        <v>0</v>
      </c>
      <c r="N42" s="40">
        <f>SUMIFS('KENDARAAN DINAS'!$P:$P,'KENDARAAN DINAS'!$U:$U,$M$3,'KENDARAAN DINAS'!$T:$T,A42)</f>
        <v>0</v>
      </c>
      <c r="O42" s="37">
        <f t="shared" ref="O42:P42" si="38">C42+E42+G42+I42+K42+M42</f>
        <v>4</v>
      </c>
      <c r="P42" s="62">
        <f t="shared" si="38"/>
        <v>523375583</v>
      </c>
      <c r="Q42" s="16"/>
    </row>
    <row r="43" spans="1:26" ht="14.25" customHeight="1" x14ac:dyDescent="0.35">
      <c r="A43" s="34">
        <v>40</v>
      </c>
      <c r="B43" s="35" t="s">
        <v>882</v>
      </c>
      <c r="C43" s="37">
        <f>SUMIFS('KENDARAAN DINAS'!$O:$O,'KENDARAAN DINAS'!$U:$U,'REKAP KENDARAAN DINAS'!$C$3,'KENDARAAN DINAS'!$T:$T,'REKAP KENDARAAN DINAS'!A43)</f>
        <v>6</v>
      </c>
      <c r="D43" s="40">
        <f>SUMIFS('KENDARAAN DINAS'!$P:$P,'KENDARAAN DINAS'!$U:$U,'REKAP KENDARAAN DINAS'!$C$3,'KENDARAAN DINAS'!$T:$T,A43)</f>
        <v>118176527</v>
      </c>
      <c r="E43" s="37">
        <f>SUMIFS('KENDARAAN DINAS'!$O:$O,'KENDARAAN DINAS'!$U:$U,$E$3,'KENDARAAN DINAS'!$T:$T,A43)</f>
        <v>2</v>
      </c>
      <c r="F43" s="40">
        <f>SUMIFS('KENDARAAN DINAS'!$P:$P,'KENDARAAN DINAS'!$U:$U,$E$3,'KENDARAAN DINAS'!$T:$T,A43)</f>
        <v>625000000</v>
      </c>
      <c r="G43" s="37">
        <f>SUMIFS('KENDARAAN DINAS'!$O:$O,'KENDARAAN DINAS'!$U:$U,$G$3,'KENDARAAN DINAS'!$T:$T,A43)</f>
        <v>0</v>
      </c>
      <c r="H43" s="40">
        <f>SUMIFS('KENDARAAN DINAS'!$P:$P,'KENDARAAN DINAS'!$U:$U,$G$3,'KENDARAAN DINAS'!$T:$T,A43)</f>
        <v>0</v>
      </c>
      <c r="I43" s="37">
        <f>SUMIFS('KENDARAAN DINAS'!$O:$O,'KENDARAAN DINAS'!$U:$U,$I$3,'KENDARAAN DINAS'!$T:$T,A43)</f>
        <v>1</v>
      </c>
      <c r="J43" s="40">
        <f>SUMIFS('KENDARAAN DINAS'!$P:$P,'KENDARAAN DINAS'!$U:$U,$I$3,'KENDARAAN DINAS'!$T:$T,A43)</f>
        <v>310000000</v>
      </c>
      <c r="K43" s="37">
        <f>SUMIFS('KENDARAAN DINAS'!$O:$O,'KENDARAAN DINAS'!$U:$U,$K$3,'KENDARAAN DINAS'!$T:$T,A43)</f>
        <v>0</v>
      </c>
      <c r="L43" s="40">
        <f>SUMIFS('KENDARAAN DINAS'!$P:$P,'KENDARAAN DINAS'!$U:$U,$K$3,'KENDARAAN DINAS'!$T:$T,A44)</f>
        <v>0</v>
      </c>
      <c r="M43" s="37">
        <f>SUMIFS('KENDARAAN DINAS'!$O:$O,'KENDARAAN DINAS'!$U:$U,$M$3,'KENDARAAN DINAS'!$T:$T,A43)</f>
        <v>0</v>
      </c>
      <c r="N43" s="40">
        <f>SUMIFS('KENDARAAN DINAS'!$P:$P,'KENDARAAN DINAS'!$U:$U,$M$3,'KENDARAAN DINAS'!$T:$T,A43)</f>
        <v>0</v>
      </c>
      <c r="O43" s="37">
        <f t="shared" ref="O43:P43" si="39">C43+E43+G43+I43+K43+M43</f>
        <v>9</v>
      </c>
      <c r="P43" s="62">
        <f t="shared" si="39"/>
        <v>1053176527</v>
      </c>
      <c r="Q43" s="16"/>
    </row>
    <row r="44" spans="1:26" ht="14.25" customHeight="1" x14ac:dyDescent="0.35">
      <c r="A44" s="34">
        <v>41</v>
      </c>
      <c r="B44" s="35" t="s">
        <v>903</v>
      </c>
      <c r="C44" s="37">
        <f>SUMIFS('KENDARAAN DINAS'!$O:$O,'KENDARAAN DINAS'!$U:$U,'REKAP KENDARAAN DINAS'!$C$3,'KENDARAAN DINAS'!$T:$T,'REKAP KENDARAAN DINAS'!A44)</f>
        <v>186</v>
      </c>
      <c r="D44" s="40">
        <f>SUMIFS('KENDARAAN DINAS'!$P:$P,'KENDARAAN DINAS'!$U:$U,'REKAP KENDARAAN DINAS'!$C$3,'KENDARAAN DINAS'!$T:$T,A44)</f>
        <v>6335314000</v>
      </c>
      <c r="E44" s="37">
        <f>SUMIFS('KENDARAAN DINAS'!$O:$O,'KENDARAAN DINAS'!$U:$U,$E$3,'KENDARAAN DINAS'!$T:$T,A44)</f>
        <v>20</v>
      </c>
      <c r="F44" s="40">
        <f>SUMIFS('KENDARAAN DINAS'!$P:$P,'KENDARAAN DINAS'!$U:$U,$E$3,'KENDARAAN DINAS'!$T:$T,A44)</f>
        <v>14193619000</v>
      </c>
      <c r="G44" s="37">
        <f>SUMIFS('KENDARAAN DINAS'!$O:$O,'KENDARAAN DINAS'!$U:$U,$G$3,'KENDARAAN DINAS'!$T:$T,A44)</f>
        <v>0</v>
      </c>
      <c r="H44" s="40">
        <f>SUMIFS('KENDARAAN DINAS'!$P:$P,'KENDARAAN DINAS'!$U:$U,$G$3,'KENDARAAN DINAS'!$T:$T,A44)</f>
        <v>0</v>
      </c>
      <c r="I44" s="37">
        <f>SUMIFS('KENDARAAN DINAS'!$O:$O,'KENDARAAN DINAS'!$U:$U,$I$3,'KENDARAAN DINAS'!$T:$T,A44)</f>
        <v>28</v>
      </c>
      <c r="J44" s="40">
        <f>SUMIFS('KENDARAAN DINAS'!$P:$P,'KENDARAAN DINAS'!$U:$U,$I$3,'KENDARAAN DINAS'!$T:$T,A44)</f>
        <v>31804526000</v>
      </c>
      <c r="K44" s="37">
        <f>SUMIFS('KENDARAAN DINAS'!$O:$O,'KENDARAAN DINAS'!$U:$U,$K$3,'KENDARAAN DINAS'!$T:$T,A44)</f>
        <v>0</v>
      </c>
      <c r="L44" s="40">
        <f>SUMIFS('KENDARAAN DINAS'!$P:$P,'KENDARAAN DINAS'!$U:$U,$K$3,'KENDARAAN DINAS'!$T:$T,A45)</f>
        <v>0</v>
      </c>
      <c r="M44" s="37">
        <f>SUMIFS('KENDARAAN DINAS'!$O:$O,'KENDARAAN DINAS'!$U:$U,$M$3,'KENDARAAN DINAS'!$T:$T,A44)</f>
        <v>0</v>
      </c>
      <c r="N44" s="40">
        <f>SUMIFS('KENDARAAN DINAS'!$P:$P,'KENDARAAN DINAS'!$U:$U,$M$3,'KENDARAAN DINAS'!$T:$T,A44)</f>
        <v>0</v>
      </c>
      <c r="O44" s="37">
        <f t="shared" ref="O44:P44" si="40">C44+E44+G44+I44+K44+M44</f>
        <v>234</v>
      </c>
      <c r="P44" s="62">
        <f t="shared" si="40"/>
        <v>52333459000</v>
      </c>
      <c r="Q44" s="16"/>
    </row>
    <row r="45" spans="1:26" ht="14.25" customHeight="1" x14ac:dyDescent="0.35">
      <c r="A45" s="82">
        <v>42</v>
      </c>
      <c r="B45" s="83" t="s">
        <v>925</v>
      </c>
      <c r="C45" s="84">
        <f>SUMIFS('KENDARAAN DINAS'!$O:$O,'KENDARAAN DINAS'!$U:$U,'REKAP KENDARAAN DINAS'!$C$3,'KENDARAAN DINAS'!$T:$T,'REKAP KENDARAAN DINAS'!A45)</f>
        <v>6</v>
      </c>
      <c r="D45" s="85">
        <f>SUMIFS('KENDARAAN DINAS'!$P:$P,'KENDARAAN DINAS'!$U:$U,'REKAP KENDARAAN DINAS'!$C$3,'KENDARAAN DINAS'!$T:$T,A45)</f>
        <v>110786000</v>
      </c>
      <c r="E45" s="84">
        <f>SUMIFS('KENDARAAN DINAS'!$O:$O,'KENDARAAN DINAS'!$U:$U,$E$3,'KENDARAAN DINAS'!$T:$T,A45)</f>
        <v>2</v>
      </c>
      <c r="F45" s="85">
        <f>SUMIFS('KENDARAAN DINAS'!$P:$P,'KENDARAAN DINAS'!$U:$U,$E$3,'KENDARAAN DINAS'!$T:$T,A45)</f>
        <v>634150000</v>
      </c>
      <c r="G45" s="84">
        <f>SUMIFS('KENDARAAN DINAS'!$O:$O,'KENDARAAN DINAS'!$U:$U,$G$3,'KENDARAAN DINAS'!$T:$T,A45)</f>
        <v>0</v>
      </c>
      <c r="H45" s="85">
        <f>SUMIFS('KENDARAAN DINAS'!$P:$P,'KENDARAAN DINAS'!$U:$U,$G$3,'KENDARAAN DINAS'!$T:$T,A45)</f>
        <v>0</v>
      </c>
      <c r="I45" s="84">
        <f>SUMIFS('KENDARAAN DINAS'!$O:$O,'KENDARAAN DINAS'!$U:$U,$I$3,'KENDARAAN DINAS'!$T:$T,A45)</f>
        <v>6</v>
      </c>
      <c r="J45" s="85">
        <f>SUMIFS('KENDARAAN DINAS'!$P:$P,'KENDARAAN DINAS'!$U:$U,$I$3,'KENDARAAN DINAS'!$T:$T,A45)</f>
        <v>7897856926</v>
      </c>
      <c r="K45" s="84">
        <f>SUMIFS('KENDARAAN DINAS'!$O:$O,'KENDARAAN DINAS'!$U:$U,$K$3,'KENDARAAN DINAS'!$T:$T,A45)</f>
        <v>0</v>
      </c>
      <c r="L45" s="85">
        <f>SUMIFS('KENDARAAN DINAS'!$P:$P,'KENDARAAN DINAS'!$U:$U,$K$3,'KENDARAAN DINAS'!$T:$T,A46)</f>
        <v>0</v>
      </c>
      <c r="M45" s="84">
        <f>SUMIFS('KENDARAAN DINAS'!$O:$O,'KENDARAAN DINAS'!$U:$U,$M$3,'KENDARAAN DINAS'!$T:$T,A45)</f>
        <v>0</v>
      </c>
      <c r="N45" s="85">
        <f>SUMIFS('KENDARAAN DINAS'!$P:$P,'KENDARAAN DINAS'!$U:$U,$M$3,'KENDARAAN DINAS'!$T:$T,A45)</f>
        <v>0</v>
      </c>
      <c r="O45" s="84">
        <f t="shared" ref="O45:P45" si="41">C45+E45+G45+I45+K45+M45</f>
        <v>14</v>
      </c>
      <c r="P45" s="86">
        <f t="shared" si="41"/>
        <v>8642792926</v>
      </c>
      <c r="Q45" s="16"/>
    </row>
    <row r="46" spans="1:26" ht="22.5" customHeight="1" x14ac:dyDescent="0.35">
      <c r="A46" s="87">
        <v>42</v>
      </c>
      <c r="B46" s="88" t="s">
        <v>951</v>
      </c>
      <c r="C46" s="89">
        <f t="shared" ref="C46:E46" si="42">SUBTOTAL(9,C4:C45)</f>
        <v>1252</v>
      </c>
      <c r="D46" s="90">
        <f t="shared" si="42"/>
        <v>27998853896.799999</v>
      </c>
      <c r="E46" s="89">
        <f t="shared" si="42"/>
        <v>260</v>
      </c>
      <c r="F46" s="90">
        <f>SUBTOTAL(9,F4:F44)</f>
        <v>103544813816</v>
      </c>
      <c r="G46" s="89">
        <f t="shared" ref="G46:P46" si="43">SUBTOTAL(9,G4:G45)</f>
        <v>1</v>
      </c>
      <c r="H46" s="90">
        <f t="shared" si="43"/>
        <v>1289375000</v>
      </c>
      <c r="I46" s="89">
        <f t="shared" si="43"/>
        <v>61</v>
      </c>
      <c r="J46" s="90">
        <f t="shared" si="43"/>
        <v>56373378141</v>
      </c>
      <c r="K46" s="89">
        <f t="shared" si="43"/>
        <v>0</v>
      </c>
      <c r="L46" s="90">
        <f t="shared" si="43"/>
        <v>0</v>
      </c>
      <c r="M46" s="89">
        <f t="shared" si="43"/>
        <v>0</v>
      </c>
      <c r="N46" s="90">
        <f t="shared" si="43"/>
        <v>0</v>
      </c>
      <c r="O46" s="89">
        <f t="shared" si="43"/>
        <v>1574</v>
      </c>
      <c r="P46" s="91" t="e">
        <f t="shared" si="43"/>
        <v>#VALUE!</v>
      </c>
      <c r="Q46" s="79"/>
      <c r="R46" s="57"/>
      <c r="S46" s="57"/>
      <c r="T46" s="57"/>
      <c r="U46" s="57"/>
      <c r="V46" s="57"/>
      <c r="W46" s="57"/>
      <c r="X46" s="57"/>
      <c r="Y46" s="57"/>
      <c r="Z46" s="57"/>
    </row>
    <row r="47" spans="1:26" ht="14.25" customHeight="1" x14ac:dyDescent="0.35">
      <c r="A47" s="32"/>
      <c r="B47" s="32"/>
      <c r="C47" s="92"/>
      <c r="D47" s="32"/>
      <c r="E47" s="9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16"/>
    </row>
    <row r="48" spans="1:26" ht="14.25" customHeight="1" x14ac:dyDescent="0.35">
      <c r="A48" s="32"/>
      <c r="B48" s="32"/>
      <c r="C48" s="92"/>
      <c r="D48" s="32"/>
      <c r="E48" s="9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16"/>
    </row>
    <row r="49" spans="1:17" ht="14.25" customHeight="1" x14ac:dyDescent="0.35">
      <c r="A49" s="32"/>
      <c r="B49" s="32"/>
      <c r="C49" s="92"/>
      <c r="D49" s="32"/>
      <c r="E49" s="9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16"/>
    </row>
    <row r="50" spans="1:17" ht="14.25" customHeight="1" x14ac:dyDescent="0.35">
      <c r="A50" s="32"/>
      <c r="B50" s="32"/>
      <c r="C50" s="92"/>
      <c r="D50" s="32"/>
      <c r="E50" s="9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16"/>
    </row>
    <row r="51" spans="1:17" ht="14.25" customHeight="1" x14ac:dyDescent="0.35">
      <c r="A51" s="32"/>
      <c r="B51" s="32"/>
      <c r="C51" s="92"/>
      <c r="D51" s="32"/>
      <c r="E51" s="9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16"/>
    </row>
    <row r="52" spans="1:17" ht="14.25" customHeight="1" x14ac:dyDescent="0.35">
      <c r="A52" s="32"/>
      <c r="B52" s="32"/>
      <c r="C52" s="92"/>
      <c r="D52" s="32"/>
      <c r="E52" s="9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16"/>
    </row>
    <row r="53" spans="1:17" ht="14.25" customHeight="1" x14ac:dyDescent="0.35">
      <c r="A53" s="32"/>
      <c r="B53" s="32"/>
      <c r="C53" s="92"/>
      <c r="D53" s="32"/>
      <c r="E53" s="9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16"/>
    </row>
    <row r="54" spans="1:17" ht="14.25" customHeight="1" x14ac:dyDescent="0.35">
      <c r="A54" s="32"/>
      <c r="B54" s="32"/>
      <c r="C54" s="92"/>
      <c r="D54" s="32"/>
      <c r="E54" s="9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16"/>
    </row>
    <row r="55" spans="1:17" ht="14.25" customHeight="1" x14ac:dyDescent="0.35">
      <c r="A55" s="32"/>
      <c r="B55" s="32"/>
      <c r="C55" s="92"/>
      <c r="D55" s="32"/>
      <c r="E55" s="9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16"/>
    </row>
    <row r="56" spans="1:17" ht="14.25" customHeight="1" x14ac:dyDescent="0.35">
      <c r="A56" s="32"/>
      <c r="B56" s="32"/>
      <c r="C56" s="92"/>
      <c r="D56" s="32"/>
      <c r="E56" s="9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16"/>
    </row>
    <row r="57" spans="1:17" ht="14.25" customHeight="1" x14ac:dyDescent="0.35">
      <c r="A57" s="32"/>
      <c r="B57" s="32"/>
      <c r="C57" s="92"/>
      <c r="D57" s="32"/>
      <c r="E57" s="9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16"/>
    </row>
    <row r="58" spans="1:17" ht="14.25" customHeight="1" x14ac:dyDescent="0.35">
      <c r="A58" s="32"/>
      <c r="B58" s="32"/>
      <c r="C58" s="92"/>
      <c r="D58" s="32"/>
      <c r="E58" s="9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16"/>
    </row>
    <row r="59" spans="1:17" ht="14.25" customHeight="1" x14ac:dyDescent="0.35">
      <c r="A59" s="32"/>
      <c r="B59" s="32"/>
      <c r="C59" s="92"/>
      <c r="D59" s="32"/>
      <c r="E59" s="9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16"/>
    </row>
    <row r="60" spans="1:17" ht="14.25" customHeight="1" x14ac:dyDescent="0.35">
      <c r="A60" s="32"/>
      <c r="B60" s="32"/>
      <c r="C60" s="92"/>
      <c r="D60" s="32"/>
      <c r="E60" s="9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16"/>
    </row>
    <row r="61" spans="1:17" ht="14.25" customHeight="1" x14ac:dyDescent="0.35">
      <c r="A61" s="32"/>
      <c r="B61" s="32"/>
      <c r="C61" s="92"/>
      <c r="D61" s="32"/>
      <c r="E61" s="9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16"/>
    </row>
    <row r="62" spans="1:17" ht="14.25" customHeight="1" x14ac:dyDescent="0.35">
      <c r="A62" s="32"/>
      <c r="B62" s="32"/>
      <c r="C62" s="92"/>
      <c r="D62" s="32"/>
      <c r="E62" s="9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16"/>
    </row>
    <row r="63" spans="1:17" ht="14.25" customHeight="1" x14ac:dyDescent="0.35">
      <c r="A63" s="32"/>
      <c r="B63" s="32"/>
      <c r="C63" s="92"/>
      <c r="D63" s="32"/>
      <c r="E63" s="9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16"/>
    </row>
    <row r="64" spans="1:17" ht="14.25" customHeight="1" x14ac:dyDescent="0.35">
      <c r="A64" s="32"/>
      <c r="B64" s="32"/>
      <c r="C64" s="92"/>
      <c r="D64" s="32"/>
      <c r="E64" s="9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16"/>
    </row>
    <row r="65" spans="1:17" ht="14.25" customHeight="1" x14ac:dyDescent="0.35">
      <c r="A65" s="32"/>
      <c r="B65" s="32"/>
      <c r="C65" s="92"/>
      <c r="D65" s="32"/>
      <c r="E65" s="9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16"/>
    </row>
    <row r="66" spans="1:17" ht="14.25" customHeight="1" x14ac:dyDescent="0.35">
      <c r="A66" s="32"/>
      <c r="B66" s="32"/>
      <c r="C66" s="92"/>
      <c r="D66" s="32"/>
      <c r="E66" s="9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16"/>
    </row>
    <row r="67" spans="1:17" ht="14.25" customHeight="1" x14ac:dyDescent="0.35">
      <c r="A67" s="32"/>
      <c r="B67" s="32"/>
      <c r="C67" s="92"/>
      <c r="D67" s="32"/>
      <c r="E67" s="9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16"/>
    </row>
    <row r="68" spans="1:17" ht="14.25" customHeight="1" x14ac:dyDescent="0.35">
      <c r="A68" s="32"/>
      <c r="B68" s="32"/>
      <c r="C68" s="92"/>
      <c r="D68" s="32"/>
      <c r="E68" s="9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16"/>
    </row>
    <row r="69" spans="1:17" ht="14.25" customHeight="1" x14ac:dyDescent="0.35">
      <c r="A69" s="32"/>
      <c r="B69" s="32"/>
      <c r="C69" s="92"/>
      <c r="D69" s="32"/>
      <c r="E69" s="9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16"/>
    </row>
    <row r="70" spans="1:17" ht="14.25" customHeight="1" x14ac:dyDescent="0.35">
      <c r="A70" s="32"/>
      <c r="B70" s="32"/>
      <c r="C70" s="92"/>
      <c r="D70" s="32"/>
      <c r="E70" s="9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16"/>
    </row>
    <row r="71" spans="1:17" ht="14.25" customHeight="1" x14ac:dyDescent="0.35">
      <c r="A71" s="32"/>
      <c r="B71" s="32"/>
      <c r="C71" s="92"/>
      <c r="D71" s="32"/>
      <c r="E71" s="9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16"/>
    </row>
    <row r="72" spans="1:17" ht="14.25" customHeight="1" x14ac:dyDescent="0.35">
      <c r="A72" s="32"/>
      <c r="B72" s="32"/>
      <c r="C72" s="92"/>
      <c r="D72" s="32"/>
      <c r="E72" s="9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16"/>
    </row>
    <row r="73" spans="1:17" ht="14.25" customHeight="1" x14ac:dyDescent="0.35">
      <c r="A73" s="32"/>
      <c r="B73" s="32"/>
      <c r="C73" s="92"/>
      <c r="D73" s="32"/>
      <c r="E73" s="9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16"/>
    </row>
    <row r="74" spans="1:17" ht="14.25" customHeight="1" x14ac:dyDescent="0.35">
      <c r="A74" s="32"/>
      <c r="B74" s="32"/>
      <c r="C74" s="92"/>
      <c r="D74" s="32"/>
      <c r="E74" s="9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16"/>
    </row>
    <row r="75" spans="1:17" ht="14.25" customHeight="1" x14ac:dyDescent="0.35">
      <c r="A75" s="32"/>
      <c r="B75" s="32"/>
      <c r="C75" s="92"/>
      <c r="D75" s="32"/>
      <c r="E75" s="9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16"/>
    </row>
    <row r="76" spans="1:17" ht="14.25" customHeight="1" x14ac:dyDescent="0.35">
      <c r="A76" s="32"/>
      <c r="B76" s="32"/>
      <c r="C76" s="92"/>
      <c r="D76" s="32"/>
      <c r="E76" s="9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16"/>
    </row>
    <row r="77" spans="1:17" ht="14.25" customHeight="1" x14ac:dyDescent="0.35">
      <c r="A77" s="32"/>
      <c r="B77" s="32"/>
      <c r="C77" s="92"/>
      <c r="D77" s="32"/>
      <c r="E77" s="9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16"/>
    </row>
    <row r="78" spans="1:17" ht="14.25" customHeight="1" x14ac:dyDescent="0.35">
      <c r="A78" s="32"/>
      <c r="B78" s="32"/>
      <c r="C78" s="92"/>
      <c r="D78" s="32"/>
      <c r="E78" s="9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16"/>
    </row>
    <row r="79" spans="1:17" ht="14.25" customHeight="1" x14ac:dyDescent="0.35">
      <c r="A79" s="32"/>
      <c r="B79" s="32"/>
      <c r="C79" s="92"/>
      <c r="D79" s="32"/>
      <c r="E79" s="9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16"/>
    </row>
    <row r="80" spans="1:17" ht="14.25" customHeight="1" x14ac:dyDescent="0.35">
      <c r="A80" s="32"/>
      <c r="B80" s="32"/>
      <c r="C80" s="92"/>
      <c r="D80" s="32"/>
      <c r="E80" s="9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16"/>
    </row>
    <row r="81" spans="1:17" ht="14.25" customHeight="1" x14ac:dyDescent="0.35">
      <c r="A81" s="32"/>
      <c r="B81" s="32"/>
      <c r="C81" s="92"/>
      <c r="D81" s="32"/>
      <c r="E81" s="9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16"/>
    </row>
    <row r="82" spans="1:17" ht="14.25" customHeight="1" x14ac:dyDescent="0.35">
      <c r="A82" s="32"/>
      <c r="B82" s="32"/>
      <c r="C82" s="92"/>
      <c r="D82" s="32"/>
      <c r="E82" s="9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16"/>
    </row>
    <row r="83" spans="1:17" ht="14.25" customHeight="1" x14ac:dyDescent="0.35">
      <c r="A83" s="32"/>
      <c r="B83" s="32"/>
      <c r="C83" s="92"/>
      <c r="D83" s="32"/>
      <c r="E83" s="9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16"/>
    </row>
    <row r="84" spans="1:17" ht="14.25" customHeight="1" x14ac:dyDescent="0.35">
      <c r="A84" s="32"/>
      <c r="B84" s="32"/>
      <c r="C84" s="92"/>
      <c r="D84" s="32"/>
      <c r="E84" s="9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16"/>
    </row>
    <row r="85" spans="1:17" ht="14.25" customHeight="1" x14ac:dyDescent="0.35">
      <c r="A85" s="32"/>
      <c r="B85" s="32"/>
      <c r="C85" s="92"/>
      <c r="D85" s="32"/>
      <c r="E85" s="9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16"/>
    </row>
    <row r="86" spans="1:17" ht="14.25" customHeight="1" x14ac:dyDescent="0.35">
      <c r="A86" s="32"/>
      <c r="B86" s="32"/>
      <c r="C86" s="92"/>
      <c r="D86" s="32"/>
      <c r="E86" s="9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16"/>
    </row>
    <row r="87" spans="1:17" ht="14.25" customHeight="1" x14ac:dyDescent="0.35">
      <c r="A87" s="32"/>
      <c r="B87" s="32"/>
      <c r="C87" s="92"/>
      <c r="D87" s="32"/>
      <c r="E87" s="9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16"/>
    </row>
    <row r="88" spans="1:17" ht="14.25" customHeight="1" x14ac:dyDescent="0.35">
      <c r="A88" s="32"/>
      <c r="B88" s="32"/>
      <c r="C88" s="92"/>
      <c r="D88" s="32"/>
      <c r="E88" s="9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16"/>
    </row>
    <row r="89" spans="1:17" ht="14.25" customHeight="1" x14ac:dyDescent="0.35">
      <c r="A89" s="32"/>
      <c r="B89" s="32"/>
      <c r="C89" s="92"/>
      <c r="D89" s="32"/>
      <c r="E89" s="9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16"/>
    </row>
    <row r="90" spans="1:17" ht="14.25" customHeight="1" x14ac:dyDescent="0.35">
      <c r="A90" s="32"/>
      <c r="B90" s="32"/>
      <c r="C90" s="92"/>
      <c r="D90" s="32"/>
      <c r="E90" s="9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16"/>
    </row>
    <row r="91" spans="1:17" ht="14.25" customHeight="1" x14ac:dyDescent="0.35">
      <c r="A91" s="32"/>
      <c r="B91" s="32"/>
      <c r="C91" s="92"/>
      <c r="D91" s="32"/>
      <c r="E91" s="9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16"/>
    </row>
    <row r="92" spans="1:17" ht="14.25" customHeight="1" x14ac:dyDescent="0.35">
      <c r="A92" s="32"/>
      <c r="B92" s="32"/>
      <c r="C92" s="92"/>
      <c r="D92" s="32"/>
      <c r="E92" s="9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16"/>
    </row>
    <row r="93" spans="1:17" ht="14.25" customHeight="1" x14ac:dyDescent="0.35">
      <c r="A93" s="32"/>
      <c r="B93" s="32"/>
      <c r="C93" s="92"/>
      <c r="D93" s="32"/>
      <c r="E93" s="9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16"/>
    </row>
    <row r="94" spans="1:17" ht="14.25" customHeight="1" x14ac:dyDescent="0.35">
      <c r="A94" s="32"/>
      <c r="B94" s="32"/>
      <c r="C94" s="92"/>
      <c r="D94" s="32"/>
      <c r="E94" s="9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16"/>
    </row>
    <row r="95" spans="1:17" ht="14.25" customHeight="1" x14ac:dyDescent="0.35">
      <c r="A95" s="32"/>
      <c r="B95" s="32"/>
      <c r="C95" s="92"/>
      <c r="D95" s="32"/>
      <c r="E95" s="9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16"/>
    </row>
    <row r="96" spans="1:17" ht="14.25" customHeight="1" x14ac:dyDescent="0.35">
      <c r="A96" s="32"/>
      <c r="B96" s="32"/>
      <c r="C96" s="92"/>
      <c r="D96" s="32"/>
      <c r="E96" s="9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16"/>
    </row>
    <row r="97" spans="1:17" ht="14.25" customHeight="1" x14ac:dyDescent="0.35">
      <c r="A97" s="32"/>
      <c r="B97" s="32"/>
      <c r="C97" s="92"/>
      <c r="D97" s="32"/>
      <c r="E97" s="9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16"/>
    </row>
    <row r="98" spans="1:17" ht="14.25" customHeight="1" x14ac:dyDescent="0.35">
      <c r="A98" s="32"/>
      <c r="B98" s="32"/>
      <c r="C98" s="92"/>
      <c r="D98" s="32"/>
      <c r="E98" s="9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16"/>
    </row>
    <row r="99" spans="1:17" ht="14.25" customHeight="1" x14ac:dyDescent="0.35">
      <c r="A99" s="32"/>
      <c r="B99" s="32"/>
      <c r="C99" s="92"/>
      <c r="D99" s="32"/>
      <c r="E99" s="9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16"/>
    </row>
    <row r="100" spans="1:17" ht="14.25" customHeight="1" x14ac:dyDescent="0.35">
      <c r="A100" s="32"/>
      <c r="B100" s="32"/>
      <c r="C100" s="92"/>
      <c r="D100" s="32"/>
      <c r="E100" s="9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16"/>
    </row>
    <row r="101" spans="1:17" ht="14.25" customHeight="1" x14ac:dyDescent="0.35">
      <c r="A101" s="32"/>
      <c r="B101" s="32"/>
      <c r="C101" s="92"/>
      <c r="D101" s="32"/>
      <c r="E101" s="9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16"/>
    </row>
    <row r="102" spans="1:17" ht="14.25" customHeight="1" x14ac:dyDescent="0.35">
      <c r="A102" s="32"/>
      <c r="B102" s="32"/>
      <c r="C102" s="92"/>
      <c r="D102" s="32"/>
      <c r="E102" s="9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16"/>
    </row>
    <row r="103" spans="1:17" ht="14.25" customHeight="1" x14ac:dyDescent="0.35">
      <c r="A103" s="32"/>
      <c r="B103" s="32"/>
      <c r="C103" s="92"/>
      <c r="D103" s="32"/>
      <c r="E103" s="9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16"/>
    </row>
    <row r="104" spans="1:17" ht="14.25" customHeight="1" x14ac:dyDescent="0.35">
      <c r="A104" s="32"/>
      <c r="B104" s="32"/>
      <c r="C104" s="92"/>
      <c r="D104" s="32"/>
      <c r="E104" s="9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16"/>
    </row>
    <row r="105" spans="1:17" ht="14.25" customHeight="1" x14ac:dyDescent="0.35">
      <c r="A105" s="32"/>
      <c r="B105" s="32"/>
      <c r="C105" s="92"/>
      <c r="D105" s="32"/>
      <c r="E105" s="9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16"/>
    </row>
    <row r="106" spans="1:17" ht="14.25" customHeight="1" x14ac:dyDescent="0.35">
      <c r="A106" s="32"/>
      <c r="B106" s="32"/>
      <c r="C106" s="92"/>
      <c r="D106" s="32"/>
      <c r="E106" s="9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16"/>
    </row>
    <row r="107" spans="1:17" ht="14.25" customHeight="1" x14ac:dyDescent="0.35">
      <c r="A107" s="32"/>
      <c r="B107" s="32"/>
      <c r="C107" s="92"/>
      <c r="D107" s="32"/>
      <c r="E107" s="9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16"/>
    </row>
    <row r="108" spans="1:17" ht="14.25" customHeight="1" x14ac:dyDescent="0.35">
      <c r="A108" s="32"/>
      <c r="B108" s="32"/>
      <c r="C108" s="92"/>
      <c r="D108" s="32"/>
      <c r="E108" s="9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16"/>
    </row>
    <row r="109" spans="1:17" ht="14.25" customHeight="1" x14ac:dyDescent="0.35">
      <c r="A109" s="32"/>
      <c r="B109" s="32"/>
      <c r="C109" s="92"/>
      <c r="D109" s="32"/>
      <c r="E109" s="9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16"/>
    </row>
    <row r="110" spans="1:17" ht="14.25" customHeight="1" x14ac:dyDescent="0.35">
      <c r="A110" s="32"/>
      <c r="B110" s="32"/>
      <c r="C110" s="92"/>
      <c r="D110" s="32"/>
      <c r="E110" s="9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16"/>
    </row>
    <row r="111" spans="1:17" ht="14.25" customHeight="1" x14ac:dyDescent="0.35">
      <c r="A111" s="32"/>
      <c r="B111" s="32"/>
      <c r="C111" s="92"/>
      <c r="D111" s="32"/>
      <c r="E111" s="9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16"/>
    </row>
    <row r="112" spans="1:17" ht="14.25" customHeight="1" x14ac:dyDescent="0.35">
      <c r="A112" s="32"/>
      <c r="B112" s="32"/>
      <c r="C112" s="92"/>
      <c r="D112" s="32"/>
      <c r="E112" s="9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16"/>
    </row>
    <row r="113" spans="1:17" ht="14.25" customHeight="1" x14ac:dyDescent="0.35">
      <c r="A113" s="32"/>
      <c r="B113" s="32"/>
      <c r="C113" s="92"/>
      <c r="D113" s="32"/>
      <c r="E113" s="9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16"/>
    </row>
    <row r="114" spans="1:17" ht="14.25" customHeight="1" x14ac:dyDescent="0.35">
      <c r="A114" s="32"/>
      <c r="B114" s="32"/>
      <c r="C114" s="92"/>
      <c r="D114" s="32"/>
      <c r="E114" s="9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16"/>
    </row>
    <row r="115" spans="1:17" ht="14.25" customHeight="1" x14ac:dyDescent="0.35">
      <c r="A115" s="32"/>
      <c r="B115" s="32"/>
      <c r="C115" s="92"/>
      <c r="D115" s="32"/>
      <c r="E115" s="9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16"/>
    </row>
    <row r="116" spans="1:17" ht="14.25" customHeight="1" x14ac:dyDescent="0.35">
      <c r="A116" s="32"/>
      <c r="B116" s="32"/>
      <c r="C116" s="92"/>
      <c r="D116" s="32"/>
      <c r="E116" s="9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16"/>
    </row>
    <row r="117" spans="1:17" ht="14.25" customHeight="1" x14ac:dyDescent="0.35">
      <c r="A117" s="32"/>
      <c r="B117" s="32"/>
      <c r="C117" s="92"/>
      <c r="D117" s="32"/>
      <c r="E117" s="9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16"/>
    </row>
    <row r="118" spans="1:17" ht="14.25" customHeight="1" x14ac:dyDescent="0.35">
      <c r="A118" s="32"/>
      <c r="B118" s="32"/>
      <c r="C118" s="92"/>
      <c r="D118" s="32"/>
      <c r="E118" s="9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16"/>
    </row>
    <row r="119" spans="1:17" ht="14.25" customHeight="1" x14ac:dyDescent="0.35">
      <c r="A119" s="32"/>
      <c r="B119" s="32"/>
      <c r="C119" s="92"/>
      <c r="D119" s="32"/>
      <c r="E119" s="9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16"/>
    </row>
    <row r="120" spans="1:17" ht="14.25" customHeight="1" x14ac:dyDescent="0.35">
      <c r="A120" s="32"/>
      <c r="B120" s="32"/>
      <c r="C120" s="92"/>
      <c r="D120" s="32"/>
      <c r="E120" s="9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16"/>
    </row>
    <row r="121" spans="1:17" ht="14.25" customHeight="1" x14ac:dyDescent="0.35">
      <c r="A121" s="32"/>
      <c r="B121" s="32"/>
      <c r="C121" s="92"/>
      <c r="D121" s="32"/>
      <c r="E121" s="9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16"/>
    </row>
    <row r="122" spans="1:17" ht="14.25" customHeight="1" x14ac:dyDescent="0.35">
      <c r="A122" s="32"/>
      <c r="B122" s="32"/>
      <c r="C122" s="92"/>
      <c r="D122" s="32"/>
      <c r="E122" s="9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16"/>
    </row>
    <row r="123" spans="1:17" ht="14.25" customHeight="1" x14ac:dyDescent="0.35">
      <c r="A123" s="32"/>
      <c r="B123" s="32"/>
      <c r="C123" s="92"/>
      <c r="D123" s="32"/>
      <c r="E123" s="9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16"/>
    </row>
    <row r="124" spans="1:17" ht="14.25" customHeight="1" x14ac:dyDescent="0.35">
      <c r="A124" s="32"/>
      <c r="B124" s="32"/>
      <c r="C124" s="92"/>
      <c r="D124" s="32"/>
      <c r="E124" s="9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16"/>
    </row>
    <row r="125" spans="1:17" ht="14.25" customHeight="1" x14ac:dyDescent="0.35">
      <c r="A125" s="32"/>
      <c r="B125" s="32"/>
      <c r="C125" s="92"/>
      <c r="D125" s="32"/>
      <c r="E125" s="9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16"/>
    </row>
    <row r="126" spans="1:17" ht="14.25" customHeight="1" x14ac:dyDescent="0.35">
      <c r="A126" s="32"/>
      <c r="B126" s="32"/>
      <c r="C126" s="92"/>
      <c r="D126" s="32"/>
      <c r="E126" s="9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16"/>
    </row>
    <row r="127" spans="1:17" ht="14.25" customHeight="1" x14ac:dyDescent="0.35">
      <c r="A127" s="32"/>
      <c r="B127" s="32"/>
      <c r="C127" s="92"/>
      <c r="D127" s="32"/>
      <c r="E127" s="9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16"/>
    </row>
    <row r="128" spans="1:17" ht="14.25" customHeight="1" x14ac:dyDescent="0.35">
      <c r="A128" s="32"/>
      <c r="B128" s="32"/>
      <c r="C128" s="92"/>
      <c r="D128" s="32"/>
      <c r="E128" s="9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16"/>
    </row>
    <row r="129" spans="1:17" ht="14.25" customHeight="1" x14ac:dyDescent="0.35">
      <c r="A129" s="32"/>
      <c r="B129" s="32"/>
      <c r="C129" s="92"/>
      <c r="D129" s="32"/>
      <c r="E129" s="9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16"/>
    </row>
    <row r="130" spans="1:17" ht="14.25" customHeight="1" x14ac:dyDescent="0.35">
      <c r="A130" s="32"/>
      <c r="B130" s="32"/>
      <c r="C130" s="92"/>
      <c r="D130" s="32"/>
      <c r="E130" s="9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16"/>
    </row>
    <row r="131" spans="1:17" ht="14.25" customHeight="1" x14ac:dyDescent="0.35">
      <c r="A131" s="32"/>
      <c r="B131" s="32"/>
      <c r="C131" s="92"/>
      <c r="D131" s="32"/>
      <c r="E131" s="9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16"/>
    </row>
    <row r="132" spans="1:17" ht="14.25" customHeight="1" x14ac:dyDescent="0.35">
      <c r="A132" s="32"/>
      <c r="B132" s="32"/>
      <c r="C132" s="92"/>
      <c r="D132" s="32"/>
      <c r="E132" s="9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16"/>
    </row>
    <row r="133" spans="1:17" ht="14.25" customHeight="1" x14ac:dyDescent="0.35">
      <c r="A133" s="32"/>
      <c r="B133" s="32"/>
      <c r="C133" s="92"/>
      <c r="D133" s="32"/>
      <c r="E133" s="9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16"/>
    </row>
    <row r="134" spans="1:17" ht="14.25" customHeight="1" x14ac:dyDescent="0.35">
      <c r="A134" s="32"/>
      <c r="B134" s="32"/>
      <c r="C134" s="92"/>
      <c r="D134" s="32"/>
      <c r="E134" s="9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16"/>
    </row>
    <row r="135" spans="1:17" ht="14.25" customHeight="1" x14ac:dyDescent="0.35">
      <c r="A135" s="32"/>
      <c r="B135" s="32"/>
      <c r="C135" s="92"/>
      <c r="D135" s="32"/>
      <c r="E135" s="9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16"/>
    </row>
    <row r="136" spans="1:17" ht="14.25" customHeight="1" x14ac:dyDescent="0.35">
      <c r="A136" s="32"/>
      <c r="B136" s="32"/>
      <c r="C136" s="92"/>
      <c r="D136" s="32"/>
      <c r="E136" s="9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16"/>
    </row>
    <row r="137" spans="1:17" ht="14.25" customHeight="1" x14ac:dyDescent="0.35">
      <c r="A137" s="32"/>
      <c r="B137" s="32"/>
      <c r="C137" s="92"/>
      <c r="D137" s="32"/>
      <c r="E137" s="9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16"/>
    </row>
    <row r="138" spans="1:17" ht="14.25" customHeight="1" x14ac:dyDescent="0.35">
      <c r="A138" s="32"/>
      <c r="B138" s="32"/>
      <c r="C138" s="92"/>
      <c r="D138" s="32"/>
      <c r="E138" s="9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16"/>
    </row>
    <row r="139" spans="1:17" ht="14.25" customHeight="1" x14ac:dyDescent="0.35">
      <c r="A139" s="32"/>
      <c r="B139" s="32"/>
      <c r="C139" s="92"/>
      <c r="D139" s="32"/>
      <c r="E139" s="9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16"/>
    </row>
    <row r="140" spans="1:17" ht="14.25" customHeight="1" x14ac:dyDescent="0.35">
      <c r="A140" s="32"/>
      <c r="B140" s="32"/>
      <c r="C140" s="92"/>
      <c r="D140" s="32"/>
      <c r="E140" s="9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16"/>
    </row>
    <row r="141" spans="1:17" ht="14.25" customHeight="1" x14ac:dyDescent="0.35">
      <c r="A141" s="32"/>
      <c r="B141" s="32"/>
      <c r="C141" s="92"/>
      <c r="D141" s="32"/>
      <c r="E141" s="9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16"/>
    </row>
    <row r="142" spans="1:17" ht="14.25" customHeight="1" x14ac:dyDescent="0.35">
      <c r="A142" s="32"/>
      <c r="B142" s="32"/>
      <c r="C142" s="92"/>
      <c r="D142" s="32"/>
      <c r="E142" s="9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16"/>
    </row>
    <row r="143" spans="1:17" ht="14.25" customHeight="1" x14ac:dyDescent="0.35">
      <c r="A143" s="32"/>
      <c r="B143" s="32"/>
      <c r="C143" s="92"/>
      <c r="D143" s="32"/>
      <c r="E143" s="9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16"/>
    </row>
    <row r="144" spans="1:17" ht="14.25" customHeight="1" x14ac:dyDescent="0.35">
      <c r="A144" s="32"/>
      <c r="B144" s="32"/>
      <c r="C144" s="92"/>
      <c r="D144" s="32"/>
      <c r="E144" s="9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16"/>
    </row>
    <row r="145" spans="1:17" ht="14.25" customHeight="1" x14ac:dyDescent="0.35">
      <c r="A145" s="32"/>
      <c r="B145" s="32"/>
      <c r="C145" s="92"/>
      <c r="D145" s="32"/>
      <c r="E145" s="9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16"/>
    </row>
    <row r="146" spans="1:17" ht="14.25" customHeight="1" x14ac:dyDescent="0.35">
      <c r="A146" s="32"/>
      <c r="B146" s="32"/>
      <c r="C146" s="92"/>
      <c r="D146" s="32"/>
      <c r="E146" s="9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16"/>
    </row>
    <row r="147" spans="1:17" ht="14.25" customHeight="1" x14ac:dyDescent="0.35">
      <c r="A147" s="32"/>
      <c r="B147" s="32"/>
      <c r="C147" s="92"/>
      <c r="D147" s="32"/>
      <c r="E147" s="9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16"/>
    </row>
    <row r="148" spans="1:17" ht="14.25" customHeight="1" x14ac:dyDescent="0.35">
      <c r="A148" s="32"/>
      <c r="B148" s="32"/>
      <c r="C148" s="92"/>
      <c r="D148" s="32"/>
      <c r="E148" s="9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16"/>
    </row>
    <row r="149" spans="1:17" ht="14.25" customHeight="1" x14ac:dyDescent="0.35">
      <c r="A149" s="32"/>
      <c r="B149" s="32"/>
      <c r="C149" s="92"/>
      <c r="D149" s="32"/>
      <c r="E149" s="9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16"/>
    </row>
    <row r="150" spans="1:17" ht="14.25" customHeight="1" x14ac:dyDescent="0.35">
      <c r="A150" s="32"/>
      <c r="B150" s="32"/>
      <c r="C150" s="92"/>
      <c r="D150" s="32"/>
      <c r="E150" s="9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16"/>
    </row>
    <row r="151" spans="1:17" ht="14.25" customHeight="1" x14ac:dyDescent="0.35">
      <c r="A151" s="32"/>
      <c r="B151" s="32"/>
      <c r="C151" s="92"/>
      <c r="D151" s="32"/>
      <c r="E151" s="9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16"/>
    </row>
    <row r="152" spans="1:17" ht="14.25" customHeight="1" x14ac:dyDescent="0.35">
      <c r="A152" s="32"/>
      <c r="B152" s="32"/>
      <c r="C152" s="92"/>
      <c r="D152" s="32"/>
      <c r="E152" s="9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16"/>
    </row>
    <row r="153" spans="1:17" ht="14.25" customHeight="1" x14ac:dyDescent="0.35">
      <c r="A153" s="32"/>
      <c r="B153" s="32"/>
      <c r="C153" s="92"/>
      <c r="D153" s="32"/>
      <c r="E153" s="9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16"/>
    </row>
    <row r="154" spans="1:17" ht="14.25" customHeight="1" x14ac:dyDescent="0.35">
      <c r="A154" s="32"/>
      <c r="B154" s="32"/>
      <c r="C154" s="92"/>
      <c r="D154" s="32"/>
      <c r="E154" s="9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16"/>
    </row>
    <row r="155" spans="1:17" ht="14.25" customHeight="1" x14ac:dyDescent="0.35">
      <c r="A155" s="32"/>
      <c r="B155" s="32"/>
      <c r="C155" s="92"/>
      <c r="D155" s="32"/>
      <c r="E155" s="9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16"/>
    </row>
    <row r="156" spans="1:17" ht="14.25" customHeight="1" x14ac:dyDescent="0.35">
      <c r="A156" s="32"/>
      <c r="B156" s="32"/>
      <c r="C156" s="92"/>
      <c r="D156" s="32"/>
      <c r="E156" s="9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16"/>
    </row>
    <row r="157" spans="1:17" ht="14.25" customHeight="1" x14ac:dyDescent="0.35">
      <c r="A157" s="32"/>
      <c r="B157" s="32"/>
      <c r="C157" s="92"/>
      <c r="D157" s="32"/>
      <c r="E157" s="9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16"/>
    </row>
    <row r="158" spans="1:17" ht="14.25" customHeight="1" x14ac:dyDescent="0.35">
      <c r="A158" s="32"/>
      <c r="B158" s="32"/>
      <c r="C158" s="92"/>
      <c r="D158" s="32"/>
      <c r="E158" s="9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16"/>
    </row>
    <row r="159" spans="1:17" ht="14.25" customHeight="1" x14ac:dyDescent="0.35">
      <c r="A159" s="32"/>
      <c r="B159" s="32"/>
      <c r="C159" s="92"/>
      <c r="D159" s="32"/>
      <c r="E159" s="9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16"/>
    </row>
    <row r="160" spans="1:17" ht="14.25" customHeight="1" x14ac:dyDescent="0.35">
      <c r="A160" s="32"/>
      <c r="B160" s="32"/>
      <c r="C160" s="92"/>
      <c r="D160" s="32"/>
      <c r="E160" s="9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16"/>
    </row>
    <row r="161" spans="1:17" ht="14.25" customHeight="1" x14ac:dyDescent="0.35">
      <c r="A161" s="32"/>
      <c r="B161" s="32"/>
      <c r="C161" s="92"/>
      <c r="D161" s="32"/>
      <c r="E161" s="9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16"/>
    </row>
    <row r="162" spans="1:17" ht="14.25" customHeight="1" x14ac:dyDescent="0.35">
      <c r="A162" s="32"/>
      <c r="B162" s="32"/>
      <c r="C162" s="92"/>
      <c r="D162" s="32"/>
      <c r="E162" s="9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16"/>
    </row>
    <row r="163" spans="1:17" ht="14.25" customHeight="1" x14ac:dyDescent="0.35">
      <c r="A163" s="32"/>
      <c r="B163" s="32"/>
      <c r="C163" s="92"/>
      <c r="D163" s="32"/>
      <c r="E163" s="9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16"/>
    </row>
    <row r="164" spans="1:17" ht="14.25" customHeight="1" x14ac:dyDescent="0.35">
      <c r="A164" s="32"/>
      <c r="B164" s="32"/>
      <c r="C164" s="92"/>
      <c r="D164" s="32"/>
      <c r="E164" s="9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16"/>
    </row>
    <row r="165" spans="1:17" ht="14.25" customHeight="1" x14ac:dyDescent="0.35">
      <c r="A165" s="32"/>
      <c r="B165" s="32"/>
      <c r="C165" s="92"/>
      <c r="D165" s="32"/>
      <c r="E165" s="9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16"/>
    </row>
    <row r="166" spans="1:17" ht="14.25" customHeight="1" x14ac:dyDescent="0.35">
      <c r="A166" s="32"/>
      <c r="B166" s="32"/>
      <c r="C166" s="92"/>
      <c r="D166" s="32"/>
      <c r="E166" s="9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16"/>
    </row>
    <row r="167" spans="1:17" ht="14.25" customHeight="1" x14ac:dyDescent="0.35">
      <c r="A167" s="32"/>
      <c r="B167" s="32"/>
      <c r="C167" s="92"/>
      <c r="D167" s="32"/>
      <c r="E167" s="9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16"/>
    </row>
    <row r="168" spans="1:17" ht="14.25" customHeight="1" x14ac:dyDescent="0.35">
      <c r="A168" s="32"/>
      <c r="B168" s="32"/>
      <c r="C168" s="92"/>
      <c r="D168" s="32"/>
      <c r="E168" s="9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16"/>
    </row>
    <row r="169" spans="1:17" ht="14.25" customHeight="1" x14ac:dyDescent="0.35">
      <c r="A169" s="32"/>
      <c r="B169" s="32"/>
      <c r="C169" s="92"/>
      <c r="D169" s="32"/>
      <c r="E169" s="9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16"/>
    </row>
    <row r="170" spans="1:17" ht="14.25" customHeight="1" x14ac:dyDescent="0.35">
      <c r="A170" s="32"/>
      <c r="B170" s="32"/>
      <c r="C170" s="92"/>
      <c r="D170" s="32"/>
      <c r="E170" s="9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16"/>
    </row>
    <row r="171" spans="1:17" ht="14.25" customHeight="1" x14ac:dyDescent="0.35">
      <c r="A171" s="32"/>
      <c r="B171" s="32"/>
      <c r="C171" s="92"/>
      <c r="D171" s="32"/>
      <c r="E171" s="9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16"/>
    </row>
    <row r="172" spans="1:17" ht="14.25" customHeight="1" x14ac:dyDescent="0.35">
      <c r="A172" s="32"/>
      <c r="B172" s="32"/>
      <c r="C172" s="92"/>
      <c r="D172" s="32"/>
      <c r="E172" s="9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16"/>
    </row>
    <row r="173" spans="1:17" ht="14.25" customHeight="1" x14ac:dyDescent="0.35">
      <c r="A173" s="32"/>
      <c r="B173" s="32"/>
      <c r="C173" s="92"/>
      <c r="D173" s="32"/>
      <c r="E173" s="9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16"/>
    </row>
    <row r="174" spans="1:17" ht="14.25" customHeight="1" x14ac:dyDescent="0.35">
      <c r="A174" s="32"/>
      <c r="B174" s="32"/>
      <c r="C174" s="92"/>
      <c r="D174" s="32"/>
      <c r="E174" s="9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16"/>
    </row>
    <row r="175" spans="1:17" ht="14.25" customHeight="1" x14ac:dyDescent="0.35">
      <c r="A175" s="32"/>
      <c r="B175" s="32"/>
      <c r="C175" s="92"/>
      <c r="D175" s="32"/>
      <c r="E175" s="9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16"/>
    </row>
    <row r="176" spans="1:17" ht="14.25" customHeight="1" x14ac:dyDescent="0.35">
      <c r="A176" s="32"/>
      <c r="B176" s="32"/>
      <c r="C176" s="92"/>
      <c r="D176" s="32"/>
      <c r="E176" s="9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16"/>
    </row>
    <row r="177" spans="1:17" ht="14.25" customHeight="1" x14ac:dyDescent="0.35">
      <c r="A177" s="32"/>
      <c r="B177" s="32"/>
      <c r="C177" s="92"/>
      <c r="D177" s="32"/>
      <c r="E177" s="9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16"/>
    </row>
    <row r="178" spans="1:17" ht="14.25" customHeight="1" x14ac:dyDescent="0.35">
      <c r="A178" s="32"/>
      <c r="B178" s="32"/>
      <c r="C178" s="92"/>
      <c r="D178" s="32"/>
      <c r="E178" s="9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16"/>
    </row>
    <row r="179" spans="1:17" ht="14.25" customHeight="1" x14ac:dyDescent="0.35">
      <c r="A179" s="32"/>
      <c r="B179" s="32"/>
      <c r="C179" s="92"/>
      <c r="D179" s="32"/>
      <c r="E179" s="9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16"/>
    </row>
    <row r="180" spans="1:17" ht="14.25" customHeight="1" x14ac:dyDescent="0.35">
      <c r="A180" s="32"/>
      <c r="B180" s="32"/>
      <c r="C180" s="92"/>
      <c r="D180" s="32"/>
      <c r="E180" s="9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16"/>
    </row>
    <row r="181" spans="1:17" ht="14.25" customHeight="1" x14ac:dyDescent="0.35">
      <c r="A181" s="32"/>
      <c r="B181" s="32"/>
      <c r="C181" s="92"/>
      <c r="D181" s="32"/>
      <c r="E181" s="9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16"/>
    </row>
    <row r="182" spans="1:17" ht="14.25" customHeight="1" x14ac:dyDescent="0.35">
      <c r="A182" s="32"/>
      <c r="B182" s="32"/>
      <c r="C182" s="92"/>
      <c r="D182" s="32"/>
      <c r="E182" s="9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16"/>
    </row>
    <row r="183" spans="1:17" ht="14.25" customHeight="1" x14ac:dyDescent="0.35">
      <c r="A183" s="32"/>
      <c r="B183" s="32"/>
      <c r="C183" s="92"/>
      <c r="D183" s="32"/>
      <c r="E183" s="9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16"/>
    </row>
    <row r="184" spans="1:17" ht="14.25" customHeight="1" x14ac:dyDescent="0.35">
      <c r="A184" s="32"/>
      <c r="B184" s="32"/>
      <c r="C184" s="92"/>
      <c r="D184" s="32"/>
      <c r="E184" s="9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16"/>
    </row>
    <row r="185" spans="1:17" ht="14.25" customHeight="1" x14ac:dyDescent="0.35">
      <c r="A185" s="32"/>
      <c r="B185" s="32"/>
      <c r="C185" s="92"/>
      <c r="D185" s="32"/>
      <c r="E185" s="9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16"/>
    </row>
    <row r="186" spans="1:17" ht="14.25" customHeight="1" x14ac:dyDescent="0.35">
      <c r="A186" s="32"/>
      <c r="B186" s="32"/>
      <c r="C186" s="92"/>
      <c r="D186" s="32"/>
      <c r="E186" s="9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16"/>
    </row>
    <row r="187" spans="1:17" ht="14.25" customHeight="1" x14ac:dyDescent="0.35">
      <c r="A187" s="32"/>
      <c r="B187" s="32"/>
      <c r="C187" s="92"/>
      <c r="D187" s="32"/>
      <c r="E187" s="9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16"/>
    </row>
    <row r="188" spans="1:17" ht="14.25" customHeight="1" x14ac:dyDescent="0.35">
      <c r="A188" s="32"/>
      <c r="B188" s="32"/>
      <c r="C188" s="92"/>
      <c r="D188" s="32"/>
      <c r="E188" s="9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16"/>
    </row>
    <row r="189" spans="1:17" ht="14.25" customHeight="1" x14ac:dyDescent="0.35">
      <c r="A189" s="32"/>
      <c r="B189" s="32"/>
      <c r="C189" s="92"/>
      <c r="D189" s="32"/>
      <c r="E189" s="9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16"/>
    </row>
    <row r="190" spans="1:17" ht="14.25" customHeight="1" x14ac:dyDescent="0.35">
      <c r="A190" s="32"/>
      <c r="B190" s="32"/>
      <c r="C190" s="92"/>
      <c r="D190" s="32"/>
      <c r="E190" s="9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16"/>
    </row>
    <row r="191" spans="1:17" ht="14.25" customHeight="1" x14ac:dyDescent="0.35">
      <c r="A191" s="32"/>
      <c r="B191" s="32"/>
      <c r="C191" s="92"/>
      <c r="D191" s="32"/>
      <c r="E191" s="9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16"/>
    </row>
    <row r="192" spans="1:17" ht="14.25" customHeight="1" x14ac:dyDescent="0.35">
      <c r="A192" s="32"/>
      <c r="B192" s="32"/>
      <c r="C192" s="92"/>
      <c r="D192" s="32"/>
      <c r="E192" s="9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16"/>
    </row>
    <row r="193" spans="1:17" ht="14.25" customHeight="1" x14ac:dyDescent="0.35">
      <c r="A193" s="32"/>
      <c r="B193" s="32"/>
      <c r="C193" s="92"/>
      <c r="D193" s="32"/>
      <c r="E193" s="9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16"/>
    </row>
    <row r="194" spans="1:17" ht="14.25" customHeight="1" x14ac:dyDescent="0.35">
      <c r="A194" s="32"/>
      <c r="B194" s="32"/>
      <c r="C194" s="92"/>
      <c r="D194" s="32"/>
      <c r="E194" s="9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16"/>
    </row>
    <row r="195" spans="1:17" ht="14.25" customHeight="1" x14ac:dyDescent="0.35">
      <c r="A195" s="32"/>
      <c r="B195" s="32"/>
      <c r="C195" s="92"/>
      <c r="D195" s="32"/>
      <c r="E195" s="9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16"/>
    </row>
    <row r="196" spans="1:17" ht="14.25" customHeight="1" x14ac:dyDescent="0.35">
      <c r="A196" s="32"/>
      <c r="B196" s="32"/>
      <c r="C196" s="92"/>
      <c r="D196" s="32"/>
      <c r="E196" s="9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16"/>
    </row>
    <row r="197" spans="1:17" ht="14.25" customHeight="1" x14ac:dyDescent="0.35">
      <c r="A197" s="32"/>
      <c r="B197" s="32"/>
      <c r="C197" s="92"/>
      <c r="D197" s="32"/>
      <c r="E197" s="9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16"/>
    </row>
    <row r="198" spans="1:17" ht="14.25" customHeight="1" x14ac:dyDescent="0.35">
      <c r="A198" s="32"/>
      <c r="B198" s="32"/>
      <c r="C198" s="92"/>
      <c r="D198" s="32"/>
      <c r="E198" s="9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16"/>
    </row>
    <row r="199" spans="1:17" ht="14.25" customHeight="1" x14ac:dyDescent="0.35">
      <c r="A199" s="32"/>
      <c r="B199" s="32"/>
      <c r="C199" s="92"/>
      <c r="D199" s="32"/>
      <c r="E199" s="9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16"/>
    </row>
    <row r="200" spans="1:17" ht="14.25" customHeight="1" x14ac:dyDescent="0.35">
      <c r="A200" s="32"/>
      <c r="B200" s="32"/>
      <c r="C200" s="92"/>
      <c r="D200" s="32"/>
      <c r="E200" s="9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16"/>
    </row>
    <row r="201" spans="1:17" ht="14.25" customHeight="1" x14ac:dyDescent="0.35">
      <c r="A201" s="32"/>
      <c r="B201" s="32"/>
      <c r="C201" s="92"/>
      <c r="D201" s="32"/>
      <c r="E201" s="9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16"/>
    </row>
    <row r="202" spans="1:17" ht="14.25" customHeight="1" x14ac:dyDescent="0.35">
      <c r="A202" s="32"/>
      <c r="B202" s="32"/>
      <c r="C202" s="92"/>
      <c r="D202" s="32"/>
      <c r="E202" s="9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16"/>
    </row>
    <row r="203" spans="1:17" ht="14.25" customHeight="1" x14ac:dyDescent="0.35">
      <c r="A203" s="32"/>
      <c r="B203" s="32"/>
      <c r="C203" s="92"/>
      <c r="D203" s="32"/>
      <c r="E203" s="9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16"/>
    </row>
    <row r="204" spans="1:17" ht="14.25" customHeight="1" x14ac:dyDescent="0.35">
      <c r="A204" s="32"/>
      <c r="B204" s="32"/>
      <c r="C204" s="92"/>
      <c r="D204" s="32"/>
      <c r="E204" s="9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16"/>
    </row>
    <row r="205" spans="1:17" ht="14.25" customHeight="1" x14ac:dyDescent="0.35">
      <c r="A205" s="32"/>
      <c r="B205" s="32"/>
      <c r="C205" s="92"/>
      <c r="D205" s="32"/>
      <c r="E205" s="9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16"/>
    </row>
    <row r="206" spans="1:17" ht="14.25" customHeight="1" x14ac:dyDescent="0.35">
      <c r="A206" s="32"/>
      <c r="B206" s="32"/>
      <c r="C206" s="92"/>
      <c r="D206" s="32"/>
      <c r="E206" s="9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16"/>
    </row>
    <row r="207" spans="1:17" ht="14.25" customHeight="1" x14ac:dyDescent="0.35">
      <c r="A207" s="32"/>
      <c r="B207" s="32"/>
      <c r="C207" s="92"/>
      <c r="D207" s="32"/>
      <c r="E207" s="9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16"/>
    </row>
    <row r="208" spans="1:17" ht="14.25" customHeight="1" x14ac:dyDescent="0.35">
      <c r="A208" s="32"/>
      <c r="B208" s="32"/>
      <c r="C208" s="92"/>
      <c r="D208" s="32"/>
      <c r="E208" s="9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16"/>
    </row>
    <row r="209" spans="1:17" ht="14.25" customHeight="1" x14ac:dyDescent="0.35">
      <c r="A209" s="32"/>
      <c r="B209" s="32"/>
      <c r="C209" s="92"/>
      <c r="D209" s="32"/>
      <c r="E209" s="9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16"/>
    </row>
    <row r="210" spans="1:17" ht="14.25" customHeight="1" x14ac:dyDescent="0.35">
      <c r="A210" s="32"/>
      <c r="B210" s="32"/>
      <c r="C210" s="92"/>
      <c r="D210" s="32"/>
      <c r="E210" s="9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16"/>
    </row>
    <row r="211" spans="1:17" ht="14.25" customHeight="1" x14ac:dyDescent="0.35">
      <c r="A211" s="32"/>
      <c r="B211" s="32"/>
      <c r="C211" s="92"/>
      <c r="D211" s="32"/>
      <c r="E211" s="9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16"/>
    </row>
    <row r="212" spans="1:17" ht="14.25" customHeight="1" x14ac:dyDescent="0.35">
      <c r="A212" s="32"/>
      <c r="B212" s="32"/>
      <c r="C212" s="92"/>
      <c r="D212" s="32"/>
      <c r="E212" s="9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16"/>
    </row>
    <row r="213" spans="1:17" ht="14.25" customHeight="1" x14ac:dyDescent="0.35">
      <c r="A213" s="32"/>
      <c r="B213" s="32"/>
      <c r="C213" s="92"/>
      <c r="D213" s="32"/>
      <c r="E213" s="9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16"/>
    </row>
    <row r="214" spans="1:17" ht="14.25" customHeight="1" x14ac:dyDescent="0.35">
      <c r="A214" s="32"/>
      <c r="B214" s="32"/>
      <c r="C214" s="92"/>
      <c r="D214" s="32"/>
      <c r="E214" s="9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16"/>
    </row>
    <row r="215" spans="1:17" ht="14.25" customHeight="1" x14ac:dyDescent="0.35">
      <c r="A215" s="32"/>
      <c r="B215" s="32"/>
      <c r="C215" s="92"/>
      <c r="D215" s="32"/>
      <c r="E215" s="9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16"/>
    </row>
    <row r="216" spans="1:17" ht="14.25" customHeight="1" x14ac:dyDescent="0.35">
      <c r="A216" s="32"/>
      <c r="B216" s="32"/>
      <c r="C216" s="92"/>
      <c r="D216" s="32"/>
      <c r="E216" s="9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16"/>
    </row>
    <row r="217" spans="1:17" ht="14.25" customHeight="1" x14ac:dyDescent="0.35">
      <c r="A217" s="32"/>
      <c r="B217" s="32"/>
      <c r="C217" s="92"/>
      <c r="D217" s="32"/>
      <c r="E217" s="9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16"/>
    </row>
    <row r="218" spans="1:17" ht="14.25" customHeight="1" x14ac:dyDescent="0.35">
      <c r="A218" s="32"/>
      <c r="B218" s="32"/>
      <c r="C218" s="92"/>
      <c r="D218" s="32"/>
      <c r="E218" s="9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16"/>
    </row>
    <row r="219" spans="1:17" ht="14.25" customHeight="1" x14ac:dyDescent="0.35">
      <c r="A219" s="32"/>
      <c r="B219" s="32"/>
      <c r="C219" s="92"/>
      <c r="D219" s="32"/>
      <c r="E219" s="9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16"/>
    </row>
    <row r="220" spans="1:17" ht="14.25" customHeight="1" x14ac:dyDescent="0.35">
      <c r="A220" s="32"/>
      <c r="B220" s="32"/>
      <c r="C220" s="92"/>
      <c r="D220" s="32"/>
      <c r="E220" s="9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16"/>
    </row>
    <row r="221" spans="1:17" ht="14.25" customHeight="1" x14ac:dyDescent="0.35">
      <c r="A221" s="32"/>
      <c r="B221" s="32"/>
      <c r="C221" s="92"/>
      <c r="D221" s="32"/>
      <c r="E221" s="9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16"/>
    </row>
    <row r="222" spans="1:17" ht="14.25" customHeight="1" x14ac:dyDescent="0.35">
      <c r="A222" s="32"/>
      <c r="B222" s="32"/>
      <c r="C222" s="92"/>
      <c r="D222" s="32"/>
      <c r="E222" s="9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16"/>
    </row>
    <row r="223" spans="1:17" ht="14.25" customHeight="1" x14ac:dyDescent="0.35">
      <c r="A223" s="32"/>
      <c r="B223" s="32"/>
      <c r="C223" s="92"/>
      <c r="D223" s="32"/>
      <c r="E223" s="9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16"/>
    </row>
    <row r="224" spans="1:17" ht="14.25" customHeight="1" x14ac:dyDescent="0.35">
      <c r="A224" s="32"/>
      <c r="B224" s="32"/>
      <c r="C224" s="92"/>
      <c r="D224" s="32"/>
      <c r="E224" s="9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16"/>
    </row>
    <row r="225" spans="1:17" ht="14.25" customHeight="1" x14ac:dyDescent="0.35">
      <c r="A225" s="32"/>
      <c r="B225" s="32"/>
      <c r="C225" s="92"/>
      <c r="D225" s="32"/>
      <c r="E225" s="9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16"/>
    </row>
    <row r="226" spans="1:17" ht="14.25" customHeight="1" x14ac:dyDescent="0.35">
      <c r="A226" s="32"/>
      <c r="B226" s="32"/>
      <c r="C226" s="92"/>
      <c r="D226" s="32"/>
      <c r="E226" s="9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16"/>
    </row>
    <row r="227" spans="1:17" ht="14.25" customHeight="1" x14ac:dyDescent="0.35">
      <c r="A227" s="32"/>
      <c r="B227" s="32"/>
      <c r="C227" s="92"/>
      <c r="D227" s="32"/>
      <c r="E227" s="9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16"/>
    </row>
    <row r="228" spans="1:17" ht="14.25" customHeight="1" x14ac:dyDescent="0.35">
      <c r="A228" s="32"/>
      <c r="B228" s="32"/>
      <c r="C228" s="92"/>
      <c r="D228" s="32"/>
      <c r="E228" s="9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16"/>
    </row>
    <row r="229" spans="1:17" ht="14.25" customHeight="1" x14ac:dyDescent="0.35">
      <c r="A229" s="32"/>
      <c r="B229" s="32"/>
      <c r="C229" s="92"/>
      <c r="D229" s="32"/>
      <c r="E229" s="9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16"/>
    </row>
    <row r="230" spans="1:17" ht="14.25" customHeight="1" x14ac:dyDescent="0.35">
      <c r="A230" s="32"/>
      <c r="B230" s="32"/>
      <c r="C230" s="92"/>
      <c r="D230" s="32"/>
      <c r="E230" s="9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16"/>
    </row>
    <row r="231" spans="1:17" ht="14.25" customHeight="1" x14ac:dyDescent="0.35">
      <c r="A231" s="32"/>
      <c r="B231" s="32"/>
      <c r="C231" s="92"/>
      <c r="D231" s="32"/>
      <c r="E231" s="9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16"/>
    </row>
    <row r="232" spans="1:17" ht="14.25" customHeight="1" x14ac:dyDescent="0.35">
      <c r="A232" s="32"/>
      <c r="B232" s="32"/>
      <c r="C232" s="92"/>
      <c r="D232" s="32"/>
      <c r="E232" s="9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16"/>
    </row>
    <row r="233" spans="1:17" ht="14.25" customHeight="1" x14ac:dyDescent="0.35">
      <c r="A233" s="32"/>
      <c r="B233" s="32"/>
      <c r="C233" s="92"/>
      <c r="D233" s="32"/>
      <c r="E233" s="9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16"/>
    </row>
    <row r="234" spans="1:17" ht="14.25" customHeight="1" x14ac:dyDescent="0.35">
      <c r="A234" s="32"/>
      <c r="B234" s="32"/>
      <c r="C234" s="92"/>
      <c r="D234" s="32"/>
      <c r="E234" s="9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16"/>
    </row>
    <row r="235" spans="1:17" ht="14.25" customHeight="1" x14ac:dyDescent="0.35">
      <c r="A235" s="32"/>
      <c r="B235" s="32"/>
      <c r="C235" s="92"/>
      <c r="D235" s="32"/>
      <c r="E235" s="9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16"/>
    </row>
    <row r="236" spans="1:17" ht="14.25" customHeight="1" x14ac:dyDescent="0.35">
      <c r="A236" s="32"/>
      <c r="B236" s="32"/>
      <c r="C236" s="92"/>
      <c r="D236" s="32"/>
      <c r="E236" s="9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16"/>
    </row>
    <row r="237" spans="1:17" ht="14.25" customHeight="1" x14ac:dyDescent="0.35">
      <c r="A237" s="32"/>
      <c r="B237" s="32"/>
      <c r="C237" s="92"/>
      <c r="D237" s="32"/>
      <c r="E237" s="9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16"/>
    </row>
    <row r="238" spans="1:17" ht="14.25" customHeight="1" x14ac:dyDescent="0.35">
      <c r="A238" s="32"/>
      <c r="B238" s="32"/>
      <c r="C238" s="92"/>
      <c r="D238" s="32"/>
      <c r="E238" s="9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16"/>
    </row>
    <row r="239" spans="1:17" ht="14.25" customHeight="1" x14ac:dyDescent="0.35">
      <c r="A239" s="32"/>
      <c r="B239" s="32"/>
      <c r="C239" s="92"/>
      <c r="D239" s="32"/>
      <c r="E239" s="9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16"/>
    </row>
    <row r="240" spans="1:17" ht="14.25" customHeight="1" x14ac:dyDescent="0.35">
      <c r="A240" s="32"/>
      <c r="B240" s="32"/>
      <c r="C240" s="92"/>
      <c r="D240" s="32"/>
      <c r="E240" s="9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16"/>
    </row>
    <row r="241" spans="1:17" ht="14.25" customHeight="1" x14ac:dyDescent="0.35">
      <c r="A241" s="32"/>
      <c r="B241" s="32"/>
      <c r="C241" s="92"/>
      <c r="D241" s="32"/>
      <c r="E241" s="9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16"/>
    </row>
    <row r="242" spans="1:17" ht="14.25" customHeight="1" x14ac:dyDescent="0.35">
      <c r="A242" s="32"/>
      <c r="B242" s="32"/>
      <c r="C242" s="92"/>
      <c r="D242" s="32"/>
      <c r="E242" s="9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16"/>
    </row>
    <row r="243" spans="1:17" ht="14.25" customHeight="1" x14ac:dyDescent="0.35">
      <c r="A243" s="32"/>
      <c r="B243" s="32"/>
      <c r="C243" s="92"/>
      <c r="D243" s="32"/>
      <c r="E243" s="9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16"/>
    </row>
    <row r="244" spans="1:17" ht="14.25" customHeight="1" x14ac:dyDescent="0.35">
      <c r="A244" s="32"/>
      <c r="B244" s="32"/>
      <c r="C244" s="92"/>
      <c r="D244" s="32"/>
      <c r="E244" s="9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16"/>
    </row>
    <row r="245" spans="1:17" ht="14.25" customHeight="1" x14ac:dyDescent="0.35">
      <c r="C245" s="3"/>
      <c r="E245" s="3"/>
      <c r="Q245" s="16"/>
    </row>
    <row r="246" spans="1:17" ht="14.25" customHeight="1" x14ac:dyDescent="0.35">
      <c r="C246" s="3"/>
      <c r="E246" s="3"/>
      <c r="Q246" s="16"/>
    </row>
    <row r="247" spans="1:17" ht="15.75" customHeight="1" x14ac:dyDescent="0.35">
      <c r="C247" s="3"/>
      <c r="E247" s="3"/>
      <c r="Q247" s="16"/>
    </row>
    <row r="248" spans="1:17" ht="15.75" customHeight="1" x14ac:dyDescent="0.35">
      <c r="C248" s="3"/>
      <c r="E248" s="3"/>
      <c r="Q248" s="16"/>
    </row>
    <row r="249" spans="1:17" ht="15.75" customHeight="1" x14ac:dyDescent="0.35">
      <c r="C249" s="3"/>
      <c r="E249" s="3"/>
      <c r="Q249" s="16"/>
    </row>
    <row r="250" spans="1:17" ht="15.75" customHeight="1" x14ac:dyDescent="0.35">
      <c r="C250" s="3"/>
      <c r="E250" s="3"/>
      <c r="Q250" s="16"/>
    </row>
    <row r="251" spans="1:17" ht="15.75" customHeight="1" x14ac:dyDescent="0.35">
      <c r="C251" s="3"/>
      <c r="E251" s="3"/>
      <c r="Q251" s="16"/>
    </row>
    <row r="252" spans="1:17" ht="15.75" customHeight="1" x14ac:dyDescent="0.35">
      <c r="C252" s="3"/>
      <c r="E252" s="3"/>
      <c r="Q252" s="16"/>
    </row>
    <row r="253" spans="1:17" ht="15.75" customHeight="1" x14ac:dyDescent="0.35">
      <c r="C253" s="3"/>
      <c r="E253" s="3"/>
      <c r="Q253" s="16"/>
    </row>
    <row r="254" spans="1:17" ht="15.75" customHeight="1" x14ac:dyDescent="0.35">
      <c r="C254" s="3"/>
      <c r="E254" s="3"/>
      <c r="Q254" s="16"/>
    </row>
    <row r="255" spans="1:17" ht="15.75" customHeight="1" x14ac:dyDescent="0.35">
      <c r="C255" s="3"/>
      <c r="E255" s="3"/>
      <c r="Q255" s="16"/>
    </row>
    <row r="256" spans="1:17" ht="15.75" customHeight="1" x14ac:dyDescent="0.35">
      <c r="C256" s="3"/>
      <c r="E256" s="3"/>
      <c r="Q256" s="16"/>
    </row>
    <row r="257" spans="3:17" ht="15.75" customHeight="1" x14ac:dyDescent="0.35">
      <c r="C257" s="3"/>
      <c r="E257" s="3"/>
      <c r="Q257" s="16"/>
    </row>
    <row r="258" spans="3:17" ht="15.75" customHeight="1" x14ac:dyDescent="0.35">
      <c r="C258" s="3"/>
      <c r="E258" s="3"/>
      <c r="Q258" s="16"/>
    </row>
    <row r="259" spans="3:17" ht="15.75" customHeight="1" x14ac:dyDescent="0.35">
      <c r="C259" s="3"/>
      <c r="E259" s="3"/>
      <c r="Q259" s="16"/>
    </row>
    <row r="260" spans="3:17" ht="15.75" customHeight="1" x14ac:dyDescent="0.35">
      <c r="C260" s="3"/>
      <c r="E260" s="3"/>
      <c r="Q260" s="16"/>
    </row>
    <row r="261" spans="3:17" ht="15.75" customHeight="1" x14ac:dyDescent="0.35">
      <c r="C261" s="3"/>
      <c r="E261" s="3"/>
      <c r="Q261" s="16"/>
    </row>
    <row r="262" spans="3:17" ht="15.75" customHeight="1" x14ac:dyDescent="0.35">
      <c r="C262" s="3"/>
      <c r="E262" s="3"/>
      <c r="Q262" s="16"/>
    </row>
    <row r="263" spans="3:17" ht="15.75" customHeight="1" x14ac:dyDescent="0.35">
      <c r="C263" s="3"/>
      <c r="E263" s="3"/>
      <c r="Q263" s="16"/>
    </row>
    <row r="264" spans="3:17" ht="15.75" customHeight="1" x14ac:dyDescent="0.35">
      <c r="C264" s="3"/>
      <c r="E264" s="3"/>
      <c r="Q264" s="16"/>
    </row>
    <row r="265" spans="3:17" ht="15.75" customHeight="1" x14ac:dyDescent="0.35">
      <c r="C265" s="3"/>
      <c r="E265" s="3"/>
      <c r="Q265" s="16"/>
    </row>
    <row r="266" spans="3:17" ht="15.75" customHeight="1" x14ac:dyDescent="0.35">
      <c r="C266" s="3"/>
      <c r="E266" s="3"/>
      <c r="Q266" s="16"/>
    </row>
    <row r="267" spans="3:17" ht="15.75" customHeight="1" x14ac:dyDescent="0.35">
      <c r="C267" s="3"/>
      <c r="E267" s="3"/>
      <c r="Q267" s="16"/>
    </row>
    <row r="268" spans="3:17" ht="15.75" customHeight="1" x14ac:dyDescent="0.35">
      <c r="C268" s="3"/>
      <c r="E268" s="3"/>
      <c r="Q268" s="16"/>
    </row>
    <row r="269" spans="3:17" ht="15.75" customHeight="1" x14ac:dyDescent="0.35">
      <c r="C269" s="3"/>
      <c r="E269" s="3"/>
      <c r="Q269" s="16"/>
    </row>
    <row r="270" spans="3:17" ht="15.75" customHeight="1" x14ac:dyDescent="0.35">
      <c r="C270" s="3"/>
      <c r="E270" s="3"/>
      <c r="Q270" s="16"/>
    </row>
    <row r="271" spans="3:17" ht="15.75" customHeight="1" x14ac:dyDescent="0.35">
      <c r="C271" s="3"/>
      <c r="E271" s="3"/>
      <c r="Q271" s="16"/>
    </row>
    <row r="272" spans="3:17" ht="15.75" customHeight="1" x14ac:dyDescent="0.35">
      <c r="C272" s="3"/>
      <c r="E272" s="3"/>
      <c r="Q272" s="16"/>
    </row>
    <row r="273" spans="3:17" ht="15.75" customHeight="1" x14ac:dyDescent="0.35">
      <c r="C273" s="3"/>
      <c r="E273" s="3"/>
      <c r="Q273" s="16"/>
    </row>
    <row r="274" spans="3:17" ht="15.75" customHeight="1" x14ac:dyDescent="0.35">
      <c r="C274" s="3"/>
      <c r="E274" s="3"/>
      <c r="Q274" s="16"/>
    </row>
    <row r="275" spans="3:17" ht="15.75" customHeight="1" x14ac:dyDescent="0.35">
      <c r="C275" s="3"/>
      <c r="E275" s="3"/>
      <c r="Q275" s="16"/>
    </row>
    <row r="276" spans="3:17" ht="15.75" customHeight="1" x14ac:dyDescent="0.35">
      <c r="C276" s="3"/>
      <c r="E276" s="3"/>
      <c r="Q276" s="16"/>
    </row>
    <row r="277" spans="3:17" ht="15.75" customHeight="1" x14ac:dyDescent="0.35">
      <c r="C277" s="3"/>
      <c r="E277" s="3"/>
      <c r="Q277" s="16"/>
    </row>
    <row r="278" spans="3:17" ht="15.75" customHeight="1" x14ac:dyDescent="0.35">
      <c r="C278" s="3"/>
      <c r="E278" s="3"/>
      <c r="Q278" s="16"/>
    </row>
    <row r="279" spans="3:17" ht="15.75" customHeight="1" x14ac:dyDescent="0.35">
      <c r="C279" s="3"/>
      <c r="E279" s="3"/>
      <c r="Q279" s="16"/>
    </row>
    <row r="280" spans="3:17" ht="15.75" customHeight="1" x14ac:dyDescent="0.35">
      <c r="C280" s="3"/>
      <c r="E280" s="3"/>
      <c r="Q280" s="16"/>
    </row>
    <row r="281" spans="3:17" ht="15.75" customHeight="1" x14ac:dyDescent="0.35">
      <c r="C281" s="3"/>
      <c r="E281" s="3"/>
      <c r="Q281" s="16"/>
    </row>
    <row r="282" spans="3:17" ht="15.75" customHeight="1" x14ac:dyDescent="0.35">
      <c r="C282" s="3"/>
      <c r="E282" s="3"/>
      <c r="Q282" s="16"/>
    </row>
    <row r="283" spans="3:17" ht="15.75" customHeight="1" x14ac:dyDescent="0.35">
      <c r="C283" s="3"/>
      <c r="E283" s="3"/>
      <c r="Q283" s="16"/>
    </row>
    <row r="284" spans="3:17" ht="15.75" customHeight="1" x14ac:dyDescent="0.35">
      <c r="C284" s="3"/>
      <c r="E284" s="3"/>
      <c r="Q284" s="16"/>
    </row>
    <row r="285" spans="3:17" ht="15.75" customHeight="1" x14ac:dyDescent="0.35">
      <c r="C285" s="3"/>
      <c r="E285" s="3"/>
      <c r="Q285" s="16"/>
    </row>
    <row r="286" spans="3:17" ht="15.75" customHeight="1" x14ac:dyDescent="0.35">
      <c r="C286" s="3"/>
      <c r="E286" s="3"/>
      <c r="Q286" s="16"/>
    </row>
    <row r="287" spans="3:17" ht="15.75" customHeight="1" x14ac:dyDescent="0.35">
      <c r="C287" s="3"/>
      <c r="E287" s="3"/>
      <c r="Q287" s="16"/>
    </row>
    <row r="288" spans="3:17" ht="15.75" customHeight="1" x14ac:dyDescent="0.35">
      <c r="C288" s="3"/>
      <c r="E288" s="3"/>
      <c r="Q288" s="16"/>
    </row>
    <row r="289" spans="3:17" ht="15.75" customHeight="1" x14ac:dyDescent="0.35">
      <c r="C289" s="3"/>
      <c r="E289" s="3"/>
      <c r="Q289" s="16"/>
    </row>
    <row r="290" spans="3:17" ht="15.75" customHeight="1" x14ac:dyDescent="0.35">
      <c r="C290" s="3"/>
      <c r="E290" s="3"/>
      <c r="Q290" s="16"/>
    </row>
    <row r="291" spans="3:17" ht="15.75" customHeight="1" x14ac:dyDescent="0.35">
      <c r="C291" s="3"/>
      <c r="E291" s="3"/>
      <c r="Q291" s="16"/>
    </row>
    <row r="292" spans="3:17" ht="15.75" customHeight="1" x14ac:dyDescent="0.35">
      <c r="C292" s="3"/>
      <c r="E292" s="3"/>
      <c r="Q292" s="16"/>
    </row>
    <row r="293" spans="3:17" ht="15.75" customHeight="1" x14ac:dyDescent="0.35">
      <c r="C293" s="3"/>
      <c r="E293" s="3"/>
      <c r="Q293" s="16"/>
    </row>
    <row r="294" spans="3:17" ht="15.75" customHeight="1" x14ac:dyDescent="0.35">
      <c r="C294" s="3"/>
      <c r="E294" s="3"/>
      <c r="Q294" s="16"/>
    </row>
    <row r="295" spans="3:17" ht="15.75" customHeight="1" x14ac:dyDescent="0.35">
      <c r="C295" s="3"/>
      <c r="E295" s="3"/>
      <c r="Q295" s="16"/>
    </row>
    <row r="296" spans="3:17" ht="15.75" customHeight="1" x14ac:dyDescent="0.35">
      <c r="C296" s="3"/>
      <c r="E296" s="3"/>
      <c r="Q296" s="16"/>
    </row>
    <row r="297" spans="3:17" ht="15.75" customHeight="1" x14ac:dyDescent="0.35">
      <c r="C297" s="3"/>
      <c r="E297" s="3"/>
      <c r="Q297" s="16"/>
    </row>
    <row r="298" spans="3:17" ht="15.75" customHeight="1" x14ac:dyDescent="0.35">
      <c r="C298" s="3"/>
      <c r="E298" s="3"/>
      <c r="Q298" s="16"/>
    </row>
    <row r="299" spans="3:17" ht="15.75" customHeight="1" x14ac:dyDescent="0.35">
      <c r="C299" s="3"/>
      <c r="E299" s="3"/>
      <c r="Q299" s="16"/>
    </row>
    <row r="300" spans="3:17" ht="15.75" customHeight="1" x14ac:dyDescent="0.35">
      <c r="C300" s="3"/>
      <c r="E300" s="3"/>
      <c r="Q300" s="16"/>
    </row>
    <row r="301" spans="3:17" ht="15.75" customHeight="1" x14ac:dyDescent="0.35">
      <c r="C301" s="3"/>
      <c r="E301" s="3"/>
      <c r="Q301" s="16"/>
    </row>
    <row r="302" spans="3:17" ht="15.75" customHeight="1" x14ac:dyDescent="0.35">
      <c r="C302" s="3"/>
      <c r="E302" s="3"/>
      <c r="Q302" s="16"/>
    </row>
    <row r="303" spans="3:17" ht="15.75" customHeight="1" x14ac:dyDescent="0.35">
      <c r="C303" s="3"/>
      <c r="E303" s="3"/>
      <c r="Q303" s="16"/>
    </row>
    <row r="304" spans="3:17" ht="15.75" customHeight="1" x14ac:dyDescent="0.35">
      <c r="C304" s="3"/>
      <c r="E304" s="3"/>
      <c r="Q304" s="16"/>
    </row>
    <row r="305" spans="3:17" ht="15.75" customHeight="1" x14ac:dyDescent="0.35">
      <c r="C305" s="3"/>
      <c r="E305" s="3"/>
      <c r="Q305" s="16"/>
    </row>
    <row r="306" spans="3:17" ht="15.75" customHeight="1" x14ac:dyDescent="0.35">
      <c r="C306" s="3"/>
      <c r="E306" s="3"/>
      <c r="Q306" s="16"/>
    </row>
    <row r="307" spans="3:17" ht="15.75" customHeight="1" x14ac:dyDescent="0.35">
      <c r="C307" s="3"/>
      <c r="E307" s="3"/>
      <c r="Q307" s="16"/>
    </row>
    <row r="308" spans="3:17" ht="15.75" customHeight="1" x14ac:dyDescent="0.35">
      <c r="C308" s="3"/>
      <c r="E308" s="3"/>
      <c r="Q308" s="16"/>
    </row>
    <row r="309" spans="3:17" ht="15.75" customHeight="1" x14ac:dyDescent="0.35">
      <c r="C309" s="3"/>
      <c r="E309" s="3"/>
      <c r="Q309" s="16"/>
    </row>
    <row r="310" spans="3:17" ht="15.75" customHeight="1" x14ac:dyDescent="0.35">
      <c r="C310" s="3"/>
      <c r="E310" s="3"/>
      <c r="Q310" s="16"/>
    </row>
    <row r="311" spans="3:17" ht="15.75" customHeight="1" x14ac:dyDescent="0.35">
      <c r="C311" s="3"/>
      <c r="E311" s="3"/>
      <c r="Q311" s="16"/>
    </row>
    <row r="312" spans="3:17" ht="15.75" customHeight="1" x14ac:dyDescent="0.35">
      <c r="C312" s="3"/>
      <c r="E312" s="3"/>
      <c r="Q312" s="16"/>
    </row>
    <row r="313" spans="3:17" ht="15.75" customHeight="1" x14ac:dyDescent="0.35">
      <c r="C313" s="3"/>
      <c r="E313" s="3"/>
      <c r="Q313" s="16"/>
    </row>
    <row r="314" spans="3:17" ht="15.75" customHeight="1" x14ac:dyDescent="0.35">
      <c r="C314" s="3"/>
      <c r="E314" s="3"/>
      <c r="Q314" s="16"/>
    </row>
    <row r="315" spans="3:17" ht="15.75" customHeight="1" x14ac:dyDescent="0.35">
      <c r="C315" s="3"/>
      <c r="E315" s="3"/>
      <c r="Q315" s="16"/>
    </row>
    <row r="316" spans="3:17" ht="15.75" customHeight="1" x14ac:dyDescent="0.35">
      <c r="C316" s="3"/>
      <c r="E316" s="3"/>
      <c r="Q316" s="16"/>
    </row>
    <row r="317" spans="3:17" ht="15.75" customHeight="1" x14ac:dyDescent="0.35">
      <c r="C317" s="3"/>
      <c r="E317" s="3"/>
      <c r="Q317" s="16"/>
    </row>
    <row r="318" spans="3:17" ht="15.75" customHeight="1" x14ac:dyDescent="0.35">
      <c r="C318" s="3"/>
      <c r="E318" s="3"/>
      <c r="Q318" s="16"/>
    </row>
    <row r="319" spans="3:17" ht="15.75" customHeight="1" x14ac:dyDescent="0.35">
      <c r="C319" s="3"/>
      <c r="E319" s="3"/>
      <c r="Q319" s="16"/>
    </row>
    <row r="320" spans="3:17" ht="15.75" customHeight="1" x14ac:dyDescent="0.35">
      <c r="C320" s="3"/>
      <c r="E320" s="3"/>
      <c r="Q320" s="16"/>
    </row>
    <row r="321" spans="3:17" ht="15.75" customHeight="1" x14ac:dyDescent="0.35">
      <c r="C321" s="3"/>
      <c r="E321" s="3"/>
      <c r="Q321" s="16"/>
    </row>
    <row r="322" spans="3:17" ht="15.75" customHeight="1" x14ac:dyDescent="0.35">
      <c r="C322" s="3"/>
      <c r="E322" s="3"/>
      <c r="Q322" s="16"/>
    </row>
    <row r="323" spans="3:17" ht="15.75" customHeight="1" x14ac:dyDescent="0.35">
      <c r="C323" s="3"/>
      <c r="E323" s="3"/>
      <c r="Q323" s="16"/>
    </row>
    <row r="324" spans="3:17" ht="15.75" customHeight="1" x14ac:dyDescent="0.35">
      <c r="C324" s="3"/>
      <c r="E324" s="3"/>
      <c r="Q324" s="16"/>
    </row>
    <row r="325" spans="3:17" ht="15.75" customHeight="1" x14ac:dyDescent="0.35">
      <c r="C325" s="3"/>
      <c r="E325" s="3"/>
      <c r="Q325" s="16"/>
    </row>
    <row r="326" spans="3:17" ht="15.75" customHeight="1" x14ac:dyDescent="0.35">
      <c r="C326" s="3"/>
      <c r="E326" s="3"/>
      <c r="Q326" s="16"/>
    </row>
    <row r="327" spans="3:17" ht="15.75" customHeight="1" x14ac:dyDescent="0.35">
      <c r="C327" s="3"/>
      <c r="E327" s="3"/>
      <c r="Q327" s="16"/>
    </row>
    <row r="328" spans="3:17" ht="15.75" customHeight="1" x14ac:dyDescent="0.35">
      <c r="C328" s="3"/>
      <c r="E328" s="3"/>
      <c r="Q328" s="16"/>
    </row>
    <row r="329" spans="3:17" ht="15.75" customHeight="1" x14ac:dyDescent="0.35">
      <c r="C329" s="3"/>
      <c r="E329" s="3"/>
      <c r="Q329" s="16"/>
    </row>
    <row r="330" spans="3:17" ht="15.75" customHeight="1" x14ac:dyDescent="0.35">
      <c r="C330" s="3"/>
      <c r="E330" s="3"/>
      <c r="Q330" s="16"/>
    </row>
    <row r="331" spans="3:17" ht="15.75" customHeight="1" x14ac:dyDescent="0.35">
      <c r="C331" s="3"/>
      <c r="E331" s="3"/>
      <c r="Q331" s="16"/>
    </row>
    <row r="332" spans="3:17" ht="15.75" customHeight="1" x14ac:dyDescent="0.35">
      <c r="C332" s="3"/>
      <c r="E332" s="3"/>
      <c r="Q332" s="16"/>
    </row>
    <row r="333" spans="3:17" ht="15.75" customHeight="1" x14ac:dyDescent="0.35">
      <c r="C333" s="3"/>
      <c r="E333" s="3"/>
      <c r="Q333" s="16"/>
    </row>
    <row r="334" spans="3:17" ht="15.75" customHeight="1" x14ac:dyDescent="0.35">
      <c r="C334" s="3"/>
      <c r="E334" s="3"/>
      <c r="Q334" s="16"/>
    </row>
    <row r="335" spans="3:17" ht="15.75" customHeight="1" x14ac:dyDescent="0.35">
      <c r="C335" s="3"/>
      <c r="E335" s="3"/>
      <c r="Q335" s="16"/>
    </row>
    <row r="336" spans="3:17" ht="15.75" customHeight="1" x14ac:dyDescent="0.35">
      <c r="C336" s="3"/>
      <c r="E336" s="3"/>
      <c r="Q336" s="16"/>
    </row>
    <row r="337" spans="3:17" ht="15.75" customHeight="1" x14ac:dyDescent="0.35">
      <c r="C337" s="3"/>
      <c r="E337" s="3"/>
      <c r="Q337" s="16"/>
    </row>
    <row r="338" spans="3:17" ht="15.75" customHeight="1" x14ac:dyDescent="0.35">
      <c r="C338" s="3"/>
      <c r="E338" s="3"/>
      <c r="Q338" s="16"/>
    </row>
    <row r="339" spans="3:17" ht="15.75" customHeight="1" x14ac:dyDescent="0.35">
      <c r="C339" s="3"/>
      <c r="E339" s="3"/>
      <c r="Q339" s="16"/>
    </row>
    <row r="340" spans="3:17" ht="15.75" customHeight="1" x14ac:dyDescent="0.35">
      <c r="C340" s="3"/>
      <c r="E340" s="3"/>
      <c r="Q340" s="16"/>
    </row>
    <row r="341" spans="3:17" ht="15.75" customHeight="1" x14ac:dyDescent="0.35">
      <c r="C341" s="3"/>
      <c r="E341" s="3"/>
      <c r="Q341" s="16"/>
    </row>
    <row r="342" spans="3:17" ht="15.75" customHeight="1" x14ac:dyDescent="0.35">
      <c r="C342" s="3"/>
      <c r="E342" s="3"/>
      <c r="Q342" s="16"/>
    </row>
    <row r="343" spans="3:17" ht="15.75" customHeight="1" x14ac:dyDescent="0.35">
      <c r="C343" s="3"/>
      <c r="E343" s="3"/>
      <c r="Q343" s="16"/>
    </row>
    <row r="344" spans="3:17" ht="15.75" customHeight="1" x14ac:dyDescent="0.35">
      <c r="C344" s="3"/>
      <c r="E344" s="3"/>
      <c r="Q344" s="16"/>
    </row>
    <row r="345" spans="3:17" ht="15.75" customHeight="1" x14ac:dyDescent="0.35">
      <c r="C345" s="3"/>
      <c r="E345" s="3"/>
      <c r="Q345" s="16"/>
    </row>
    <row r="346" spans="3:17" ht="15.75" customHeight="1" x14ac:dyDescent="0.35">
      <c r="C346" s="3"/>
      <c r="E346" s="3"/>
      <c r="Q346" s="16"/>
    </row>
    <row r="347" spans="3:17" ht="15.75" customHeight="1" x14ac:dyDescent="0.35">
      <c r="C347" s="3"/>
      <c r="E347" s="3"/>
      <c r="Q347" s="16"/>
    </row>
    <row r="348" spans="3:17" ht="15.75" customHeight="1" x14ac:dyDescent="0.35">
      <c r="C348" s="3"/>
      <c r="E348" s="3"/>
      <c r="Q348" s="16"/>
    </row>
    <row r="349" spans="3:17" ht="15.75" customHeight="1" x14ac:dyDescent="0.35">
      <c r="C349" s="3"/>
      <c r="E349" s="3"/>
      <c r="Q349" s="16"/>
    </row>
    <row r="350" spans="3:17" ht="15.75" customHeight="1" x14ac:dyDescent="0.35">
      <c r="C350" s="3"/>
      <c r="E350" s="3"/>
      <c r="Q350" s="16"/>
    </row>
    <row r="351" spans="3:17" ht="15.75" customHeight="1" x14ac:dyDescent="0.35">
      <c r="C351" s="3"/>
      <c r="E351" s="3"/>
      <c r="Q351" s="16"/>
    </row>
    <row r="352" spans="3:17" ht="15.75" customHeight="1" x14ac:dyDescent="0.35">
      <c r="C352" s="3"/>
      <c r="E352" s="3"/>
      <c r="Q352" s="16"/>
    </row>
    <row r="353" spans="3:17" ht="15.75" customHeight="1" x14ac:dyDescent="0.35">
      <c r="C353" s="3"/>
      <c r="E353" s="3"/>
      <c r="Q353" s="16"/>
    </row>
    <row r="354" spans="3:17" ht="15.75" customHeight="1" x14ac:dyDescent="0.35">
      <c r="C354" s="3"/>
      <c r="E354" s="3"/>
      <c r="Q354" s="16"/>
    </row>
    <row r="355" spans="3:17" ht="15.75" customHeight="1" x14ac:dyDescent="0.35">
      <c r="C355" s="3"/>
      <c r="E355" s="3"/>
      <c r="Q355" s="16"/>
    </row>
    <row r="356" spans="3:17" ht="15.75" customHeight="1" x14ac:dyDescent="0.35">
      <c r="C356" s="3"/>
      <c r="E356" s="3"/>
      <c r="Q356" s="16"/>
    </row>
    <row r="357" spans="3:17" ht="15.75" customHeight="1" x14ac:dyDescent="0.35">
      <c r="C357" s="3"/>
      <c r="E357" s="3"/>
      <c r="Q357" s="16"/>
    </row>
    <row r="358" spans="3:17" ht="15.75" customHeight="1" x14ac:dyDescent="0.35">
      <c r="C358" s="3"/>
      <c r="E358" s="3"/>
      <c r="Q358" s="16"/>
    </row>
    <row r="359" spans="3:17" ht="15.75" customHeight="1" x14ac:dyDescent="0.35">
      <c r="C359" s="3"/>
      <c r="E359" s="3"/>
      <c r="Q359" s="16"/>
    </row>
    <row r="360" spans="3:17" ht="15.75" customHeight="1" x14ac:dyDescent="0.35">
      <c r="C360" s="3"/>
      <c r="E360" s="3"/>
      <c r="Q360" s="16"/>
    </row>
    <row r="361" spans="3:17" ht="15.75" customHeight="1" x14ac:dyDescent="0.35">
      <c r="C361" s="3"/>
      <c r="E361" s="3"/>
      <c r="Q361" s="16"/>
    </row>
    <row r="362" spans="3:17" ht="15.75" customHeight="1" x14ac:dyDescent="0.35">
      <c r="C362" s="3"/>
      <c r="E362" s="3"/>
      <c r="Q362" s="16"/>
    </row>
    <row r="363" spans="3:17" ht="15.75" customHeight="1" x14ac:dyDescent="0.35">
      <c r="C363" s="3"/>
      <c r="E363" s="3"/>
      <c r="Q363" s="16"/>
    </row>
    <row r="364" spans="3:17" ht="15.75" customHeight="1" x14ac:dyDescent="0.35">
      <c r="C364" s="3"/>
      <c r="E364" s="3"/>
      <c r="Q364" s="16"/>
    </row>
    <row r="365" spans="3:17" ht="15.75" customHeight="1" x14ac:dyDescent="0.35">
      <c r="C365" s="3"/>
      <c r="E365" s="3"/>
      <c r="Q365" s="16"/>
    </row>
    <row r="366" spans="3:17" ht="15.75" customHeight="1" x14ac:dyDescent="0.35">
      <c r="C366" s="3"/>
      <c r="E366" s="3"/>
      <c r="Q366" s="16"/>
    </row>
    <row r="367" spans="3:17" ht="15.75" customHeight="1" x14ac:dyDescent="0.35">
      <c r="C367" s="3"/>
      <c r="E367" s="3"/>
      <c r="Q367" s="16"/>
    </row>
    <row r="368" spans="3:17" ht="15.75" customHeight="1" x14ac:dyDescent="0.35">
      <c r="C368" s="3"/>
      <c r="E368" s="3"/>
      <c r="Q368" s="16"/>
    </row>
    <row r="369" spans="3:17" ht="15.75" customHeight="1" x14ac:dyDescent="0.35">
      <c r="C369" s="3"/>
      <c r="E369" s="3"/>
      <c r="Q369" s="16"/>
    </row>
    <row r="370" spans="3:17" ht="15.75" customHeight="1" x14ac:dyDescent="0.35">
      <c r="C370" s="3"/>
      <c r="E370" s="3"/>
      <c r="Q370" s="16"/>
    </row>
    <row r="371" spans="3:17" ht="15.75" customHeight="1" x14ac:dyDescent="0.35">
      <c r="C371" s="3"/>
      <c r="E371" s="3"/>
      <c r="Q371" s="16"/>
    </row>
    <row r="372" spans="3:17" ht="15.75" customHeight="1" x14ac:dyDescent="0.35">
      <c r="C372" s="3"/>
      <c r="E372" s="3"/>
      <c r="Q372" s="16"/>
    </row>
    <row r="373" spans="3:17" ht="15.75" customHeight="1" x14ac:dyDescent="0.35">
      <c r="C373" s="3"/>
      <c r="E373" s="3"/>
      <c r="Q373" s="16"/>
    </row>
    <row r="374" spans="3:17" ht="15.75" customHeight="1" x14ac:dyDescent="0.35">
      <c r="C374" s="3"/>
      <c r="E374" s="3"/>
      <c r="Q374" s="16"/>
    </row>
    <row r="375" spans="3:17" ht="15.75" customHeight="1" x14ac:dyDescent="0.35">
      <c r="C375" s="3"/>
      <c r="E375" s="3"/>
      <c r="Q375" s="16"/>
    </row>
    <row r="376" spans="3:17" ht="15.75" customHeight="1" x14ac:dyDescent="0.35">
      <c r="C376" s="3"/>
      <c r="E376" s="3"/>
      <c r="Q376" s="16"/>
    </row>
    <row r="377" spans="3:17" ht="15.75" customHeight="1" x14ac:dyDescent="0.35">
      <c r="C377" s="3"/>
      <c r="E377" s="3"/>
      <c r="Q377" s="16"/>
    </row>
    <row r="378" spans="3:17" ht="15.75" customHeight="1" x14ac:dyDescent="0.35">
      <c r="C378" s="3"/>
      <c r="E378" s="3"/>
      <c r="Q378" s="16"/>
    </row>
    <row r="379" spans="3:17" ht="15.75" customHeight="1" x14ac:dyDescent="0.35">
      <c r="C379" s="3"/>
      <c r="E379" s="3"/>
      <c r="Q379" s="16"/>
    </row>
    <row r="380" spans="3:17" ht="15.75" customHeight="1" x14ac:dyDescent="0.35">
      <c r="C380" s="3"/>
      <c r="E380" s="3"/>
      <c r="Q380" s="16"/>
    </row>
    <row r="381" spans="3:17" ht="15.75" customHeight="1" x14ac:dyDescent="0.35">
      <c r="C381" s="3"/>
      <c r="E381" s="3"/>
      <c r="Q381" s="16"/>
    </row>
    <row r="382" spans="3:17" ht="15.75" customHeight="1" x14ac:dyDescent="0.35">
      <c r="C382" s="3"/>
      <c r="E382" s="3"/>
      <c r="Q382" s="16"/>
    </row>
    <row r="383" spans="3:17" ht="15.75" customHeight="1" x14ac:dyDescent="0.35">
      <c r="C383" s="3"/>
      <c r="E383" s="3"/>
      <c r="Q383" s="16"/>
    </row>
    <row r="384" spans="3:17" ht="15.75" customHeight="1" x14ac:dyDescent="0.35">
      <c r="C384" s="3"/>
      <c r="E384" s="3"/>
      <c r="Q384" s="16"/>
    </row>
    <row r="385" spans="3:17" ht="15.75" customHeight="1" x14ac:dyDescent="0.35">
      <c r="C385" s="3"/>
      <c r="E385" s="3"/>
      <c r="Q385" s="16"/>
    </row>
    <row r="386" spans="3:17" ht="15.75" customHeight="1" x14ac:dyDescent="0.35">
      <c r="C386" s="3"/>
      <c r="E386" s="3"/>
      <c r="Q386" s="16"/>
    </row>
    <row r="387" spans="3:17" ht="15.75" customHeight="1" x14ac:dyDescent="0.35">
      <c r="C387" s="3"/>
      <c r="E387" s="3"/>
      <c r="Q387" s="16"/>
    </row>
    <row r="388" spans="3:17" ht="15.75" customHeight="1" x14ac:dyDescent="0.35">
      <c r="C388" s="3"/>
      <c r="E388" s="3"/>
      <c r="Q388" s="16"/>
    </row>
    <row r="389" spans="3:17" ht="15.75" customHeight="1" x14ac:dyDescent="0.35">
      <c r="C389" s="3"/>
      <c r="E389" s="3"/>
      <c r="Q389" s="16"/>
    </row>
    <row r="390" spans="3:17" ht="15.75" customHeight="1" x14ac:dyDescent="0.35">
      <c r="C390" s="3"/>
      <c r="E390" s="3"/>
      <c r="Q390" s="16"/>
    </row>
    <row r="391" spans="3:17" ht="15.75" customHeight="1" x14ac:dyDescent="0.35">
      <c r="C391" s="3"/>
      <c r="E391" s="3"/>
      <c r="Q391" s="16"/>
    </row>
    <row r="392" spans="3:17" ht="15.75" customHeight="1" x14ac:dyDescent="0.35">
      <c r="C392" s="3"/>
      <c r="E392" s="3"/>
      <c r="Q392" s="16"/>
    </row>
    <row r="393" spans="3:17" ht="15.75" customHeight="1" x14ac:dyDescent="0.35">
      <c r="C393" s="3"/>
      <c r="E393" s="3"/>
      <c r="Q393" s="16"/>
    </row>
    <row r="394" spans="3:17" ht="15.75" customHeight="1" x14ac:dyDescent="0.35">
      <c r="C394" s="3"/>
      <c r="E394" s="3"/>
      <c r="Q394" s="16"/>
    </row>
    <row r="395" spans="3:17" ht="15.75" customHeight="1" x14ac:dyDescent="0.35">
      <c r="C395" s="3"/>
      <c r="E395" s="3"/>
      <c r="Q395" s="16"/>
    </row>
    <row r="396" spans="3:17" ht="15.75" customHeight="1" x14ac:dyDescent="0.35">
      <c r="C396" s="3"/>
      <c r="E396" s="3"/>
      <c r="Q396" s="16"/>
    </row>
    <row r="397" spans="3:17" ht="15.75" customHeight="1" x14ac:dyDescent="0.35">
      <c r="C397" s="3"/>
      <c r="E397" s="3"/>
      <c r="Q397" s="16"/>
    </row>
    <row r="398" spans="3:17" ht="15.75" customHeight="1" x14ac:dyDescent="0.35">
      <c r="C398" s="3"/>
      <c r="E398" s="3"/>
      <c r="Q398" s="16"/>
    </row>
    <row r="399" spans="3:17" ht="15.75" customHeight="1" x14ac:dyDescent="0.35">
      <c r="C399" s="3"/>
      <c r="E399" s="3"/>
      <c r="Q399" s="16"/>
    </row>
    <row r="400" spans="3:17" ht="15.75" customHeight="1" x14ac:dyDescent="0.35">
      <c r="C400" s="3"/>
      <c r="E400" s="3"/>
      <c r="Q400" s="16"/>
    </row>
    <row r="401" spans="3:17" ht="15.75" customHeight="1" x14ac:dyDescent="0.35">
      <c r="C401" s="3"/>
      <c r="E401" s="3"/>
      <c r="Q401" s="16"/>
    </row>
    <row r="402" spans="3:17" ht="15.75" customHeight="1" x14ac:dyDescent="0.35">
      <c r="C402" s="3"/>
      <c r="E402" s="3"/>
      <c r="Q402" s="16"/>
    </row>
    <row r="403" spans="3:17" ht="15.75" customHeight="1" x14ac:dyDescent="0.35">
      <c r="C403" s="3"/>
      <c r="E403" s="3"/>
      <c r="Q403" s="16"/>
    </row>
    <row r="404" spans="3:17" ht="15.75" customHeight="1" x14ac:dyDescent="0.35">
      <c r="C404" s="3"/>
      <c r="E404" s="3"/>
      <c r="Q404" s="16"/>
    </row>
    <row r="405" spans="3:17" ht="15.75" customHeight="1" x14ac:dyDescent="0.35">
      <c r="C405" s="3"/>
      <c r="E405" s="3"/>
      <c r="Q405" s="16"/>
    </row>
    <row r="406" spans="3:17" ht="15.75" customHeight="1" x14ac:dyDescent="0.35">
      <c r="C406" s="3"/>
      <c r="E406" s="3"/>
      <c r="Q406" s="16"/>
    </row>
    <row r="407" spans="3:17" ht="15.75" customHeight="1" x14ac:dyDescent="0.35">
      <c r="C407" s="3"/>
      <c r="E407" s="3"/>
      <c r="Q407" s="16"/>
    </row>
    <row r="408" spans="3:17" ht="15.75" customHeight="1" x14ac:dyDescent="0.35">
      <c r="C408" s="3"/>
      <c r="E408" s="3"/>
      <c r="Q408" s="16"/>
    </row>
    <row r="409" spans="3:17" ht="15.75" customHeight="1" x14ac:dyDescent="0.35">
      <c r="C409" s="3"/>
      <c r="E409" s="3"/>
      <c r="Q409" s="16"/>
    </row>
    <row r="410" spans="3:17" ht="15.75" customHeight="1" x14ac:dyDescent="0.35">
      <c r="C410" s="3"/>
      <c r="E410" s="3"/>
      <c r="Q410" s="16"/>
    </row>
    <row r="411" spans="3:17" ht="15.75" customHeight="1" x14ac:dyDescent="0.35">
      <c r="C411" s="3"/>
      <c r="E411" s="3"/>
      <c r="Q411" s="16"/>
    </row>
    <row r="412" spans="3:17" ht="15.75" customHeight="1" x14ac:dyDescent="0.35">
      <c r="C412" s="3"/>
      <c r="E412" s="3"/>
      <c r="Q412" s="16"/>
    </row>
    <row r="413" spans="3:17" ht="15.75" customHeight="1" x14ac:dyDescent="0.35">
      <c r="C413" s="3"/>
      <c r="E413" s="3"/>
      <c r="Q413" s="16"/>
    </row>
    <row r="414" spans="3:17" ht="15.75" customHeight="1" x14ac:dyDescent="0.35">
      <c r="C414" s="3"/>
      <c r="E414" s="3"/>
      <c r="Q414" s="16"/>
    </row>
    <row r="415" spans="3:17" ht="15.75" customHeight="1" x14ac:dyDescent="0.35">
      <c r="C415" s="3"/>
      <c r="E415" s="3"/>
      <c r="Q415" s="16"/>
    </row>
    <row r="416" spans="3:17" ht="15.75" customHeight="1" x14ac:dyDescent="0.35">
      <c r="C416" s="3"/>
      <c r="E416" s="3"/>
      <c r="Q416" s="16"/>
    </row>
    <row r="417" spans="3:17" ht="15.75" customHeight="1" x14ac:dyDescent="0.35">
      <c r="C417" s="3"/>
      <c r="E417" s="3"/>
      <c r="Q417" s="16"/>
    </row>
    <row r="418" spans="3:17" ht="15.75" customHeight="1" x14ac:dyDescent="0.35">
      <c r="C418" s="3"/>
      <c r="E418" s="3"/>
      <c r="Q418" s="16"/>
    </row>
    <row r="419" spans="3:17" ht="15.75" customHeight="1" x14ac:dyDescent="0.35">
      <c r="C419" s="3"/>
      <c r="E419" s="3"/>
      <c r="Q419" s="16"/>
    </row>
    <row r="420" spans="3:17" ht="15.75" customHeight="1" x14ac:dyDescent="0.35">
      <c r="C420" s="3"/>
      <c r="E420" s="3"/>
      <c r="Q420" s="16"/>
    </row>
    <row r="421" spans="3:17" ht="15.75" customHeight="1" x14ac:dyDescent="0.35">
      <c r="C421" s="3"/>
      <c r="E421" s="3"/>
      <c r="Q421" s="16"/>
    </row>
    <row r="422" spans="3:17" ht="15.75" customHeight="1" x14ac:dyDescent="0.35">
      <c r="C422" s="3"/>
      <c r="E422" s="3"/>
      <c r="Q422" s="16"/>
    </row>
    <row r="423" spans="3:17" ht="15.75" customHeight="1" x14ac:dyDescent="0.35">
      <c r="C423" s="3"/>
      <c r="E423" s="3"/>
      <c r="Q423" s="16"/>
    </row>
    <row r="424" spans="3:17" ht="15.75" customHeight="1" x14ac:dyDescent="0.35">
      <c r="C424" s="3"/>
      <c r="E424" s="3"/>
      <c r="Q424" s="16"/>
    </row>
    <row r="425" spans="3:17" ht="15.75" customHeight="1" x14ac:dyDescent="0.35">
      <c r="C425" s="3"/>
      <c r="E425" s="3"/>
      <c r="Q425" s="16"/>
    </row>
    <row r="426" spans="3:17" ht="15.75" customHeight="1" x14ac:dyDescent="0.35">
      <c r="C426" s="3"/>
      <c r="E426" s="3"/>
      <c r="Q426" s="16"/>
    </row>
    <row r="427" spans="3:17" ht="15.75" customHeight="1" x14ac:dyDescent="0.35">
      <c r="C427" s="3"/>
      <c r="E427" s="3"/>
      <c r="Q427" s="16"/>
    </row>
    <row r="428" spans="3:17" ht="15.75" customHeight="1" x14ac:dyDescent="0.35">
      <c r="C428" s="3"/>
      <c r="E428" s="3"/>
      <c r="Q428" s="16"/>
    </row>
    <row r="429" spans="3:17" ht="15.75" customHeight="1" x14ac:dyDescent="0.35">
      <c r="C429" s="3"/>
      <c r="E429" s="3"/>
      <c r="Q429" s="16"/>
    </row>
    <row r="430" spans="3:17" ht="15.75" customHeight="1" x14ac:dyDescent="0.35">
      <c r="C430" s="3"/>
      <c r="E430" s="3"/>
      <c r="Q430" s="16"/>
    </row>
    <row r="431" spans="3:17" ht="15.75" customHeight="1" x14ac:dyDescent="0.35">
      <c r="C431" s="3"/>
      <c r="E431" s="3"/>
      <c r="Q431" s="16"/>
    </row>
    <row r="432" spans="3:17" ht="15.75" customHeight="1" x14ac:dyDescent="0.35">
      <c r="C432" s="3"/>
      <c r="E432" s="3"/>
      <c r="Q432" s="16"/>
    </row>
    <row r="433" spans="3:17" ht="15.75" customHeight="1" x14ac:dyDescent="0.35">
      <c r="C433" s="3"/>
      <c r="E433" s="3"/>
      <c r="Q433" s="16"/>
    </row>
    <row r="434" spans="3:17" ht="15.75" customHeight="1" x14ac:dyDescent="0.35">
      <c r="C434" s="3"/>
      <c r="E434" s="3"/>
      <c r="Q434" s="16"/>
    </row>
    <row r="435" spans="3:17" ht="15.75" customHeight="1" x14ac:dyDescent="0.35">
      <c r="C435" s="3"/>
      <c r="E435" s="3"/>
      <c r="Q435" s="16"/>
    </row>
    <row r="436" spans="3:17" ht="15.75" customHeight="1" x14ac:dyDescent="0.35">
      <c r="C436" s="3"/>
      <c r="E436" s="3"/>
      <c r="Q436" s="16"/>
    </row>
    <row r="437" spans="3:17" ht="15.75" customHeight="1" x14ac:dyDescent="0.35">
      <c r="C437" s="3"/>
      <c r="E437" s="3"/>
      <c r="Q437" s="16"/>
    </row>
    <row r="438" spans="3:17" ht="15.75" customHeight="1" x14ac:dyDescent="0.35">
      <c r="C438" s="3"/>
      <c r="E438" s="3"/>
      <c r="Q438" s="16"/>
    </row>
    <row r="439" spans="3:17" ht="15.75" customHeight="1" x14ac:dyDescent="0.35">
      <c r="C439" s="3"/>
      <c r="E439" s="3"/>
      <c r="Q439" s="16"/>
    </row>
    <row r="440" spans="3:17" ht="15.75" customHeight="1" x14ac:dyDescent="0.35">
      <c r="C440" s="3"/>
      <c r="E440" s="3"/>
      <c r="Q440" s="16"/>
    </row>
    <row r="441" spans="3:17" ht="15.75" customHeight="1" x14ac:dyDescent="0.35">
      <c r="C441" s="3"/>
      <c r="E441" s="3"/>
      <c r="Q441" s="16"/>
    </row>
    <row r="442" spans="3:17" ht="15.75" customHeight="1" x14ac:dyDescent="0.35">
      <c r="C442" s="3"/>
      <c r="E442" s="3"/>
      <c r="Q442" s="16"/>
    </row>
    <row r="443" spans="3:17" ht="15.75" customHeight="1" x14ac:dyDescent="0.35">
      <c r="C443" s="3"/>
      <c r="E443" s="3"/>
      <c r="Q443" s="16"/>
    </row>
    <row r="444" spans="3:17" ht="15.75" customHeight="1" x14ac:dyDescent="0.35">
      <c r="C444" s="3"/>
      <c r="E444" s="3"/>
      <c r="Q444" s="16"/>
    </row>
    <row r="445" spans="3:17" ht="15.75" customHeight="1" x14ac:dyDescent="0.35">
      <c r="C445" s="3"/>
      <c r="E445" s="3"/>
      <c r="Q445" s="16"/>
    </row>
    <row r="446" spans="3:17" ht="15.75" customHeight="1" x14ac:dyDescent="0.35">
      <c r="C446" s="3"/>
      <c r="E446" s="3"/>
      <c r="Q446" s="16"/>
    </row>
    <row r="447" spans="3:17" ht="15.75" customHeight="1" x14ac:dyDescent="0.35">
      <c r="C447" s="3"/>
      <c r="E447" s="3"/>
      <c r="Q447" s="16"/>
    </row>
    <row r="448" spans="3:17" ht="15.75" customHeight="1" x14ac:dyDescent="0.35">
      <c r="C448" s="3"/>
      <c r="E448" s="3"/>
      <c r="Q448" s="16"/>
    </row>
    <row r="449" spans="3:17" ht="15.75" customHeight="1" x14ac:dyDescent="0.35">
      <c r="C449" s="3"/>
      <c r="E449" s="3"/>
      <c r="Q449" s="16"/>
    </row>
    <row r="450" spans="3:17" ht="15.75" customHeight="1" x14ac:dyDescent="0.35">
      <c r="C450" s="3"/>
      <c r="E450" s="3"/>
      <c r="Q450" s="16"/>
    </row>
    <row r="451" spans="3:17" ht="15.75" customHeight="1" x14ac:dyDescent="0.35">
      <c r="C451" s="3"/>
      <c r="E451" s="3"/>
      <c r="Q451" s="16"/>
    </row>
    <row r="452" spans="3:17" ht="15.75" customHeight="1" x14ac:dyDescent="0.35">
      <c r="C452" s="3"/>
      <c r="E452" s="3"/>
      <c r="Q452" s="16"/>
    </row>
    <row r="453" spans="3:17" ht="15.75" customHeight="1" x14ac:dyDescent="0.35">
      <c r="C453" s="3"/>
      <c r="E453" s="3"/>
      <c r="Q453" s="16"/>
    </row>
    <row r="454" spans="3:17" ht="15.75" customHeight="1" x14ac:dyDescent="0.35">
      <c r="C454" s="3"/>
      <c r="E454" s="3"/>
      <c r="Q454" s="16"/>
    </row>
    <row r="455" spans="3:17" ht="15.75" customHeight="1" x14ac:dyDescent="0.35">
      <c r="C455" s="3"/>
      <c r="E455" s="3"/>
      <c r="Q455" s="16"/>
    </row>
    <row r="456" spans="3:17" ht="15.75" customHeight="1" x14ac:dyDescent="0.35">
      <c r="C456" s="3"/>
      <c r="E456" s="3"/>
      <c r="Q456" s="16"/>
    </row>
    <row r="457" spans="3:17" ht="15.75" customHeight="1" x14ac:dyDescent="0.35">
      <c r="C457" s="3"/>
      <c r="E457" s="3"/>
      <c r="Q457" s="16"/>
    </row>
    <row r="458" spans="3:17" ht="15.75" customHeight="1" x14ac:dyDescent="0.35">
      <c r="C458" s="3"/>
      <c r="E458" s="3"/>
      <c r="Q458" s="16"/>
    </row>
    <row r="459" spans="3:17" ht="15.75" customHeight="1" x14ac:dyDescent="0.35">
      <c r="C459" s="3"/>
      <c r="E459" s="3"/>
      <c r="Q459" s="16"/>
    </row>
    <row r="460" spans="3:17" ht="15.75" customHeight="1" x14ac:dyDescent="0.35">
      <c r="C460" s="3"/>
      <c r="E460" s="3"/>
      <c r="Q460" s="16"/>
    </row>
    <row r="461" spans="3:17" ht="15.75" customHeight="1" x14ac:dyDescent="0.35">
      <c r="C461" s="3"/>
      <c r="E461" s="3"/>
      <c r="Q461" s="16"/>
    </row>
    <row r="462" spans="3:17" ht="15.75" customHeight="1" x14ac:dyDescent="0.35">
      <c r="C462" s="3"/>
      <c r="E462" s="3"/>
      <c r="Q462" s="16"/>
    </row>
    <row r="463" spans="3:17" ht="15.75" customHeight="1" x14ac:dyDescent="0.35">
      <c r="C463" s="3"/>
      <c r="E463" s="3"/>
      <c r="Q463" s="16"/>
    </row>
    <row r="464" spans="3:17" ht="15.75" customHeight="1" x14ac:dyDescent="0.35">
      <c r="C464" s="3"/>
      <c r="E464" s="3"/>
      <c r="Q464" s="16"/>
    </row>
    <row r="465" spans="3:17" ht="15.75" customHeight="1" x14ac:dyDescent="0.35">
      <c r="C465" s="3"/>
      <c r="E465" s="3"/>
      <c r="Q465" s="16"/>
    </row>
    <row r="466" spans="3:17" ht="15.75" customHeight="1" x14ac:dyDescent="0.35">
      <c r="C466" s="3"/>
      <c r="E466" s="3"/>
      <c r="Q466" s="16"/>
    </row>
    <row r="467" spans="3:17" ht="15.75" customHeight="1" x14ac:dyDescent="0.35">
      <c r="C467" s="3"/>
      <c r="E467" s="3"/>
      <c r="Q467" s="16"/>
    </row>
    <row r="468" spans="3:17" ht="15.75" customHeight="1" x14ac:dyDescent="0.35">
      <c r="C468" s="3"/>
      <c r="E468" s="3"/>
      <c r="Q468" s="16"/>
    </row>
    <row r="469" spans="3:17" ht="15.75" customHeight="1" x14ac:dyDescent="0.35">
      <c r="C469" s="3"/>
      <c r="E469" s="3"/>
      <c r="Q469" s="16"/>
    </row>
    <row r="470" spans="3:17" ht="15.75" customHeight="1" x14ac:dyDescent="0.35">
      <c r="C470" s="3"/>
      <c r="E470" s="3"/>
      <c r="Q470" s="16"/>
    </row>
    <row r="471" spans="3:17" ht="15.75" customHeight="1" x14ac:dyDescent="0.35">
      <c r="C471" s="3"/>
      <c r="E471" s="3"/>
      <c r="Q471" s="16"/>
    </row>
    <row r="472" spans="3:17" ht="15.75" customHeight="1" x14ac:dyDescent="0.35">
      <c r="C472" s="3"/>
      <c r="E472" s="3"/>
      <c r="Q472" s="16"/>
    </row>
    <row r="473" spans="3:17" ht="15.75" customHeight="1" x14ac:dyDescent="0.35">
      <c r="C473" s="3"/>
      <c r="E473" s="3"/>
      <c r="Q473" s="16"/>
    </row>
    <row r="474" spans="3:17" ht="15.75" customHeight="1" x14ac:dyDescent="0.35">
      <c r="C474" s="3"/>
      <c r="E474" s="3"/>
      <c r="Q474" s="16"/>
    </row>
    <row r="475" spans="3:17" ht="15.75" customHeight="1" x14ac:dyDescent="0.35">
      <c r="C475" s="3"/>
      <c r="E475" s="3"/>
      <c r="Q475" s="16"/>
    </row>
    <row r="476" spans="3:17" ht="15.75" customHeight="1" x14ac:dyDescent="0.35">
      <c r="C476" s="3"/>
      <c r="E476" s="3"/>
      <c r="Q476" s="16"/>
    </row>
    <row r="477" spans="3:17" ht="15.75" customHeight="1" x14ac:dyDescent="0.35">
      <c r="C477" s="3"/>
      <c r="E477" s="3"/>
      <c r="Q477" s="16"/>
    </row>
    <row r="478" spans="3:17" ht="15.75" customHeight="1" x14ac:dyDescent="0.35">
      <c r="C478" s="3"/>
      <c r="E478" s="3"/>
      <c r="Q478" s="16"/>
    </row>
    <row r="479" spans="3:17" ht="15.75" customHeight="1" x14ac:dyDescent="0.35">
      <c r="C479" s="3"/>
      <c r="E479" s="3"/>
      <c r="Q479" s="16"/>
    </row>
    <row r="480" spans="3:17" ht="15.75" customHeight="1" x14ac:dyDescent="0.35">
      <c r="C480" s="3"/>
      <c r="E480" s="3"/>
      <c r="Q480" s="16"/>
    </row>
    <row r="481" spans="3:17" ht="15.75" customHeight="1" x14ac:dyDescent="0.35">
      <c r="C481" s="3"/>
      <c r="E481" s="3"/>
      <c r="Q481" s="16"/>
    </row>
    <row r="482" spans="3:17" ht="15.75" customHeight="1" x14ac:dyDescent="0.35">
      <c r="C482" s="3"/>
      <c r="E482" s="3"/>
      <c r="Q482" s="16"/>
    </row>
    <row r="483" spans="3:17" ht="15.75" customHeight="1" x14ac:dyDescent="0.35">
      <c r="C483" s="3"/>
      <c r="E483" s="3"/>
      <c r="Q483" s="16"/>
    </row>
    <row r="484" spans="3:17" ht="15.75" customHeight="1" x14ac:dyDescent="0.35">
      <c r="C484" s="3"/>
      <c r="E484" s="3"/>
      <c r="Q484" s="16"/>
    </row>
    <row r="485" spans="3:17" ht="15.75" customHeight="1" x14ac:dyDescent="0.35">
      <c r="C485" s="3"/>
      <c r="E485" s="3"/>
      <c r="Q485" s="16"/>
    </row>
    <row r="486" spans="3:17" ht="15.75" customHeight="1" x14ac:dyDescent="0.35">
      <c r="C486" s="3"/>
      <c r="E486" s="3"/>
      <c r="Q486" s="16"/>
    </row>
    <row r="487" spans="3:17" ht="15.75" customHeight="1" x14ac:dyDescent="0.35">
      <c r="C487" s="3"/>
      <c r="E487" s="3"/>
      <c r="Q487" s="16"/>
    </row>
    <row r="488" spans="3:17" ht="15.75" customHeight="1" x14ac:dyDescent="0.35">
      <c r="C488" s="3"/>
      <c r="E488" s="3"/>
      <c r="Q488" s="16"/>
    </row>
    <row r="489" spans="3:17" ht="15.75" customHeight="1" x14ac:dyDescent="0.35">
      <c r="C489" s="3"/>
      <c r="E489" s="3"/>
      <c r="Q489" s="16"/>
    </row>
    <row r="490" spans="3:17" ht="15.75" customHeight="1" x14ac:dyDescent="0.35">
      <c r="C490" s="3"/>
      <c r="E490" s="3"/>
      <c r="Q490" s="16"/>
    </row>
    <row r="491" spans="3:17" ht="15.75" customHeight="1" x14ac:dyDescent="0.35">
      <c r="C491" s="3"/>
      <c r="E491" s="3"/>
      <c r="Q491" s="16"/>
    </row>
    <row r="492" spans="3:17" ht="15.75" customHeight="1" x14ac:dyDescent="0.35">
      <c r="C492" s="3"/>
      <c r="E492" s="3"/>
      <c r="Q492" s="16"/>
    </row>
    <row r="493" spans="3:17" ht="15.75" customHeight="1" x14ac:dyDescent="0.35">
      <c r="C493" s="3"/>
      <c r="E493" s="3"/>
      <c r="Q493" s="16"/>
    </row>
    <row r="494" spans="3:17" ht="15.75" customHeight="1" x14ac:dyDescent="0.35">
      <c r="C494" s="3"/>
      <c r="E494" s="3"/>
      <c r="Q494" s="16"/>
    </row>
    <row r="495" spans="3:17" ht="15.75" customHeight="1" x14ac:dyDescent="0.35">
      <c r="C495" s="3"/>
      <c r="E495" s="3"/>
      <c r="Q495" s="16"/>
    </row>
    <row r="496" spans="3:17" ht="15.75" customHeight="1" x14ac:dyDescent="0.35">
      <c r="C496" s="3"/>
      <c r="E496" s="3"/>
      <c r="Q496" s="16"/>
    </row>
    <row r="497" spans="3:17" ht="15.75" customHeight="1" x14ac:dyDescent="0.35">
      <c r="C497" s="3"/>
      <c r="E497" s="3"/>
      <c r="Q497" s="16"/>
    </row>
    <row r="498" spans="3:17" ht="15.75" customHeight="1" x14ac:dyDescent="0.35">
      <c r="C498" s="3"/>
      <c r="E498" s="3"/>
      <c r="Q498" s="16"/>
    </row>
    <row r="499" spans="3:17" ht="15.75" customHeight="1" x14ac:dyDescent="0.35">
      <c r="C499" s="3"/>
      <c r="E499" s="3"/>
      <c r="Q499" s="16"/>
    </row>
    <row r="500" spans="3:17" ht="15.75" customHeight="1" x14ac:dyDescent="0.35">
      <c r="C500" s="3"/>
      <c r="E500" s="3"/>
      <c r="Q500" s="16"/>
    </row>
    <row r="501" spans="3:17" ht="15.75" customHeight="1" x14ac:dyDescent="0.35">
      <c r="C501" s="3"/>
      <c r="E501" s="3"/>
      <c r="Q501" s="16"/>
    </row>
    <row r="502" spans="3:17" ht="15.75" customHeight="1" x14ac:dyDescent="0.35">
      <c r="C502" s="3"/>
      <c r="E502" s="3"/>
      <c r="Q502" s="16"/>
    </row>
    <row r="503" spans="3:17" ht="15.75" customHeight="1" x14ac:dyDescent="0.35">
      <c r="C503" s="3"/>
      <c r="E503" s="3"/>
      <c r="Q503" s="16"/>
    </row>
    <row r="504" spans="3:17" ht="15.75" customHeight="1" x14ac:dyDescent="0.35">
      <c r="C504" s="3"/>
      <c r="E504" s="3"/>
      <c r="Q504" s="16"/>
    </row>
    <row r="505" spans="3:17" ht="15.75" customHeight="1" x14ac:dyDescent="0.35">
      <c r="C505" s="3"/>
      <c r="E505" s="3"/>
      <c r="Q505" s="16"/>
    </row>
    <row r="506" spans="3:17" ht="15.75" customHeight="1" x14ac:dyDescent="0.35">
      <c r="C506" s="3"/>
      <c r="E506" s="3"/>
      <c r="Q506" s="16"/>
    </row>
    <row r="507" spans="3:17" ht="15.75" customHeight="1" x14ac:dyDescent="0.35">
      <c r="C507" s="3"/>
      <c r="E507" s="3"/>
      <c r="Q507" s="16"/>
    </row>
    <row r="508" spans="3:17" ht="15.75" customHeight="1" x14ac:dyDescent="0.35">
      <c r="C508" s="3"/>
      <c r="E508" s="3"/>
      <c r="Q508" s="16"/>
    </row>
    <row r="509" spans="3:17" ht="15.75" customHeight="1" x14ac:dyDescent="0.35">
      <c r="C509" s="3"/>
      <c r="E509" s="3"/>
      <c r="Q509" s="16"/>
    </row>
    <row r="510" spans="3:17" ht="15.75" customHeight="1" x14ac:dyDescent="0.35">
      <c r="C510" s="3"/>
      <c r="E510" s="3"/>
      <c r="Q510" s="16"/>
    </row>
    <row r="511" spans="3:17" ht="15.75" customHeight="1" x14ac:dyDescent="0.35">
      <c r="C511" s="3"/>
      <c r="E511" s="3"/>
      <c r="Q511" s="16"/>
    </row>
    <row r="512" spans="3:17" ht="15.75" customHeight="1" x14ac:dyDescent="0.35">
      <c r="C512" s="3"/>
      <c r="E512" s="3"/>
      <c r="Q512" s="16"/>
    </row>
    <row r="513" spans="3:17" ht="15.75" customHeight="1" x14ac:dyDescent="0.35">
      <c r="C513" s="3"/>
      <c r="E513" s="3"/>
      <c r="Q513" s="16"/>
    </row>
    <row r="514" spans="3:17" ht="15.75" customHeight="1" x14ac:dyDescent="0.35">
      <c r="C514" s="3"/>
      <c r="E514" s="3"/>
      <c r="Q514" s="16"/>
    </row>
    <row r="515" spans="3:17" ht="15.75" customHeight="1" x14ac:dyDescent="0.35">
      <c r="C515" s="3"/>
      <c r="E515" s="3"/>
      <c r="Q515" s="16"/>
    </row>
    <row r="516" spans="3:17" ht="15.75" customHeight="1" x14ac:dyDescent="0.35">
      <c r="C516" s="3"/>
      <c r="E516" s="3"/>
      <c r="Q516" s="16"/>
    </row>
    <row r="517" spans="3:17" ht="15.75" customHeight="1" x14ac:dyDescent="0.35">
      <c r="C517" s="3"/>
      <c r="E517" s="3"/>
      <c r="Q517" s="16"/>
    </row>
    <row r="518" spans="3:17" ht="15.75" customHeight="1" x14ac:dyDescent="0.35">
      <c r="C518" s="3"/>
      <c r="E518" s="3"/>
      <c r="Q518" s="16"/>
    </row>
    <row r="519" spans="3:17" ht="15.75" customHeight="1" x14ac:dyDescent="0.35">
      <c r="C519" s="3"/>
      <c r="E519" s="3"/>
      <c r="Q519" s="16"/>
    </row>
    <row r="520" spans="3:17" ht="15.75" customHeight="1" x14ac:dyDescent="0.35">
      <c r="C520" s="3"/>
      <c r="E520" s="3"/>
      <c r="Q520" s="16"/>
    </row>
    <row r="521" spans="3:17" ht="15.75" customHeight="1" x14ac:dyDescent="0.35">
      <c r="C521" s="3"/>
      <c r="E521" s="3"/>
      <c r="Q521" s="16"/>
    </row>
    <row r="522" spans="3:17" ht="15.75" customHeight="1" x14ac:dyDescent="0.35">
      <c r="C522" s="3"/>
      <c r="E522" s="3"/>
      <c r="Q522" s="16"/>
    </row>
    <row r="523" spans="3:17" ht="15.75" customHeight="1" x14ac:dyDescent="0.35">
      <c r="C523" s="3"/>
      <c r="E523" s="3"/>
      <c r="Q523" s="16"/>
    </row>
    <row r="524" spans="3:17" ht="15.75" customHeight="1" x14ac:dyDescent="0.35">
      <c r="C524" s="3"/>
      <c r="E524" s="3"/>
      <c r="Q524" s="16"/>
    </row>
    <row r="525" spans="3:17" ht="15.75" customHeight="1" x14ac:dyDescent="0.35">
      <c r="C525" s="3"/>
      <c r="E525" s="3"/>
      <c r="Q525" s="16"/>
    </row>
    <row r="526" spans="3:17" ht="15.75" customHeight="1" x14ac:dyDescent="0.35">
      <c r="C526" s="3"/>
      <c r="E526" s="3"/>
      <c r="Q526" s="16"/>
    </row>
    <row r="527" spans="3:17" ht="15.75" customHeight="1" x14ac:dyDescent="0.35">
      <c r="C527" s="3"/>
      <c r="E527" s="3"/>
      <c r="Q527" s="16"/>
    </row>
    <row r="528" spans="3:17" ht="15.75" customHeight="1" x14ac:dyDescent="0.35">
      <c r="C528" s="3"/>
      <c r="E528" s="3"/>
      <c r="Q528" s="16"/>
    </row>
    <row r="529" spans="3:17" ht="15.75" customHeight="1" x14ac:dyDescent="0.35">
      <c r="C529" s="3"/>
      <c r="E529" s="3"/>
      <c r="Q529" s="16"/>
    </row>
    <row r="530" spans="3:17" ht="15.75" customHeight="1" x14ac:dyDescent="0.35">
      <c r="C530" s="3"/>
      <c r="E530" s="3"/>
      <c r="Q530" s="16"/>
    </row>
    <row r="531" spans="3:17" ht="15.75" customHeight="1" x14ac:dyDescent="0.35">
      <c r="C531" s="3"/>
      <c r="E531" s="3"/>
      <c r="Q531" s="16"/>
    </row>
    <row r="532" spans="3:17" ht="15.75" customHeight="1" x14ac:dyDescent="0.35">
      <c r="C532" s="3"/>
      <c r="E532" s="3"/>
      <c r="Q532" s="16"/>
    </row>
    <row r="533" spans="3:17" ht="15.75" customHeight="1" x14ac:dyDescent="0.35">
      <c r="C533" s="3"/>
      <c r="E533" s="3"/>
      <c r="Q533" s="16"/>
    </row>
    <row r="534" spans="3:17" ht="15.75" customHeight="1" x14ac:dyDescent="0.35">
      <c r="C534" s="3"/>
      <c r="E534" s="3"/>
      <c r="Q534" s="16"/>
    </row>
    <row r="535" spans="3:17" ht="15.75" customHeight="1" x14ac:dyDescent="0.35">
      <c r="C535" s="3"/>
      <c r="E535" s="3"/>
      <c r="Q535" s="16"/>
    </row>
    <row r="536" spans="3:17" ht="15.75" customHeight="1" x14ac:dyDescent="0.35">
      <c r="C536" s="3"/>
      <c r="E536" s="3"/>
      <c r="Q536" s="16"/>
    </row>
    <row r="537" spans="3:17" ht="15.75" customHeight="1" x14ac:dyDescent="0.35">
      <c r="C537" s="3"/>
      <c r="E537" s="3"/>
      <c r="Q537" s="16"/>
    </row>
    <row r="538" spans="3:17" ht="15.75" customHeight="1" x14ac:dyDescent="0.35">
      <c r="C538" s="3"/>
      <c r="E538" s="3"/>
      <c r="Q538" s="16"/>
    </row>
    <row r="539" spans="3:17" ht="15.75" customHeight="1" x14ac:dyDescent="0.35">
      <c r="C539" s="3"/>
      <c r="E539" s="3"/>
      <c r="Q539" s="16"/>
    </row>
    <row r="540" spans="3:17" ht="15.75" customHeight="1" x14ac:dyDescent="0.35">
      <c r="C540" s="3"/>
      <c r="E540" s="3"/>
      <c r="Q540" s="16"/>
    </row>
    <row r="541" spans="3:17" ht="15.75" customHeight="1" x14ac:dyDescent="0.35">
      <c r="C541" s="3"/>
      <c r="E541" s="3"/>
      <c r="Q541" s="16"/>
    </row>
    <row r="542" spans="3:17" ht="15.75" customHeight="1" x14ac:dyDescent="0.35">
      <c r="C542" s="3"/>
      <c r="E542" s="3"/>
      <c r="Q542" s="16"/>
    </row>
    <row r="543" spans="3:17" ht="15.75" customHeight="1" x14ac:dyDescent="0.35">
      <c r="C543" s="3"/>
      <c r="E543" s="3"/>
      <c r="Q543" s="16"/>
    </row>
    <row r="544" spans="3:17" ht="15.75" customHeight="1" x14ac:dyDescent="0.35">
      <c r="C544" s="3"/>
      <c r="E544" s="3"/>
      <c r="Q544" s="16"/>
    </row>
    <row r="545" spans="3:17" ht="15.75" customHeight="1" x14ac:dyDescent="0.35">
      <c r="C545" s="3"/>
      <c r="E545" s="3"/>
      <c r="Q545" s="16"/>
    </row>
    <row r="546" spans="3:17" ht="15.75" customHeight="1" x14ac:dyDescent="0.35">
      <c r="C546" s="3"/>
      <c r="E546" s="3"/>
      <c r="Q546" s="16"/>
    </row>
    <row r="547" spans="3:17" ht="15.75" customHeight="1" x14ac:dyDescent="0.35">
      <c r="C547" s="3"/>
      <c r="E547" s="3"/>
      <c r="Q547" s="16"/>
    </row>
    <row r="548" spans="3:17" ht="15.75" customHeight="1" x14ac:dyDescent="0.35">
      <c r="C548" s="3"/>
      <c r="E548" s="3"/>
      <c r="Q548" s="16"/>
    </row>
    <row r="549" spans="3:17" ht="15.75" customHeight="1" x14ac:dyDescent="0.35">
      <c r="C549" s="3"/>
      <c r="E549" s="3"/>
      <c r="Q549" s="16"/>
    </row>
    <row r="550" spans="3:17" ht="15.75" customHeight="1" x14ac:dyDescent="0.35">
      <c r="C550" s="3"/>
      <c r="E550" s="3"/>
      <c r="Q550" s="16"/>
    </row>
    <row r="551" spans="3:17" ht="15.75" customHeight="1" x14ac:dyDescent="0.35">
      <c r="C551" s="3"/>
      <c r="E551" s="3"/>
      <c r="Q551" s="16"/>
    </row>
    <row r="552" spans="3:17" ht="15.75" customHeight="1" x14ac:dyDescent="0.35">
      <c r="C552" s="3"/>
      <c r="E552" s="3"/>
      <c r="Q552" s="16"/>
    </row>
    <row r="553" spans="3:17" ht="15.75" customHeight="1" x14ac:dyDescent="0.35">
      <c r="C553" s="3"/>
      <c r="E553" s="3"/>
      <c r="Q553" s="16"/>
    </row>
    <row r="554" spans="3:17" ht="15.75" customHeight="1" x14ac:dyDescent="0.35">
      <c r="C554" s="3"/>
      <c r="E554" s="3"/>
      <c r="Q554" s="16"/>
    </row>
    <row r="555" spans="3:17" ht="15.75" customHeight="1" x14ac:dyDescent="0.35">
      <c r="C555" s="3"/>
      <c r="E555" s="3"/>
      <c r="Q555" s="16"/>
    </row>
    <row r="556" spans="3:17" ht="15.75" customHeight="1" x14ac:dyDescent="0.35">
      <c r="C556" s="3"/>
      <c r="E556" s="3"/>
      <c r="Q556" s="16"/>
    </row>
    <row r="557" spans="3:17" ht="15.75" customHeight="1" x14ac:dyDescent="0.35">
      <c r="C557" s="3"/>
      <c r="E557" s="3"/>
      <c r="Q557" s="16"/>
    </row>
    <row r="558" spans="3:17" ht="15.75" customHeight="1" x14ac:dyDescent="0.35">
      <c r="C558" s="3"/>
      <c r="E558" s="3"/>
      <c r="Q558" s="16"/>
    </row>
    <row r="559" spans="3:17" ht="15.75" customHeight="1" x14ac:dyDescent="0.35">
      <c r="C559" s="3"/>
      <c r="E559" s="3"/>
      <c r="Q559" s="16"/>
    </row>
    <row r="560" spans="3:17" ht="15.75" customHeight="1" x14ac:dyDescent="0.35">
      <c r="C560" s="3"/>
      <c r="E560" s="3"/>
      <c r="Q560" s="16"/>
    </row>
    <row r="561" spans="3:17" ht="15.75" customHeight="1" x14ac:dyDescent="0.35">
      <c r="C561" s="3"/>
      <c r="E561" s="3"/>
      <c r="Q561" s="16"/>
    </row>
    <row r="562" spans="3:17" ht="15.75" customHeight="1" x14ac:dyDescent="0.35">
      <c r="C562" s="3"/>
      <c r="E562" s="3"/>
      <c r="Q562" s="16"/>
    </row>
    <row r="563" spans="3:17" ht="15.75" customHeight="1" x14ac:dyDescent="0.35">
      <c r="C563" s="3"/>
      <c r="E563" s="3"/>
      <c r="Q563" s="16"/>
    </row>
    <row r="564" spans="3:17" ht="15.75" customHeight="1" x14ac:dyDescent="0.35">
      <c r="C564" s="3"/>
      <c r="E564" s="3"/>
      <c r="Q564" s="16"/>
    </row>
    <row r="565" spans="3:17" ht="15.75" customHeight="1" x14ac:dyDescent="0.35">
      <c r="C565" s="3"/>
      <c r="E565" s="3"/>
      <c r="Q565" s="16"/>
    </row>
    <row r="566" spans="3:17" ht="15.75" customHeight="1" x14ac:dyDescent="0.35">
      <c r="C566" s="3"/>
      <c r="E566" s="3"/>
      <c r="Q566" s="16"/>
    </row>
    <row r="567" spans="3:17" ht="15.75" customHeight="1" x14ac:dyDescent="0.35">
      <c r="C567" s="3"/>
      <c r="E567" s="3"/>
      <c r="Q567" s="16"/>
    </row>
    <row r="568" spans="3:17" ht="15.75" customHeight="1" x14ac:dyDescent="0.35">
      <c r="C568" s="3"/>
      <c r="E568" s="3"/>
      <c r="Q568" s="16"/>
    </row>
    <row r="569" spans="3:17" ht="15.75" customHeight="1" x14ac:dyDescent="0.35">
      <c r="C569" s="3"/>
      <c r="E569" s="3"/>
      <c r="Q569" s="16"/>
    </row>
    <row r="570" spans="3:17" ht="15.75" customHeight="1" x14ac:dyDescent="0.35">
      <c r="C570" s="3"/>
      <c r="E570" s="3"/>
      <c r="Q570" s="16"/>
    </row>
    <row r="571" spans="3:17" ht="15.75" customHeight="1" x14ac:dyDescent="0.35">
      <c r="C571" s="3"/>
      <c r="E571" s="3"/>
      <c r="Q571" s="16"/>
    </row>
    <row r="572" spans="3:17" ht="15.75" customHeight="1" x14ac:dyDescent="0.35">
      <c r="C572" s="3"/>
      <c r="E572" s="3"/>
      <c r="Q572" s="16"/>
    </row>
    <row r="573" spans="3:17" ht="15.75" customHeight="1" x14ac:dyDescent="0.35">
      <c r="C573" s="3"/>
      <c r="E573" s="3"/>
      <c r="Q573" s="16"/>
    </row>
    <row r="574" spans="3:17" ht="15.75" customHeight="1" x14ac:dyDescent="0.35">
      <c r="C574" s="3"/>
      <c r="E574" s="3"/>
      <c r="Q574" s="16"/>
    </row>
    <row r="575" spans="3:17" ht="15.75" customHeight="1" x14ac:dyDescent="0.35">
      <c r="C575" s="3"/>
      <c r="E575" s="3"/>
      <c r="Q575" s="16"/>
    </row>
    <row r="576" spans="3:17" ht="15.75" customHeight="1" x14ac:dyDescent="0.35">
      <c r="C576" s="3"/>
      <c r="E576" s="3"/>
      <c r="Q576" s="16"/>
    </row>
    <row r="577" spans="3:17" ht="15.75" customHeight="1" x14ac:dyDescent="0.35">
      <c r="C577" s="3"/>
      <c r="E577" s="3"/>
      <c r="Q577" s="16"/>
    </row>
    <row r="578" spans="3:17" ht="15.75" customHeight="1" x14ac:dyDescent="0.35">
      <c r="C578" s="3"/>
      <c r="E578" s="3"/>
      <c r="Q578" s="16"/>
    </row>
    <row r="579" spans="3:17" ht="15.75" customHeight="1" x14ac:dyDescent="0.35">
      <c r="C579" s="3"/>
      <c r="E579" s="3"/>
      <c r="Q579" s="16"/>
    </row>
    <row r="580" spans="3:17" ht="15.75" customHeight="1" x14ac:dyDescent="0.35">
      <c r="C580" s="3"/>
      <c r="E580" s="3"/>
      <c r="Q580" s="16"/>
    </row>
    <row r="581" spans="3:17" ht="15.75" customHeight="1" x14ac:dyDescent="0.35">
      <c r="C581" s="3"/>
      <c r="E581" s="3"/>
      <c r="Q581" s="16"/>
    </row>
    <row r="582" spans="3:17" ht="15.75" customHeight="1" x14ac:dyDescent="0.35">
      <c r="C582" s="3"/>
      <c r="E582" s="3"/>
      <c r="Q582" s="16"/>
    </row>
    <row r="583" spans="3:17" ht="15.75" customHeight="1" x14ac:dyDescent="0.35">
      <c r="C583" s="3"/>
      <c r="E583" s="3"/>
      <c r="Q583" s="16"/>
    </row>
    <row r="584" spans="3:17" ht="15.75" customHeight="1" x14ac:dyDescent="0.35">
      <c r="C584" s="3"/>
      <c r="E584" s="3"/>
      <c r="Q584" s="16"/>
    </row>
    <row r="585" spans="3:17" ht="15.75" customHeight="1" x14ac:dyDescent="0.35">
      <c r="C585" s="3"/>
      <c r="E585" s="3"/>
      <c r="Q585" s="16"/>
    </row>
    <row r="586" spans="3:17" ht="15.75" customHeight="1" x14ac:dyDescent="0.35">
      <c r="C586" s="3"/>
      <c r="E586" s="3"/>
      <c r="Q586" s="16"/>
    </row>
    <row r="587" spans="3:17" ht="15.75" customHeight="1" x14ac:dyDescent="0.35">
      <c r="C587" s="3"/>
      <c r="E587" s="3"/>
      <c r="Q587" s="16"/>
    </row>
    <row r="588" spans="3:17" ht="15.75" customHeight="1" x14ac:dyDescent="0.35">
      <c r="C588" s="3"/>
      <c r="E588" s="3"/>
      <c r="Q588" s="16"/>
    </row>
    <row r="589" spans="3:17" ht="15.75" customHeight="1" x14ac:dyDescent="0.35">
      <c r="C589" s="3"/>
      <c r="E589" s="3"/>
      <c r="Q589" s="16"/>
    </row>
    <row r="590" spans="3:17" ht="15.75" customHeight="1" x14ac:dyDescent="0.35">
      <c r="C590" s="3"/>
      <c r="E590" s="3"/>
      <c r="Q590" s="16"/>
    </row>
    <row r="591" spans="3:17" ht="15.75" customHeight="1" x14ac:dyDescent="0.35">
      <c r="C591" s="3"/>
      <c r="E591" s="3"/>
      <c r="Q591" s="16"/>
    </row>
    <row r="592" spans="3:17" ht="15.75" customHeight="1" x14ac:dyDescent="0.35">
      <c r="C592" s="3"/>
      <c r="E592" s="3"/>
      <c r="Q592" s="16"/>
    </row>
    <row r="593" spans="3:17" ht="15.75" customHeight="1" x14ac:dyDescent="0.35">
      <c r="C593" s="3"/>
      <c r="E593" s="3"/>
      <c r="Q593" s="16"/>
    </row>
    <row r="594" spans="3:17" ht="15.75" customHeight="1" x14ac:dyDescent="0.35">
      <c r="C594" s="3"/>
      <c r="E594" s="3"/>
      <c r="Q594" s="16"/>
    </row>
    <row r="595" spans="3:17" ht="15.75" customHeight="1" x14ac:dyDescent="0.35">
      <c r="C595" s="3"/>
      <c r="E595" s="3"/>
      <c r="Q595" s="16"/>
    </row>
    <row r="596" spans="3:17" ht="15.75" customHeight="1" x14ac:dyDescent="0.35">
      <c r="C596" s="3"/>
      <c r="E596" s="3"/>
      <c r="Q596" s="16"/>
    </row>
    <row r="597" spans="3:17" ht="15.75" customHeight="1" x14ac:dyDescent="0.35">
      <c r="C597" s="3"/>
      <c r="E597" s="3"/>
      <c r="Q597" s="16"/>
    </row>
    <row r="598" spans="3:17" ht="15.75" customHeight="1" x14ac:dyDescent="0.35">
      <c r="C598" s="3"/>
      <c r="E598" s="3"/>
      <c r="Q598" s="16"/>
    </row>
    <row r="599" spans="3:17" ht="15.75" customHeight="1" x14ac:dyDescent="0.35">
      <c r="C599" s="3"/>
      <c r="E599" s="3"/>
      <c r="Q599" s="16"/>
    </row>
    <row r="600" spans="3:17" ht="15.75" customHeight="1" x14ac:dyDescent="0.35">
      <c r="C600" s="3"/>
      <c r="E600" s="3"/>
      <c r="Q600" s="16"/>
    </row>
    <row r="601" spans="3:17" ht="15.75" customHeight="1" x14ac:dyDescent="0.35">
      <c r="C601" s="3"/>
      <c r="E601" s="3"/>
      <c r="Q601" s="16"/>
    </row>
    <row r="602" spans="3:17" ht="15.75" customHeight="1" x14ac:dyDescent="0.35">
      <c r="C602" s="3"/>
      <c r="E602" s="3"/>
      <c r="Q602" s="16"/>
    </row>
    <row r="603" spans="3:17" ht="15.75" customHeight="1" x14ac:dyDescent="0.35">
      <c r="C603" s="3"/>
      <c r="E603" s="3"/>
      <c r="Q603" s="16"/>
    </row>
    <row r="604" spans="3:17" ht="15.75" customHeight="1" x14ac:dyDescent="0.35">
      <c r="C604" s="3"/>
      <c r="E604" s="3"/>
      <c r="Q604" s="16"/>
    </row>
    <row r="605" spans="3:17" ht="15.75" customHeight="1" x14ac:dyDescent="0.35">
      <c r="C605" s="3"/>
      <c r="E605" s="3"/>
      <c r="Q605" s="16"/>
    </row>
    <row r="606" spans="3:17" ht="15.75" customHeight="1" x14ac:dyDescent="0.35">
      <c r="C606" s="3"/>
      <c r="E606" s="3"/>
      <c r="Q606" s="16"/>
    </row>
    <row r="607" spans="3:17" ht="15.75" customHeight="1" x14ac:dyDescent="0.35">
      <c r="C607" s="3"/>
      <c r="E607" s="3"/>
      <c r="Q607" s="16"/>
    </row>
    <row r="608" spans="3:17" ht="15.75" customHeight="1" x14ac:dyDescent="0.35">
      <c r="C608" s="3"/>
      <c r="E608" s="3"/>
      <c r="Q608" s="16"/>
    </row>
    <row r="609" spans="3:17" ht="15.75" customHeight="1" x14ac:dyDescent="0.35">
      <c r="C609" s="3"/>
      <c r="E609" s="3"/>
      <c r="Q609" s="16"/>
    </row>
    <row r="610" spans="3:17" ht="15.75" customHeight="1" x14ac:dyDescent="0.35">
      <c r="C610" s="3"/>
      <c r="E610" s="3"/>
      <c r="Q610" s="16"/>
    </row>
    <row r="611" spans="3:17" ht="15.75" customHeight="1" x14ac:dyDescent="0.35">
      <c r="C611" s="3"/>
      <c r="E611" s="3"/>
      <c r="Q611" s="16"/>
    </row>
    <row r="612" spans="3:17" ht="15.75" customHeight="1" x14ac:dyDescent="0.35">
      <c r="C612" s="3"/>
      <c r="E612" s="3"/>
      <c r="Q612" s="16"/>
    </row>
    <row r="613" spans="3:17" ht="15.75" customHeight="1" x14ac:dyDescent="0.35">
      <c r="C613" s="3"/>
      <c r="E613" s="3"/>
      <c r="Q613" s="16"/>
    </row>
    <row r="614" spans="3:17" ht="15.75" customHeight="1" x14ac:dyDescent="0.35">
      <c r="C614" s="3"/>
      <c r="E614" s="3"/>
      <c r="Q614" s="16"/>
    </row>
    <row r="615" spans="3:17" ht="15.75" customHeight="1" x14ac:dyDescent="0.35">
      <c r="C615" s="3"/>
      <c r="E615" s="3"/>
      <c r="Q615" s="16"/>
    </row>
    <row r="616" spans="3:17" ht="15.75" customHeight="1" x14ac:dyDescent="0.35">
      <c r="C616" s="3"/>
      <c r="E616" s="3"/>
      <c r="Q616" s="16"/>
    </row>
    <row r="617" spans="3:17" ht="15.75" customHeight="1" x14ac:dyDescent="0.35">
      <c r="C617" s="3"/>
      <c r="E617" s="3"/>
      <c r="Q617" s="16"/>
    </row>
    <row r="618" spans="3:17" ht="15.75" customHeight="1" x14ac:dyDescent="0.35">
      <c r="C618" s="3"/>
      <c r="E618" s="3"/>
      <c r="Q618" s="16"/>
    </row>
    <row r="619" spans="3:17" ht="15.75" customHeight="1" x14ac:dyDescent="0.35">
      <c r="C619" s="3"/>
      <c r="E619" s="3"/>
      <c r="Q619" s="16"/>
    </row>
    <row r="620" spans="3:17" ht="15.75" customHeight="1" x14ac:dyDescent="0.35">
      <c r="C620" s="3"/>
      <c r="E620" s="3"/>
      <c r="Q620" s="16"/>
    </row>
    <row r="621" spans="3:17" ht="15.75" customHeight="1" x14ac:dyDescent="0.35">
      <c r="C621" s="3"/>
      <c r="E621" s="3"/>
      <c r="Q621" s="16"/>
    </row>
    <row r="622" spans="3:17" ht="15.75" customHeight="1" x14ac:dyDescent="0.35">
      <c r="C622" s="3"/>
      <c r="E622" s="3"/>
      <c r="Q622" s="16"/>
    </row>
    <row r="623" spans="3:17" ht="15.75" customHeight="1" x14ac:dyDescent="0.35">
      <c r="C623" s="3"/>
      <c r="E623" s="3"/>
      <c r="Q623" s="16"/>
    </row>
    <row r="624" spans="3:17" ht="15.75" customHeight="1" x14ac:dyDescent="0.35">
      <c r="C624" s="3"/>
      <c r="E624" s="3"/>
      <c r="Q624" s="16"/>
    </row>
    <row r="625" spans="3:17" ht="15.75" customHeight="1" x14ac:dyDescent="0.35">
      <c r="C625" s="3"/>
      <c r="E625" s="3"/>
      <c r="Q625" s="16"/>
    </row>
    <row r="626" spans="3:17" ht="15.75" customHeight="1" x14ac:dyDescent="0.35">
      <c r="C626" s="3"/>
      <c r="E626" s="3"/>
      <c r="Q626" s="16"/>
    </row>
    <row r="627" spans="3:17" ht="15.75" customHeight="1" x14ac:dyDescent="0.35">
      <c r="C627" s="3"/>
      <c r="E627" s="3"/>
      <c r="Q627" s="16"/>
    </row>
    <row r="628" spans="3:17" ht="15.75" customHeight="1" x14ac:dyDescent="0.35">
      <c r="C628" s="3"/>
      <c r="E628" s="3"/>
      <c r="Q628" s="16"/>
    </row>
    <row r="629" spans="3:17" ht="15.75" customHeight="1" x14ac:dyDescent="0.35">
      <c r="C629" s="3"/>
      <c r="E629" s="3"/>
      <c r="Q629" s="16"/>
    </row>
    <row r="630" spans="3:17" ht="15.75" customHeight="1" x14ac:dyDescent="0.35">
      <c r="C630" s="3"/>
      <c r="E630" s="3"/>
      <c r="Q630" s="16"/>
    </row>
    <row r="631" spans="3:17" ht="15.75" customHeight="1" x14ac:dyDescent="0.35">
      <c r="C631" s="3"/>
      <c r="E631" s="3"/>
      <c r="Q631" s="16"/>
    </row>
    <row r="632" spans="3:17" ht="15.75" customHeight="1" x14ac:dyDescent="0.35">
      <c r="C632" s="3"/>
      <c r="E632" s="3"/>
      <c r="Q632" s="16"/>
    </row>
    <row r="633" spans="3:17" ht="15.75" customHeight="1" x14ac:dyDescent="0.35">
      <c r="C633" s="3"/>
      <c r="E633" s="3"/>
      <c r="Q633" s="16"/>
    </row>
    <row r="634" spans="3:17" ht="15.75" customHeight="1" x14ac:dyDescent="0.35">
      <c r="C634" s="3"/>
      <c r="E634" s="3"/>
      <c r="Q634" s="16"/>
    </row>
    <row r="635" spans="3:17" ht="15.75" customHeight="1" x14ac:dyDescent="0.35">
      <c r="C635" s="3"/>
      <c r="E635" s="3"/>
      <c r="Q635" s="16"/>
    </row>
    <row r="636" spans="3:17" ht="15.75" customHeight="1" x14ac:dyDescent="0.35">
      <c r="C636" s="3"/>
      <c r="E636" s="3"/>
      <c r="Q636" s="16"/>
    </row>
    <row r="637" spans="3:17" ht="15.75" customHeight="1" x14ac:dyDescent="0.35">
      <c r="C637" s="3"/>
      <c r="E637" s="3"/>
      <c r="Q637" s="16"/>
    </row>
    <row r="638" spans="3:17" ht="15.75" customHeight="1" x14ac:dyDescent="0.35">
      <c r="C638" s="3"/>
      <c r="E638" s="3"/>
      <c r="Q638" s="16"/>
    </row>
    <row r="639" spans="3:17" ht="15.75" customHeight="1" x14ac:dyDescent="0.35">
      <c r="C639" s="3"/>
      <c r="E639" s="3"/>
      <c r="Q639" s="16"/>
    </row>
    <row r="640" spans="3:17" ht="15.75" customHeight="1" x14ac:dyDescent="0.35">
      <c r="C640" s="3"/>
      <c r="E640" s="3"/>
      <c r="Q640" s="16"/>
    </row>
    <row r="641" spans="3:17" ht="15.75" customHeight="1" x14ac:dyDescent="0.35">
      <c r="C641" s="3"/>
      <c r="E641" s="3"/>
      <c r="Q641" s="16"/>
    </row>
    <row r="642" spans="3:17" ht="15.75" customHeight="1" x14ac:dyDescent="0.35">
      <c r="C642" s="3"/>
      <c r="E642" s="3"/>
      <c r="Q642" s="16"/>
    </row>
    <row r="643" spans="3:17" ht="15.75" customHeight="1" x14ac:dyDescent="0.35">
      <c r="C643" s="3"/>
      <c r="E643" s="3"/>
      <c r="Q643" s="16"/>
    </row>
    <row r="644" spans="3:17" ht="15.75" customHeight="1" x14ac:dyDescent="0.35">
      <c r="C644" s="3"/>
      <c r="E644" s="3"/>
      <c r="Q644" s="16"/>
    </row>
    <row r="645" spans="3:17" ht="15.75" customHeight="1" x14ac:dyDescent="0.35">
      <c r="C645" s="3"/>
      <c r="E645" s="3"/>
      <c r="Q645" s="16"/>
    </row>
    <row r="646" spans="3:17" ht="15.75" customHeight="1" x14ac:dyDescent="0.35">
      <c r="C646" s="3"/>
      <c r="E646" s="3"/>
      <c r="Q646" s="16"/>
    </row>
    <row r="647" spans="3:17" ht="15.75" customHeight="1" x14ac:dyDescent="0.35">
      <c r="C647" s="3"/>
      <c r="E647" s="3"/>
      <c r="Q647" s="16"/>
    </row>
    <row r="648" spans="3:17" ht="15.75" customHeight="1" x14ac:dyDescent="0.35">
      <c r="C648" s="3"/>
      <c r="E648" s="3"/>
      <c r="Q648" s="16"/>
    </row>
    <row r="649" spans="3:17" ht="15.75" customHeight="1" x14ac:dyDescent="0.35">
      <c r="C649" s="3"/>
      <c r="E649" s="3"/>
      <c r="Q649" s="16"/>
    </row>
    <row r="650" spans="3:17" ht="15.75" customHeight="1" x14ac:dyDescent="0.35">
      <c r="C650" s="3"/>
      <c r="E650" s="3"/>
      <c r="Q650" s="16"/>
    </row>
    <row r="651" spans="3:17" ht="15.75" customHeight="1" x14ac:dyDescent="0.35">
      <c r="C651" s="3"/>
      <c r="E651" s="3"/>
      <c r="Q651" s="16"/>
    </row>
    <row r="652" spans="3:17" ht="15.75" customHeight="1" x14ac:dyDescent="0.35">
      <c r="C652" s="3"/>
      <c r="E652" s="3"/>
      <c r="Q652" s="16"/>
    </row>
    <row r="653" spans="3:17" ht="15.75" customHeight="1" x14ac:dyDescent="0.35">
      <c r="C653" s="3"/>
      <c r="E653" s="3"/>
      <c r="Q653" s="16"/>
    </row>
    <row r="654" spans="3:17" ht="15.75" customHeight="1" x14ac:dyDescent="0.35">
      <c r="C654" s="3"/>
      <c r="E654" s="3"/>
      <c r="Q654" s="16"/>
    </row>
    <row r="655" spans="3:17" ht="15.75" customHeight="1" x14ac:dyDescent="0.35">
      <c r="C655" s="3"/>
      <c r="E655" s="3"/>
      <c r="Q655" s="16"/>
    </row>
    <row r="656" spans="3:17" ht="15.75" customHeight="1" x14ac:dyDescent="0.35">
      <c r="C656" s="3"/>
      <c r="E656" s="3"/>
      <c r="Q656" s="16"/>
    </row>
    <row r="657" spans="3:17" ht="15.75" customHeight="1" x14ac:dyDescent="0.35">
      <c r="C657" s="3"/>
      <c r="E657" s="3"/>
      <c r="Q657" s="16"/>
    </row>
    <row r="658" spans="3:17" ht="15.75" customHeight="1" x14ac:dyDescent="0.35">
      <c r="C658" s="3"/>
      <c r="E658" s="3"/>
      <c r="Q658" s="16"/>
    </row>
    <row r="659" spans="3:17" ht="15.75" customHeight="1" x14ac:dyDescent="0.35">
      <c r="C659" s="3"/>
      <c r="E659" s="3"/>
      <c r="Q659" s="16"/>
    </row>
    <row r="660" spans="3:17" ht="15.75" customHeight="1" x14ac:dyDescent="0.35">
      <c r="C660" s="3"/>
      <c r="E660" s="3"/>
      <c r="Q660" s="16"/>
    </row>
    <row r="661" spans="3:17" ht="15.75" customHeight="1" x14ac:dyDescent="0.35">
      <c r="C661" s="3"/>
      <c r="E661" s="3"/>
      <c r="Q661" s="16"/>
    </row>
    <row r="662" spans="3:17" ht="15.75" customHeight="1" x14ac:dyDescent="0.35">
      <c r="C662" s="3"/>
      <c r="E662" s="3"/>
      <c r="Q662" s="16"/>
    </row>
    <row r="663" spans="3:17" ht="15.75" customHeight="1" x14ac:dyDescent="0.35">
      <c r="C663" s="3"/>
      <c r="E663" s="3"/>
      <c r="Q663" s="16"/>
    </row>
    <row r="664" spans="3:17" ht="15.75" customHeight="1" x14ac:dyDescent="0.35">
      <c r="C664" s="3"/>
      <c r="E664" s="3"/>
      <c r="Q664" s="16"/>
    </row>
    <row r="665" spans="3:17" ht="15.75" customHeight="1" x14ac:dyDescent="0.35">
      <c r="C665" s="3"/>
      <c r="E665" s="3"/>
      <c r="Q665" s="16"/>
    </row>
    <row r="666" spans="3:17" ht="15.75" customHeight="1" x14ac:dyDescent="0.35">
      <c r="C666" s="3"/>
      <c r="E666" s="3"/>
      <c r="Q666" s="16"/>
    </row>
    <row r="667" spans="3:17" ht="15.75" customHeight="1" x14ac:dyDescent="0.35">
      <c r="C667" s="3"/>
      <c r="E667" s="3"/>
      <c r="Q667" s="16"/>
    </row>
    <row r="668" spans="3:17" ht="15.75" customHeight="1" x14ac:dyDescent="0.35">
      <c r="C668" s="3"/>
      <c r="E668" s="3"/>
      <c r="Q668" s="16"/>
    </row>
    <row r="669" spans="3:17" ht="15.75" customHeight="1" x14ac:dyDescent="0.35">
      <c r="C669" s="3"/>
      <c r="E669" s="3"/>
      <c r="Q669" s="16"/>
    </row>
    <row r="670" spans="3:17" ht="15.75" customHeight="1" x14ac:dyDescent="0.35">
      <c r="C670" s="3"/>
      <c r="E670" s="3"/>
      <c r="Q670" s="16"/>
    </row>
    <row r="671" spans="3:17" ht="15.75" customHeight="1" x14ac:dyDescent="0.35">
      <c r="C671" s="3"/>
      <c r="E671" s="3"/>
      <c r="Q671" s="16"/>
    </row>
    <row r="672" spans="3:17" ht="15.75" customHeight="1" x14ac:dyDescent="0.35">
      <c r="C672" s="3"/>
      <c r="E672" s="3"/>
      <c r="Q672" s="16"/>
    </row>
    <row r="673" spans="3:17" ht="15.75" customHeight="1" x14ac:dyDescent="0.35">
      <c r="C673" s="3"/>
      <c r="E673" s="3"/>
      <c r="Q673" s="16"/>
    </row>
    <row r="674" spans="3:17" ht="15.75" customHeight="1" x14ac:dyDescent="0.35">
      <c r="C674" s="3"/>
      <c r="E674" s="3"/>
      <c r="Q674" s="16"/>
    </row>
    <row r="675" spans="3:17" ht="15.75" customHeight="1" x14ac:dyDescent="0.35">
      <c r="C675" s="3"/>
      <c r="E675" s="3"/>
      <c r="Q675" s="16"/>
    </row>
    <row r="676" spans="3:17" ht="15.75" customHeight="1" x14ac:dyDescent="0.35">
      <c r="C676" s="3"/>
      <c r="E676" s="3"/>
      <c r="Q676" s="16"/>
    </row>
    <row r="677" spans="3:17" ht="15.75" customHeight="1" x14ac:dyDescent="0.35">
      <c r="C677" s="3"/>
      <c r="E677" s="3"/>
      <c r="Q677" s="16"/>
    </row>
    <row r="678" spans="3:17" ht="15.75" customHeight="1" x14ac:dyDescent="0.35">
      <c r="C678" s="3"/>
      <c r="E678" s="3"/>
      <c r="Q678" s="16"/>
    </row>
    <row r="679" spans="3:17" ht="15.75" customHeight="1" x14ac:dyDescent="0.35">
      <c r="C679" s="3"/>
      <c r="E679" s="3"/>
      <c r="Q679" s="16"/>
    </row>
    <row r="680" spans="3:17" ht="15.75" customHeight="1" x14ac:dyDescent="0.35">
      <c r="C680" s="3"/>
      <c r="E680" s="3"/>
      <c r="Q680" s="16"/>
    </row>
    <row r="681" spans="3:17" ht="15.75" customHeight="1" x14ac:dyDescent="0.35">
      <c r="C681" s="3"/>
      <c r="E681" s="3"/>
      <c r="Q681" s="16"/>
    </row>
    <row r="682" spans="3:17" ht="15.75" customHeight="1" x14ac:dyDescent="0.35">
      <c r="C682" s="3"/>
      <c r="E682" s="3"/>
      <c r="Q682" s="16"/>
    </row>
    <row r="683" spans="3:17" ht="15.75" customHeight="1" x14ac:dyDescent="0.35">
      <c r="C683" s="3"/>
      <c r="E683" s="3"/>
      <c r="Q683" s="16"/>
    </row>
    <row r="684" spans="3:17" ht="15.75" customHeight="1" x14ac:dyDescent="0.35">
      <c r="C684" s="3"/>
      <c r="E684" s="3"/>
      <c r="Q684" s="16"/>
    </row>
    <row r="685" spans="3:17" ht="15.75" customHeight="1" x14ac:dyDescent="0.35">
      <c r="C685" s="3"/>
      <c r="E685" s="3"/>
      <c r="Q685" s="16"/>
    </row>
    <row r="686" spans="3:17" ht="15.75" customHeight="1" x14ac:dyDescent="0.35">
      <c r="C686" s="3"/>
      <c r="E686" s="3"/>
      <c r="Q686" s="16"/>
    </row>
    <row r="687" spans="3:17" ht="15.75" customHeight="1" x14ac:dyDescent="0.35">
      <c r="C687" s="3"/>
      <c r="E687" s="3"/>
      <c r="Q687" s="16"/>
    </row>
    <row r="688" spans="3:17" ht="15.75" customHeight="1" x14ac:dyDescent="0.35">
      <c r="C688" s="3"/>
      <c r="E688" s="3"/>
      <c r="Q688" s="16"/>
    </row>
    <row r="689" spans="3:17" ht="15.75" customHeight="1" x14ac:dyDescent="0.35">
      <c r="C689" s="3"/>
      <c r="E689" s="3"/>
      <c r="Q689" s="16"/>
    </row>
    <row r="690" spans="3:17" ht="15.75" customHeight="1" x14ac:dyDescent="0.35">
      <c r="C690" s="3"/>
      <c r="E690" s="3"/>
      <c r="Q690" s="16"/>
    </row>
    <row r="691" spans="3:17" ht="15.75" customHeight="1" x14ac:dyDescent="0.35">
      <c r="C691" s="3"/>
      <c r="E691" s="3"/>
      <c r="Q691" s="16"/>
    </row>
    <row r="692" spans="3:17" ht="15.75" customHeight="1" x14ac:dyDescent="0.35">
      <c r="C692" s="3"/>
      <c r="E692" s="3"/>
      <c r="Q692" s="16"/>
    </row>
    <row r="693" spans="3:17" ht="15.75" customHeight="1" x14ac:dyDescent="0.35">
      <c r="C693" s="3"/>
      <c r="E693" s="3"/>
      <c r="Q693" s="16"/>
    </row>
    <row r="694" spans="3:17" ht="15.75" customHeight="1" x14ac:dyDescent="0.35">
      <c r="C694" s="3"/>
      <c r="E694" s="3"/>
      <c r="Q694" s="16"/>
    </row>
    <row r="695" spans="3:17" ht="15.75" customHeight="1" x14ac:dyDescent="0.35">
      <c r="C695" s="3"/>
      <c r="E695" s="3"/>
      <c r="Q695" s="16"/>
    </row>
    <row r="696" spans="3:17" ht="15.75" customHeight="1" x14ac:dyDescent="0.35">
      <c r="C696" s="3"/>
      <c r="E696" s="3"/>
      <c r="Q696" s="16"/>
    </row>
    <row r="697" spans="3:17" ht="15.75" customHeight="1" x14ac:dyDescent="0.35">
      <c r="C697" s="3"/>
      <c r="E697" s="3"/>
      <c r="Q697" s="16"/>
    </row>
    <row r="698" spans="3:17" ht="15.75" customHeight="1" x14ac:dyDescent="0.35">
      <c r="C698" s="3"/>
      <c r="E698" s="3"/>
      <c r="Q698" s="16"/>
    </row>
    <row r="699" spans="3:17" ht="15.75" customHeight="1" x14ac:dyDescent="0.35">
      <c r="C699" s="3"/>
      <c r="E699" s="3"/>
      <c r="Q699" s="16"/>
    </row>
    <row r="700" spans="3:17" ht="15.75" customHeight="1" x14ac:dyDescent="0.35">
      <c r="C700" s="3"/>
      <c r="E700" s="3"/>
      <c r="Q700" s="16"/>
    </row>
    <row r="701" spans="3:17" ht="15.75" customHeight="1" x14ac:dyDescent="0.35">
      <c r="C701" s="3"/>
      <c r="E701" s="3"/>
      <c r="Q701" s="16"/>
    </row>
    <row r="702" spans="3:17" ht="15.75" customHeight="1" x14ac:dyDescent="0.35">
      <c r="C702" s="3"/>
      <c r="E702" s="3"/>
      <c r="Q702" s="16"/>
    </row>
    <row r="703" spans="3:17" ht="15.75" customHeight="1" x14ac:dyDescent="0.35">
      <c r="C703" s="3"/>
      <c r="E703" s="3"/>
      <c r="Q703" s="16"/>
    </row>
    <row r="704" spans="3:17" ht="15.75" customHeight="1" x14ac:dyDescent="0.35">
      <c r="C704" s="3"/>
      <c r="E704" s="3"/>
      <c r="Q704" s="16"/>
    </row>
    <row r="705" spans="3:17" ht="15.75" customHeight="1" x14ac:dyDescent="0.35">
      <c r="C705" s="3"/>
      <c r="E705" s="3"/>
      <c r="Q705" s="16"/>
    </row>
    <row r="706" spans="3:17" ht="15.75" customHeight="1" x14ac:dyDescent="0.35">
      <c r="C706" s="3"/>
      <c r="E706" s="3"/>
      <c r="Q706" s="16"/>
    </row>
    <row r="707" spans="3:17" ht="15.75" customHeight="1" x14ac:dyDescent="0.35">
      <c r="C707" s="3"/>
      <c r="E707" s="3"/>
      <c r="Q707" s="16"/>
    </row>
    <row r="708" spans="3:17" ht="15.75" customHeight="1" x14ac:dyDescent="0.35">
      <c r="C708" s="3"/>
      <c r="E708" s="3"/>
      <c r="Q708" s="16"/>
    </row>
    <row r="709" spans="3:17" ht="15.75" customHeight="1" x14ac:dyDescent="0.35">
      <c r="C709" s="3"/>
      <c r="E709" s="3"/>
      <c r="Q709" s="16"/>
    </row>
    <row r="710" spans="3:17" ht="15.75" customHeight="1" x14ac:dyDescent="0.35">
      <c r="C710" s="3"/>
      <c r="E710" s="3"/>
      <c r="Q710" s="16"/>
    </row>
    <row r="711" spans="3:17" ht="15.75" customHeight="1" x14ac:dyDescent="0.35">
      <c r="C711" s="3"/>
      <c r="E711" s="3"/>
      <c r="Q711" s="16"/>
    </row>
    <row r="712" spans="3:17" ht="15.75" customHeight="1" x14ac:dyDescent="0.35">
      <c r="C712" s="3"/>
      <c r="E712" s="3"/>
      <c r="Q712" s="16"/>
    </row>
    <row r="713" spans="3:17" ht="15.75" customHeight="1" x14ac:dyDescent="0.35">
      <c r="C713" s="3"/>
      <c r="E713" s="3"/>
      <c r="Q713" s="16"/>
    </row>
    <row r="714" spans="3:17" ht="15.75" customHeight="1" x14ac:dyDescent="0.35">
      <c r="C714" s="3"/>
      <c r="E714" s="3"/>
      <c r="Q714" s="16"/>
    </row>
    <row r="715" spans="3:17" ht="15.75" customHeight="1" x14ac:dyDescent="0.35">
      <c r="C715" s="3"/>
      <c r="E715" s="3"/>
      <c r="Q715" s="16"/>
    </row>
    <row r="716" spans="3:17" ht="15.75" customHeight="1" x14ac:dyDescent="0.35">
      <c r="C716" s="3"/>
      <c r="E716" s="3"/>
      <c r="Q716" s="16"/>
    </row>
    <row r="717" spans="3:17" ht="15.75" customHeight="1" x14ac:dyDescent="0.35">
      <c r="C717" s="3"/>
      <c r="E717" s="3"/>
      <c r="Q717" s="16"/>
    </row>
    <row r="718" spans="3:17" ht="15.75" customHeight="1" x14ac:dyDescent="0.35">
      <c r="C718" s="3"/>
      <c r="E718" s="3"/>
      <c r="Q718" s="16"/>
    </row>
    <row r="719" spans="3:17" ht="15.75" customHeight="1" x14ac:dyDescent="0.35">
      <c r="C719" s="3"/>
      <c r="E719" s="3"/>
      <c r="Q719" s="16"/>
    </row>
    <row r="720" spans="3:17" ht="15.75" customHeight="1" x14ac:dyDescent="0.35">
      <c r="C720" s="3"/>
      <c r="E720" s="3"/>
      <c r="Q720" s="16"/>
    </row>
    <row r="721" spans="3:17" ht="15.75" customHeight="1" x14ac:dyDescent="0.35">
      <c r="C721" s="3"/>
      <c r="E721" s="3"/>
      <c r="Q721" s="16"/>
    </row>
    <row r="722" spans="3:17" ht="15.75" customHeight="1" x14ac:dyDescent="0.35">
      <c r="C722" s="3"/>
      <c r="E722" s="3"/>
      <c r="Q722" s="16"/>
    </row>
    <row r="723" spans="3:17" ht="15.75" customHeight="1" x14ac:dyDescent="0.35">
      <c r="C723" s="3"/>
      <c r="E723" s="3"/>
      <c r="Q723" s="16"/>
    </row>
    <row r="724" spans="3:17" ht="15.75" customHeight="1" x14ac:dyDescent="0.35">
      <c r="C724" s="3"/>
      <c r="E724" s="3"/>
      <c r="Q724" s="16"/>
    </row>
    <row r="725" spans="3:17" ht="15.75" customHeight="1" x14ac:dyDescent="0.35">
      <c r="C725" s="3"/>
      <c r="E725" s="3"/>
      <c r="Q725" s="16"/>
    </row>
    <row r="726" spans="3:17" ht="15.75" customHeight="1" x14ac:dyDescent="0.35">
      <c r="C726" s="3"/>
      <c r="E726" s="3"/>
      <c r="Q726" s="16"/>
    </row>
    <row r="727" spans="3:17" ht="15.75" customHeight="1" x14ac:dyDescent="0.35">
      <c r="C727" s="3"/>
      <c r="E727" s="3"/>
      <c r="Q727" s="16"/>
    </row>
    <row r="728" spans="3:17" ht="15.75" customHeight="1" x14ac:dyDescent="0.35">
      <c r="C728" s="3"/>
      <c r="E728" s="3"/>
      <c r="Q728" s="16"/>
    </row>
    <row r="729" spans="3:17" ht="15.75" customHeight="1" x14ac:dyDescent="0.35">
      <c r="C729" s="3"/>
      <c r="E729" s="3"/>
      <c r="Q729" s="16"/>
    </row>
    <row r="730" spans="3:17" ht="15.75" customHeight="1" x14ac:dyDescent="0.35">
      <c r="C730" s="3"/>
      <c r="E730" s="3"/>
      <c r="Q730" s="16"/>
    </row>
    <row r="731" spans="3:17" ht="15.75" customHeight="1" x14ac:dyDescent="0.35">
      <c r="C731" s="3"/>
      <c r="E731" s="3"/>
      <c r="Q731" s="16"/>
    </row>
    <row r="732" spans="3:17" ht="15.75" customHeight="1" x14ac:dyDescent="0.35">
      <c r="C732" s="3"/>
      <c r="E732" s="3"/>
      <c r="Q732" s="16"/>
    </row>
    <row r="733" spans="3:17" ht="15.75" customHeight="1" x14ac:dyDescent="0.35">
      <c r="C733" s="3"/>
      <c r="E733" s="3"/>
      <c r="Q733" s="16"/>
    </row>
    <row r="734" spans="3:17" ht="15.75" customHeight="1" x14ac:dyDescent="0.35">
      <c r="C734" s="3"/>
      <c r="E734" s="3"/>
      <c r="Q734" s="16"/>
    </row>
    <row r="735" spans="3:17" ht="15.75" customHeight="1" x14ac:dyDescent="0.35">
      <c r="C735" s="3"/>
      <c r="E735" s="3"/>
      <c r="Q735" s="16"/>
    </row>
    <row r="736" spans="3:17" ht="15.75" customHeight="1" x14ac:dyDescent="0.35">
      <c r="C736" s="3"/>
      <c r="E736" s="3"/>
      <c r="Q736" s="16"/>
    </row>
    <row r="737" spans="3:17" ht="15.75" customHeight="1" x14ac:dyDescent="0.35">
      <c r="C737" s="3"/>
      <c r="E737" s="3"/>
      <c r="Q737" s="16"/>
    </row>
    <row r="738" spans="3:17" ht="15.75" customHeight="1" x14ac:dyDescent="0.35">
      <c r="C738" s="3"/>
      <c r="E738" s="3"/>
      <c r="Q738" s="16"/>
    </row>
    <row r="739" spans="3:17" ht="15.75" customHeight="1" x14ac:dyDescent="0.35">
      <c r="C739" s="3"/>
      <c r="E739" s="3"/>
      <c r="Q739" s="16"/>
    </row>
    <row r="740" spans="3:17" ht="15.75" customHeight="1" x14ac:dyDescent="0.35">
      <c r="C740" s="3"/>
      <c r="E740" s="3"/>
      <c r="Q740" s="16"/>
    </row>
    <row r="741" spans="3:17" ht="15.75" customHeight="1" x14ac:dyDescent="0.35">
      <c r="C741" s="3"/>
      <c r="E741" s="3"/>
      <c r="Q741" s="16"/>
    </row>
    <row r="742" spans="3:17" ht="15.75" customHeight="1" x14ac:dyDescent="0.35">
      <c r="C742" s="3"/>
      <c r="E742" s="3"/>
      <c r="Q742" s="16"/>
    </row>
    <row r="743" spans="3:17" ht="15.75" customHeight="1" x14ac:dyDescent="0.35">
      <c r="C743" s="3"/>
      <c r="E743" s="3"/>
      <c r="Q743" s="16"/>
    </row>
    <row r="744" spans="3:17" ht="15.75" customHeight="1" x14ac:dyDescent="0.35">
      <c r="C744" s="3"/>
      <c r="E744" s="3"/>
      <c r="Q744" s="16"/>
    </row>
    <row r="745" spans="3:17" ht="15.75" customHeight="1" x14ac:dyDescent="0.35">
      <c r="C745" s="3"/>
      <c r="E745" s="3"/>
      <c r="Q745" s="16"/>
    </row>
    <row r="746" spans="3:17" ht="15.75" customHeight="1" x14ac:dyDescent="0.35">
      <c r="C746" s="3"/>
      <c r="E746" s="3"/>
      <c r="Q746" s="16"/>
    </row>
    <row r="747" spans="3:17" ht="15.75" customHeight="1" x14ac:dyDescent="0.35">
      <c r="C747" s="3"/>
      <c r="E747" s="3"/>
      <c r="Q747" s="16"/>
    </row>
    <row r="748" spans="3:17" ht="15.75" customHeight="1" x14ac:dyDescent="0.35">
      <c r="C748" s="3"/>
      <c r="E748" s="3"/>
      <c r="Q748" s="16"/>
    </row>
    <row r="749" spans="3:17" ht="15.75" customHeight="1" x14ac:dyDescent="0.35">
      <c r="C749" s="3"/>
      <c r="E749" s="3"/>
      <c r="Q749" s="16"/>
    </row>
    <row r="750" spans="3:17" ht="15.75" customHeight="1" x14ac:dyDescent="0.35">
      <c r="C750" s="3"/>
      <c r="E750" s="3"/>
      <c r="Q750" s="16"/>
    </row>
    <row r="751" spans="3:17" ht="15.75" customHeight="1" x14ac:dyDescent="0.35">
      <c r="C751" s="3"/>
      <c r="E751" s="3"/>
      <c r="Q751" s="16"/>
    </row>
    <row r="752" spans="3:17" ht="15.75" customHeight="1" x14ac:dyDescent="0.35">
      <c r="C752" s="3"/>
      <c r="E752" s="3"/>
      <c r="Q752" s="16"/>
    </row>
    <row r="753" spans="3:17" ht="15.75" customHeight="1" x14ac:dyDescent="0.35">
      <c r="C753" s="3"/>
      <c r="E753" s="3"/>
      <c r="Q753" s="16"/>
    </row>
    <row r="754" spans="3:17" ht="15.75" customHeight="1" x14ac:dyDescent="0.35">
      <c r="C754" s="3"/>
      <c r="E754" s="3"/>
      <c r="Q754" s="16"/>
    </row>
    <row r="755" spans="3:17" ht="15.75" customHeight="1" x14ac:dyDescent="0.35">
      <c r="C755" s="3"/>
      <c r="E755" s="3"/>
      <c r="Q755" s="16"/>
    </row>
    <row r="756" spans="3:17" ht="15.75" customHeight="1" x14ac:dyDescent="0.35">
      <c r="C756" s="3"/>
      <c r="E756" s="3"/>
      <c r="Q756" s="16"/>
    </row>
    <row r="757" spans="3:17" ht="15.75" customHeight="1" x14ac:dyDescent="0.35">
      <c r="C757" s="3"/>
      <c r="E757" s="3"/>
      <c r="Q757" s="16"/>
    </row>
    <row r="758" spans="3:17" ht="15.75" customHeight="1" x14ac:dyDescent="0.35">
      <c r="C758" s="3"/>
      <c r="E758" s="3"/>
      <c r="Q758" s="16"/>
    </row>
    <row r="759" spans="3:17" ht="15.75" customHeight="1" x14ac:dyDescent="0.35">
      <c r="C759" s="3"/>
      <c r="E759" s="3"/>
      <c r="Q759" s="16"/>
    </row>
    <row r="760" spans="3:17" ht="15.75" customHeight="1" x14ac:dyDescent="0.35">
      <c r="C760" s="3"/>
      <c r="E760" s="3"/>
      <c r="Q760" s="16"/>
    </row>
    <row r="761" spans="3:17" ht="15.75" customHeight="1" x14ac:dyDescent="0.35">
      <c r="C761" s="3"/>
      <c r="E761" s="3"/>
      <c r="Q761" s="16"/>
    </row>
    <row r="762" spans="3:17" ht="15.75" customHeight="1" x14ac:dyDescent="0.35">
      <c r="C762" s="3"/>
      <c r="E762" s="3"/>
      <c r="Q762" s="16"/>
    </row>
    <row r="763" spans="3:17" ht="15.75" customHeight="1" x14ac:dyDescent="0.35">
      <c r="C763" s="3"/>
      <c r="E763" s="3"/>
      <c r="Q763" s="16"/>
    </row>
    <row r="764" spans="3:17" ht="15.75" customHeight="1" x14ac:dyDescent="0.35">
      <c r="C764" s="3"/>
      <c r="E764" s="3"/>
      <c r="Q764" s="16"/>
    </row>
    <row r="765" spans="3:17" ht="15.75" customHeight="1" x14ac:dyDescent="0.35">
      <c r="C765" s="3"/>
      <c r="E765" s="3"/>
      <c r="Q765" s="16"/>
    </row>
    <row r="766" spans="3:17" ht="15.75" customHeight="1" x14ac:dyDescent="0.35">
      <c r="C766" s="3"/>
      <c r="E766" s="3"/>
      <c r="Q766" s="16"/>
    </row>
    <row r="767" spans="3:17" ht="15.75" customHeight="1" x14ac:dyDescent="0.35">
      <c r="C767" s="3"/>
      <c r="E767" s="3"/>
      <c r="Q767" s="16"/>
    </row>
    <row r="768" spans="3:17" ht="15.75" customHeight="1" x14ac:dyDescent="0.35">
      <c r="C768" s="3"/>
      <c r="E768" s="3"/>
      <c r="Q768" s="16"/>
    </row>
    <row r="769" spans="3:17" ht="15.75" customHeight="1" x14ac:dyDescent="0.35">
      <c r="C769" s="3"/>
      <c r="E769" s="3"/>
      <c r="Q769" s="16"/>
    </row>
    <row r="770" spans="3:17" ht="15.75" customHeight="1" x14ac:dyDescent="0.35">
      <c r="C770" s="3"/>
      <c r="E770" s="3"/>
      <c r="Q770" s="16"/>
    </row>
    <row r="771" spans="3:17" ht="15.75" customHeight="1" x14ac:dyDescent="0.35">
      <c r="C771" s="3"/>
      <c r="E771" s="3"/>
      <c r="Q771" s="16"/>
    </row>
    <row r="772" spans="3:17" ht="15.75" customHeight="1" x14ac:dyDescent="0.35">
      <c r="C772" s="3"/>
      <c r="E772" s="3"/>
      <c r="Q772" s="16"/>
    </row>
    <row r="773" spans="3:17" ht="15.75" customHeight="1" x14ac:dyDescent="0.35">
      <c r="C773" s="3"/>
      <c r="E773" s="3"/>
      <c r="Q773" s="16"/>
    </row>
    <row r="774" spans="3:17" ht="15.75" customHeight="1" x14ac:dyDescent="0.35">
      <c r="C774" s="3"/>
      <c r="E774" s="3"/>
      <c r="Q774" s="16"/>
    </row>
    <row r="775" spans="3:17" ht="15.75" customHeight="1" x14ac:dyDescent="0.35">
      <c r="C775" s="3"/>
      <c r="E775" s="3"/>
      <c r="Q775" s="16"/>
    </row>
    <row r="776" spans="3:17" ht="15.75" customHeight="1" x14ac:dyDescent="0.35">
      <c r="C776" s="3"/>
      <c r="E776" s="3"/>
      <c r="Q776" s="16"/>
    </row>
    <row r="777" spans="3:17" ht="15.75" customHeight="1" x14ac:dyDescent="0.35">
      <c r="C777" s="3"/>
      <c r="E777" s="3"/>
      <c r="Q777" s="16"/>
    </row>
    <row r="778" spans="3:17" ht="15.75" customHeight="1" x14ac:dyDescent="0.35">
      <c r="C778" s="3"/>
      <c r="E778" s="3"/>
      <c r="Q778" s="16"/>
    </row>
    <row r="779" spans="3:17" ht="15.75" customHeight="1" x14ac:dyDescent="0.35">
      <c r="C779" s="3"/>
      <c r="E779" s="3"/>
      <c r="Q779" s="16"/>
    </row>
    <row r="780" spans="3:17" ht="15.75" customHeight="1" x14ac:dyDescent="0.35">
      <c r="C780" s="3"/>
      <c r="E780" s="3"/>
      <c r="Q780" s="16"/>
    </row>
    <row r="781" spans="3:17" ht="15.75" customHeight="1" x14ac:dyDescent="0.35">
      <c r="C781" s="3"/>
      <c r="E781" s="3"/>
      <c r="Q781" s="16"/>
    </row>
    <row r="782" spans="3:17" ht="15.75" customHeight="1" x14ac:dyDescent="0.35">
      <c r="C782" s="3"/>
      <c r="E782" s="3"/>
      <c r="Q782" s="16"/>
    </row>
    <row r="783" spans="3:17" ht="15.75" customHeight="1" x14ac:dyDescent="0.35">
      <c r="C783" s="3"/>
      <c r="E783" s="3"/>
      <c r="Q783" s="16"/>
    </row>
    <row r="784" spans="3:17" ht="15.75" customHeight="1" x14ac:dyDescent="0.35">
      <c r="C784" s="3"/>
      <c r="E784" s="3"/>
      <c r="Q784" s="16"/>
    </row>
    <row r="785" spans="3:17" ht="15.75" customHeight="1" x14ac:dyDescent="0.35">
      <c r="C785" s="3"/>
      <c r="E785" s="3"/>
      <c r="Q785" s="16"/>
    </row>
    <row r="786" spans="3:17" ht="15.75" customHeight="1" x14ac:dyDescent="0.35">
      <c r="C786" s="3"/>
      <c r="E786" s="3"/>
      <c r="Q786" s="16"/>
    </row>
    <row r="787" spans="3:17" ht="15.75" customHeight="1" x14ac:dyDescent="0.35">
      <c r="C787" s="3"/>
      <c r="E787" s="3"/>
      <c r="Q787" s="16"/>
    </row>
    <row r="788" spans="3:17" ht="15.75" customHeight="1" x14ac:dyDescent="0.35">
      <c r="C788" s="3"/>
      <c r="E788" s="3"/>
      <c r="Q788" s="16"/>
    </row>
    <row r="789" spans="3:17" ht="15.75" customHeight="1" x14ac:dyDescent="0.35">
      <c r="C789" s="3"/>
      <c r="E789" s="3"/>
      <c r="Q789" s="16"/>
    </row>
    <row r="790" spans="3:17" ht="15.75" customHeight="1" x14ac:dyDescent="0.35">
      <c r="C790" s="3"/>
      <c r="E790" s="3"/>
      <c r="Q790" s="16"/>
    </row>
    <row r="791" spans="3:17" ht="15.75" customHeight="1" x14ac:dyDescent="0.35">
      <c r="C791" s="3"/>
      <c r="E791" s="3"/>
      <c r="Q791" s="16"/>
    </row>
    <row r="792" spans="3:17" ht="15.75" customHeight="1" x14ac:dyDescent="0.35">
      <c r="C792" s="3"/>
      <c r="E792" s="3"/>
      <c r="Q792" s="16"/>
    </row>
    <row r="793" spans="3:17" ht="15.75" customHeight="1" x14ac:dyDescent="0.35">
      <c r="C793" s="3"/>
      <c r="E793" s="3"/>
      <c r="Q793" s="16"/>
    </row>
    <row r="794" spans="3:17" ht="15.75" customHeight="1" x14ac:dyDescent="0.35">
      <c r="C794" s="3"/>
      <c r="E794" s="3"/>
      <c r="Q794" s="16"/>
    </row>
    <row r="795" spans="3:17" ht="15.75" customHeight="1" x14ac:dyDescent="0.35">
      <c r="C795" s="3"/>
      <c r="E795" s="3"/>
      <c r="Q795" s="16"/>
    </row>
    <row r="796" spans="3:17" ht="15.75" customHeight="1" x14ac:dyDescent="0.35">
      <c r="C796" s="3"/>
      <c r="E796" s="3"/>
      <c r="Q796" s="16"/>
    </row>
    <row r="797" spans="3:17" ht="15.75" customHeight="1" x14ac:dyDescent="0.35">
      <c r="C797" s="3"/>
      <c r="E797" s="3"/>
      <c r="Q797" s="16"/>
    </row>
    <row r="798" spans="3:17" ht="15.75" customHeight="1" x14ac:dyDescent="0.35">
      <c r="C798" s="3"/>
      <c r="E798" s="3"/>
      <c r="Q798" s="16"/>
    </row>
    <row r="799" spans="3:17" ht="15.75" customHeight="1" x14ac:dyDescent="0.35">
      <c r="C799" s="3"/>
      <c r="E799" s="3"/>
      <c r="Q799" s="16"/>
    </row>
    <row r="800" spans="3:17" ht="15.75" customHeight="1" x14ac:dyDescent="0.35">
      <c r="C800" s="3"/>
      <c r="E800" s="3"/>
      <c r="Q800" s="16"/>
    </row>
    <row r="801" spans="3:17" ht="15.75" customHeight="1" x14ac:dyDescent="0.35">
      <c r="C801" s="3"/>
      <c r="E801" s="3"/>
      <c r="Q801" s="16"/>
    </row>
    <row r="802" spans="3:17" ht="15.75" customHeight="1" x14ac:dyDescent="0.35">
      <c r="C802" s="3"/>
      <c r="E802" s="3"/>
      <c r="Q802" s="16"/>
    </row>
    <row r="803" spans="3:17" ht="15.75" customHeight="1" x14ac:dyDescent="0.35">
      <c r="C803" s="3"/>
      <c r="E803" s="3"/>
      <c r="Q803" s="16"/>
    </row>
    <row r="804" spans="3:17" ht="15.75" customHeight="1" x14ac:dyDescent="0.35">
      <c r="C804" s="3"/>
      <c r="E804" s="3"/>
      <c r="Q804" s="16"/>
    </row>
    <row r="805" spans="3:17" ht="15.75" customHeight="1" x14ac:dyDescent="0.35">
      <c r="C805" s="3"/>
      <c r="E805" s="3"/>
      <c r="Q805" s="16"/>
    </row>
    <row r="806" spans="3:17" ht="15.75" customHeight="1" x14ac:dyDescent="0.35">
      <c r="C806" s="3"/>
      <c r="E806" s="3"/>
      <c r="Q806" s="16"/>
    </row>
    <row r="807" spans="3:17" ht="15.75" customHeight="1" x14ac:dyDescent="0.35">
      <c r="C807" s="3"/>
      <c r="E807" s="3"/>
      <c r="Q807" s="16"/>
    </row>
    <row r="808" spans="3:17" ht="15.75" customHeight="1" x14ac:dyDescent="0.35">
      <c r="C808" s="3"/>
      <c r="E808" s="3"/>
      <c r="Q808" s="16"/>
    </row>
    <row r="809" spans="3:17" ht="15.75" customHeight="1" x14ac:dyDescent="0.35">
      <c r="C809" s="3"/>
      <c r="E809" s="3"/>
      <c r="Q809" s="16"/>
    </row>
    <row r="810" spans="3:17" ht="15.75" customHeight="1" x14ac:dyDescent="0.35">
      <c r="C810" s="3"/>
      <c r="E810" s="3"/>
      <c r="Q810" s="16"/>
    </row>
    <row r="811" spans="3:17" ht="15.75" customHeight="1" x14ac:dyDescent="0.35">
      <c r="C811" s="3"/>
      <c r="E811" s="3"/>
      <c r="Q811" s="16"/>
    </row>
    <row r="812" spans="3:17" ht="15.75" customHeight="1" x14ac:dyDescent="0.35">
      <c r="C812" s="3"/>
      <c r="E812" s="3"/>
      <c r="Q812" s="16"/>
    </row>
    <row r="813" spans="3:17" ht="15.75" customHeight="1" x14ac:dyDescent="0.35">
      <c r="C813" s="3"/>
      <c r="E813" s="3"/>
      <c r="Q813" s="16"/>
    </row>
    <row r="814" spans="3:17" ht="15.75" customHeight="1" x14ac:dyDescent="0.35">
      <c r="C814" s="3"/>
      <c r="E814" s="3"/>
      <c r="Q814" s="16"/>
    </row>
    <row r="815" spans="3:17" ht="15.75" customHeight="1" x14ac:dyDescent="0.35">
      <c r="C815" s="3"/>
      <c r="E815" s="3"/>
      <c r="Q815" s="16"/>
    </row>
    <row r="816" spans="3:17" ht="15.75" customHeight="1" x14ac:dyDescent="0.35">
      <c r="C816" s="3"/>
      <c r="E816" s="3"/>
      <c r="Q816" s="16"/>
    </row>
    <row r="817" spans="3:17" ht="15.75" customHeight="1" x14ac:dyDescent="0.35">
      <c r="C817" s="3"/>
      <c r="E817" s="3"/>
      <c r="Q817" s="16"/>
    </row>
    <row r="818" spans="3:17" ht="15.75" customHeight="1" x14ac:dyDescent="0.35">
      <c r="C818" s="3"/>
      <c r="E818" s="3"/>
      <c r="Q818" s="16"/>
    </row>
    <row r="819" spans="3:17" ht="15.75" customHeight="1" x14ac:dyDescent="0.35">
      <c r="C819" s="3"/>
      <c r="E819" s="3"/>
      <c r="Q819" s="16"/>
    </row>
    <row r="820" spans="3:17" ht="15.75" customHeight="1" x14ac:dyDescent="0.35">
      <c r="C820" s="3"/>
      <c r="E820" s="3"/>
      <c r="Q820" s="16"/>
    </row>
    <row r="821" spans="3:17" ht="15.75" customHeight="1" x14ac:dyDescent="0.35">
      <c r="C821" s="3"/>
      <c r="E821" s="3"/>
      <c r="Q821" s="16"/>
    </row>
    <row r="822" spans="3:17" ht="15.75" customHeight="1" x14ac:dyDescent="0.35">
      <c r="C822" s="3"/>
      <c r="E822" s="3"/>
      <c r="Q822" s="16"/>
    </row>
    <row r="823" spans="3:17" ht="15.75" customHeight="1" x14ac:dyDescent="0.35">
      <c r="C823" s="3"/>
      <c r="E823" s="3"/>
      <c r="Q823" s="16"/>
    </row>
    <row r="824" spans="3:17" ht="15.75" customHeight="1" x14ac:dyDescent="0.35">
      <c r="C824" s="3"/>
      <c r="E824" s="3"/>
      <c r="Q824" s="16"/>
    </row>
    <row r="825" spans="3:17" ht="15.75" customHeight="1" x14ac:dyDescent="0.35">
      <c r="C825" s="3"/>
      <c r="E825" s="3"/>
      <c r="Q825" s="16"/>
    </row>
    <row r="826" spans="3:17" ht="15.75" customHeight="1" x14ac:dyDescent="0.35">
      <c r="C826" s="3"/>
      <c r="E826" s="3"/>
      <c r="Q826" s="16"/>
    </row>
    <row r="827" spans="3:17" ht="15.75" customHeight="1" x14ac:dyDescent="0.35">
      <c r="C827" s="3"/>
      <c r="E827" s="3"/>
      <c r="Q827" s="16"/>
    </row>
    <row r="828" spans="3:17" ht="15.75" customHeight="1" x14ac:dyDescent="0.35">
      <c r="C828" s="3"/>
      <c r="E828" s="3"/>
      <c r="Q828" s="16"/>
    </row>
    <row r="829" spans="3:17" ht="15.75" customHeight="1" x14ac:dyDescent="0.35">
      <c r="C829" s="3"/>
      <c r="E829" s="3"/>
      <c r="Q829" s="16"/>
    </row>
    <row r="830" spans="3:17" ht="15.75" customHeight="1" x14ac:dyDescent="0.35">
      <c r="C830" s="3"/>
      <c r="E830" s="3"/>
      <c r="Q830" s="16"/>
    </row>
    <row r="831" spans="3:17" ht="15.75" customHeight="1" x14ac:dyDescent="0.35">
      <c r="C831" s="3"/>
      <c r="E831" s="3"/>
      <c r="Q831" s="16"/>
    </row>
    <row r="832" spans="3:17" ht="15.75" customHeight="1" x14ac:dyDescent="0.35">
      <c r="C832" s="3"/>
      <c r="E832" s="3"/>
      <c r="Q832" s="16"/>
    </row>
    <row r="833" spans="3:17" ht="15.75" customHeight="1" x14ac:dyDescent="0.35">
      <c r="C833" s="3"/>
      <c r="E833" s="3"/>
      <c r="Q833" s="16"/>
    </row>
    <row r="834" spans="3:17" ht="15.75" customHeight="1" x14ac:dyDescent="0.35">
      <c r="C834" s="3"/>
      <c r="E834" s="3"/>
      <c r="Q834" s="16"/>
    </row>
    <row r="835" spans="3:17" ht="15.75" customHeight="1" x14ac:dyDescent="0.35">
      <c r="C835" s="3"/>
      <c r="E835" s="3"/>
      <c r="Q835" s="16"/>
    </row>
    <row r="836" spans="3:17" ht="15.75" customHeight="1" x14ac:dyDescent="0.35">
      <c r="C836" s="3"/>
      <c r="E836" s="3"/>
      <c r="Q836" s="16"/>
    </row>
    <row r="837" spans="3:17" ht="15.75" customHeight="1" x14ac:dyDescent="0.35">
      <c r="C837" s="3"/>
      <c r="E837" s="3"/>
      <c r="Q837" s="16"/>
    </row>
    <row r="838" spans="3:17" ht="15.75" customHeight="1" x14ac:dyDescent="0.35">
      <c r="C838" s="3"/>
      <c r="E838" s="3"/>
      <c r="Q838" s="16"/>
    </row>
    <row r="839" spans="3:17" ht="15.75" customHeight="1" x14ac:dyDescent="0.35">
      <c r="C839" s="3"/>
      <c r="E839" s="3"/>
      <c r="Q839" s="16"/>
    </row>
    <row r="840" spans="3:17" ht="15.75" customHeight="1" x14ac:dyDescent="0.35">
      <c r="C840" s="3"/>
      <c r="E840" s="3"/>
      <c r="Q840" s="16"/>
    </row>
    <row r="841" spans="3:17" ht="15.75" customHeight="1" x14ac:dyDescent="0.35">
      <c r="C841" s="3"/>
      <c r="E841" s="3"/>
      <c r="Q841" s="16"/>
    </row>
    <row r="842" spans="3:17" ht="15.75" customHeight="1" x14ac:dyDescent="0.35">
      <c r="C842" s="3"/>
      <c r="E842" s="3"/>
      <c r="Q842" s="16"/>
    </row>
    <row r="843" spans="3:17" ht="15.75" customHeight="1" x14ac:dyDescent="0.35">
      <c r="C843" s="3"/>
      <c r="E843" s="3"/>
      <c r="Q843" s="16"/>
    </row>
    <row r="844" spans="3:17" ht="15.75" customHeight="1" x14ac:dyDescent="0.35">
      <c r="C844" s="3"/>
      <c r="E844" s="3"/>
      <c r="Q844" s="16"/>
    </row>
    <row r="845" spans="3:17" ht="15.75" customHeight="1" x14ac:dyDescent="0.35">
      <c r="C845" s="3"/>
      <c r="E845" s="3"/>
      <c r="Q845" s="16"/>
    </row>
    <row r="846" spans="3:17" ht="15.75" customHeight="1" x14ac:dyDescent="0.35">
      <c r="C846" s="3"/>
      <c r="E846" s="3"/>
      <c r="Q846" s="16"/>
    </row>
    <row r="847" spans="3:17" ht="15.75" customHeight="1" x14ac:dyDescent="0.35">
      <c r="C847" s="3"/>
      <c r="E847" s="3"/>
      <c r="Q847" s="16"/>
    </row>
    <row r="848" spans="3:17" ht="15.75" customHeight="1" x14ac:dyDescent="0.35">
      <c r="C848" s="3"/>
      <c r="E848" s="3"/>
      <c r="Q848" s="16"/>
    </row>
    <row r="849" spans="3:17" ht="15.75" customHeight="1" x14ac:dyDescent="0.35">
      <c r="C849" s="3"/>
      <c r="E849" s="3"/>
      <c r="Q849" s="16"/>
    </row>
    <row r="850" spans="3:17" ht="15.75" customHeight="1" x14ac:dyDescent="0.35">
      <c r="C850" s="3"/>
      <c r="E850" s="3"/>
      <c r="Q850" s="16"/>
    </row>
    <row r="851" spans="3:17" ht="15.75" customHeight="1" x14ac:dyDescent="0.35">
      <c r="C851" s="3"/>
      <c r="E851" s="3"/>
      <c r="Q851" s="16"/>
    </row>
    <row r="852" spans="3:17" ht="15.75" customHeight="1" x14ac:dyDescent="0.35">
      <c r="C852" s="3"/>
      <c r="E852" s="3"/>
      <c r="Q852" s="16"/>
    </row>
    <row r="853" spans="3:17" ht="15.75" customHeight="1" x14ac:dyDescent="0.35">
      <c r="C853" s="3"/>
      <c r="E853" s="3"/>
      <c r="Q853" s="16"/>
    </row>
    <row r="854" spans="3:17" ht="15.75" customHeight="1" x14ac:dyDescent="0.35">
      <c r="C854" s="3"/>
      <c r="E854" s="3"/>
      <c r="Q854" s="16"/>
    </row>
    <row r="855" spans="3:17" ht="15.75" customHeight="1" x14ac:dyDescent="0.35">
      <c r="C855" s="3"/>
      <c r="E855" s="3"/>
      <c r="Q855" s="16"/>
    </row>
    <row r="856" spans="3:17" ht="15.75" customHeight="1" x14ac:dyDescent="0.35">
      <c r="C856" s="3"/>
      <c r="E856" s="3"/>
      <c r="Q856" s="16"/>
    </row>
    <row r="857" spans="3:17" ht="15.75" customHeight="1" x14ac:dyDescent="0.35">
      <c r="C857" s="3"/>
      <c r="E857" s="3"/>
      <c r="Q857" s="16"/>
    </row>
    <row r="858" spans="3:17" ht="15.75" customHeight="1" x14ac:dyDescent="0.35">
      <c r="C858" s="3"/>
      <c r="E858" s="3"/>
      <c r="Q858" s="16"/>
    </row>
    <row r="859" spans="3:17" ht="15.75" customHeight="1" x14ac:dyDescent="0.35">
      <c r="C859" s="3"/>
      <c r="E859" s="3"/>
      <c r="Q859" s="16"/>
    </row>
    <row r="860" spans="3:17" ht="15.75" customHeight="1" x14ac:dyDescent="0.35">
      <c r="C860" s="3"/>
      <c r="E860" s="3"/>
      <c r="Q860" s="16"/>
    </row>
    <row r="861" spans="3:17" ht="15.75" customHeight="1" x14ac:dyDescent="0.35">
      <c r="C861" s="3"/>
      <c r="E861" s="3"/>
      <c r="Q861" s="16"/>
    </row>
    <row r="862" spans="3:17" ht="15.75" customHeight="1" x14ac:dyDescent="0.35">
      <c r="C862" s="3"/>
      <c r="E862" s="3"/>
      <c r="Q862" s="16"/>
    </row>
    <row r="863" spans="3:17" ht="15.75" customHeight="1" x14ac:dyDescent="0.35">
      <c r="C863" s="3"/>
      <c r="E863" s="3"/>
      <c r="Q863" s="16"/>
    </row>
    <row r="864" spans="3:17" ht="15.75" customHeight="1" x14ac:dyDescent="0.35">
      <c r="C864" s="3"/>
      <c r="E864" s="3"/>
      <c r="Q864" s="16"/>
    </row>
    <row r="865" spans="3:17" ht="15.75" customHeight="1" x14ac:dyDescent="0.35">
      <c r="C865" s="3"/>
      <c r="E865" s="3"/>
      <c r="Q865" s="16"/>
    </row>
    <row r="866" spans="3:17" ht="15.75" customHeight="1" x14ac:dyDescent="0.35">
      <c r="C866" s="3"/>
      <c r="E866" s="3"/>
      <c r="Q866" s="16"/>
    </row>
    <row r="867" spans="3:17" ht="15.75" customHeight="1" x14ac:dyDescent="0.35">
      <c r="C867" s="3"/>
      <c r="E867" s="3"/>
      <c r="Q867" s="16"/>
    </row>
    <row r="868" spans="3:17" ht="15.75" customHeight="1" x14ac:dyDescent="0.35">
      <c r="C868" s="3"/>
      <c r="E868" s="3"/>
      <c r="Q868" s="16"/>
    </row>
    <row r="869" spans="3:17" ht="15.75" customHeight="1" x14ac:dyDescent="0.35">
      <c r="C869" s="3"/>
      <c r="E869" s="3"/>
      <c r="Q869" s="16"/>
    </row>
    <row r="870" spans="3:17" ht="15.75" customHeight="1" x14ac:dyDescent="0.35">
      <c r="C870" s="3"/>
      <c r="E870" s="3"/>
      <c r="Q870" s="16"/>
    </row>
    <row r="871" spans="3:17" ht="15.75" customHeight="1" x14ac:dyDescent="0.35">
      <c r="C871" s="3"/>
      <c r="E871" s="3"/>
      <c r="Q871" s="16"/>
    </row>
    <row r="872" spans="3:17" ht="15.75" customHeight="1" x14ac:dyDescent="0.35">
      <c r="C872" s="3"/>
      <c r="E872" s="3"/>
      <c r="Q872" s="16"/>
    </row>
    <row r="873" spans="3:17" ht="15.75" customHeight="1" x14ac:dyDescent="0.35">
      <c r="C873" s="3"/>
      <c r="E873" s="3"/>
      <c r="Q873" s="16"/>
    </row>
    <row r="874" spans="3:17" ht="15.75" customHeight="1" x14ac:dyDescent="0.35">
      <c r="C874" s="3"/>
      <c r="E874" s="3"/>
      <c r="Q874" s="16"/>
    </row>
    <row r="875" spans="3:17" ht="15.75" customHeight="1" x14ac:dyDescent="0.35">
      <c r="C875" s="3"/>
      <c r="E875" s="3"/>
      <c r="Q875" s="16"/>
    </row>
    <row r="876" spans="3:17" ht="15.75" customHeight="1" x14ac:dyDescent="0.35">
      <c r="C876" s="3"/>
      <c r="E876" s="3"/>
      <c r="Q876" s="16"/>
    </row>
    <row r="877" spans="3:17" ht="15.75" customHeight="1" x14ac:dyDescent="0.35">
      <c r="C877" s="3"/>
      <c r="E877" s="3"/>
      <c r="Q877" s="16"/>
    </row>
    <row r="878" spans="3:17" ht="15.75" customHeight="1" x14ac:dyDescent="0.35">
      <c r="C878" s="3"/>
      <c r="E878" s="3"/>
      <c r="Q878" s="16"/>
    </row>
    <row r="879" spans="3:17" ht="15.75" customHeight="1" x14ac:dyDescent="0.35">
      <c r="C879" s="3"/>
      <c r="E879" s="3"/>
      <c r="Q879" s="16"/>
    </row>
    <row r="880" spans="3:17" ht="15.75" customHeight="1" x14ac:dyDescent="0.35">
      <c r="C880" s="3"/>
      <c r="E880" s="3"/>
      <c r="Q880" s="16"/>
    </row>
    <row r="881" spans="3:17" ht="15.75" customHeight="1" x14ac:dyDescent="0.35">
      <c r="C881" s="3"/>
      <c r="E881" s="3"/>
      <c r="Q881" s="16"/>
    </row>
    <row r="882" spans="3:17" ht="15.75" customHeight="1" x14ac:dyDescent="0.35">
      <c r="C882" s="3"/>
      <c r="E882" s="3"/>
      <c r="Q882" s="16"/>
    </row>
    <row r="883" spans="3:17" ht="15.75" customHeight="1" x14ac:dyDescent="0.35">
      <c r="C883" s="3"/>
      <c r="E883" s="3"/>
      <c r="Q883" s="16"/>
    </row>
    <row r="884" spans="3:17" ht="15.75" customHeight="1" x14ac:dyDescent="0.35">
      <c r="C884" s="3"/>
      <c r="E884" s="3"/>
      <c r="Q884" s="16"/>
    </row>
    <row r="885" spans="3:17" ht="15.75" customHeight="1" x14ac:dyDescent="0.35">
      <c r="C885" s="3"/>
      <c r="E885" s="3"/>
      <c r="Q885" s="16"/>
    </row>
    <row r="886" spans="3:17" ht="15.75" customHeight="1" x14ac:dyDescent="0.35">
      <c r="C886" s="3"/>
      <c r="E886" s="3"/>
      <c r="Q886" s="16"/>
    </row>
    <row r="887" spans="3:17" ht="15.75" customHeight="1" x14ac:dyDescent="0.35">
      <c r="C887" s="3"/>
      <c r="E887" s="3"/>
      <c r="Q887" s="16"/>
    </row>
    <row r="888" spans="3:17" ht="15.75" customHeight="1" x14ac:dyDescent="0.35">
      <c r="C888" s="3"/>
      <c r="E888" s="3"/>
      <c r="Q888" s="16"/>
    </row>
    <row r="889" spans="3:17" ht="15.75" customHeight="1" x14ac:dyDescent="0.35">
      <c r="C889" s="3"/>
      <c r="E889" s="3"/>
      <c r="Q889" s="16"/>
    </row>
    <row r="890" spans="3:17" ht="15.75" customHeight="1" x14ac:dyDescent="0.35">
      <c r="C890" s="3"/>
      <c r="E890" s="3"/>
      <c r="Q890" s="16"/>
    </row>
    <row r="891" spans="3:17" ht="15.75" customHeight="1" x14ac:dyDescent="0.35">
      <c r="C891" s="3"/>
      <c r="E891" s="3"/>
      <c r="Q891" s="16"/>
    </row>
    <row r="892" spans="3:17" ht="15.75" customHeight="1" x14ac:dyDescent="0.35">
      <c r="C892" s="3"/>
      <c r="E892" s="3"/>
      <c r="Q892" s="16"/>
    </row>
    <row r="893" spans="3:17" ht="15.75" customHeight="1" x14ac:dyDescent="0.35">
      <c r="C893" s="3"/>
      <c r="E893" s="3"/>
      <c r="Q893" s="16"/>
    </row>
    <row r="894" spans="3:17" ht="15.75" customHeight="1" x14ac:dyDescent="0.35">
      <c r="C894" s="3"/>
      <c r="E894" s="3"/>
      <c r="Q894" s="16"/>
    </row>
    <row r="895" spans="3:17" ht="15.75" customHeight="1" x14ac:dyDescent="0.35">
      <c r="C895" s="3"/>
      <c r="E895" s="3"/>
      <c r="Q895" s="16"/>
    </row>
    <row r="896" spans="3:17" ht="15.75" customHeight="1" x14ac:dyDescent="0.35">
      <c r="C896" s="3"/>
      <c r="E896" s="3"/>
      <c r="Q896" s="16"/>
    </row>
    <row r="897" spans="3:17" ht="15.75" customHeight="1" x14ac:dyDescent="0.35">
      <c r="C897" s="3"/>
      <c r="E897" s="3"/>
      <c r="Q897" s="16"/>
    </row>
    <row r="898" spans="3:17" ht="15.75" customHeight="1" x14ac:dyDescent="0.35">
      <c r="C898" s="3"/>
      <c r="E898" s="3"/>
      <c r="Q898" s="16"/>
    </row>
    <row r="899" spans="3:17" ht="15.75" customHeight="1" x14ac:dyDescent="0.35">
      <c r="C899" s="3"/>
      <c r="E899" s="3"/>
      <c r="Q899" s="16"/>
    </row>
    <row r="900" spans="3:17" ht="15.75" customHeight="1" x14ac:dyDescent="0.35">
      <c r="C900" s="3"/>
      <c r="E900" s="3"/>
      <c r="Q900" s="16"/>
    </row>
    <row r="901" spans="3:17" ht="15.75" customHeight="1" x14ac:dyDescent="0.35">
      <c r="C901" s="3"/>
      <c r="E901" s="3"/>
      <c r="Q901" s="16"/>
    </row>
    <row r="902" spans="3:17" ht="15.75" customHeight="1" x14ac:dyDescent="0.35">
      <c r="C902" s="3"/>
      <c r="E902" s="3"/>
      <c r="Q902" s="16"/>
    </row>
    <row r="903" spans="3:17" ht="15.75" customHeight="1" x14ac:dyDescent="0.35">
      <c r="C903" s="3"/>
      <c r="E903" s="3"/>
      <c r="Q903" s="16"/>
    </row>
    <row r="904" spans="3:17" ht="15.75" customHeight="1" x14ac:dyDescent="0.35">
      <c r="C904" s="3"/>
      <c r="E904" s="3"/>
      <c r="Q904" s="16"/>
    </row>
    <row r="905" spans="3:17" ht="15.75" customHeight="1" x14ac:dyDescent="0.35">
      <c r="C905" s="3"/>
      <c r="E905" s="3"/>
      <c r="Q905" s="16"/>
    </row>
    <row r="906" spans="3:17" ht="15.75" customHeight="1" x14ac:dyDescent="0.35">
      <c r="C906" s="3"/>
      <c r="E906" s="3"/>
      <c r="Q906" s="16"/>
    </row>
    <row r="907" spans="3:17" ht="15.75" customHeight="1" x14ac:dyDescent="0.35">
      <c r="C907" s="3"/>
      <c r="E907" s="3"/>
      <c r="Q907" s="16"/>
    </row>
    <row r="908" spans="3:17" ht="15.75" customHeight="1" x14ac:dyDescent="0.35">
      <c r="C908" s="3"/>
      <c r="E908" s="3"/>
      <c r="Q908" s="16"/>
    </row>
    <row r="909" spans="3:17" ht="15.75" customHeight="1" x14ac:dyDescent="0.35">
      <c r="C909" s="3"/>
      <c r="E909" s="3"/>
      <c r="Q909" s="16"/>
    </row>
    <row r="910" spans="3:17" ht="15.75" customHeight="1" x14ac:dyDescent="0.35">
      <c r="C910" s="3"/>
      <c r="E910" s="3"/>
      <c r="Q910" s="16"/>
    </row>
    <row r="911" spans="3:17" ht="15.75" customHeight="1" x14ac:dyDescent="0.35">
      <c r="C911" s="3"/>
      <c r="E911" s="3"/>
      <c r="Q911" s="16"/>
    </row>
    <row r="912" spans="3:17" ht="15.75" customHeight="1" x14ac:dyDescent="0.35">
      <c r="C912" s="3"/>
      <c r="E912" s="3"/>
      <c r="Q912" s="16"/>
    </row>
    <row r="913" spans="3:17" ht="15.75" customHeight="1" x14ac:dyDescent="0.35">
      <c r="C913" s="3"/>
      <c r="E913" s="3"/>
      <c r="Q913" s="16"/>
    </row>
    <row r="914" spans="3:17" ht="15.75" customHeight="1" x14ac:dyDescent="0.35">
      <c r="C914" s="3"/>
      <c r="E914" s="3"/>
      <c r="Q914" s="16"/>
    </row>
    <row r="915" spans="3:17" ht="15.75" customHeight="1" x14ac:dyDescent="0.35">
      <c r="C915" s="3"/>
      <c r="E915" s="3"/>
      <c r="Q915" s="16"/>
    </row>
    <row r="916" spans="3:17" ht="15.75" customHeight="1" x14ac:dyDescent="0.35">
      <c r="C916" s="3"/>
      <c r="E916" s="3"/>
      <c r="Q916" s="16"/>
    </row>
    <row r="917" spans="3:17" ht="15.75" customHeight="1" x14ac:dyDescent="0.35">
      <c r="C917" s="3"/>
      <c r="E917" s="3"/>
      <c r="Q917" s="16"/>
    </row>
    <row r="918" spans="3:17" ht="15.75" customHeight="1" x14ac:dyDescent="0.35">
      <c r="C918" s="3"/>
      <c r="E918" s="3"/>
      <c r="Q918" s="16"/>
    </row>
    <row r="919" spans="3:17" ht="15.75" customHeight="1" x14ac:dyDescent="0.35">
      <c r="C919" s="3"/>
      <c r="E919" s="3"/>
      <c r="Q919" s="16"/>
    </row>
    <row r="920" spans="3:17" ht="15.75" customHeight="1" x14ac:dyDescent="0.35">
      <c r="C920" s="3"/>
      <c r="E920" s="3"/>
      <c r="Q920" s="16"/>
    </row>
    <row r="921" spans="3:17" ht="15.75" customHeight="1" x14ac:dyDescent="0.35">
      <c r="C921" s="3"/>
      <c r="E921" s="3"/>
      <c r="Q921" s="16"/>
    </row>
    <row r="922" spans="3:17" ht="15.75" customHeight="1" x14ac:dyDescent="0.35">
      <c r="C922" s="3"/>
      <c r="E922" s="3"/>
      <c r="Q922" s="16"/>
    </row>
    <row r="923" spans="3:17" ht="15.75" customHeight="1" x14ac:dyDescent="0.35">
      <c r="C923" s="3"/>
      <c r="E923" s="3"/>
      <c r="Q923" s="16"/>
    </row>
    <row r="924" spans="3:17" ht="15.75" customHeight="1" x14ac:dyDescent="0.35">
      <c r="C924" s="3"/>
      <c r="E924" s="3"/>
      <c r="Q924" s="16"/>
    </row>
    <row r="925" spans="3:17" ht="15.75" customHeight="1" x14ac:dyDescent="0.35">
      <c r="C925" s="3"/>
      <c r="E925" s="3"/>
      <c r="Q925" s="16"/>
    </row>
    <row r="926" spans="3:17" ht="15.75" customHeight="1" x14ac:dyDescent="0.35">
      <c r="C926" s="3"/>
      <c r="E926" s="3"/>
      <c r="Q926" s="16"/>
    </row>
    <row r="927" spans="3:17" ht="15.75" customHeight="1" x14ac:dyDescent="0.35">
      <c r="C927" s="3"/>
      <c r="E927" s="3"/>
      <c r="Q927" s="16"/>
    </row>
    <row r="928" spans="3:17" ht="15.75" customHeight="1" x14ac:dyDescent="0.35">
      <c r="C928" s="3"/>
      <c r="E928" s="3"/>
      <c r="Q928" s="16"/>
    </row>
    <row r="929" spans="3:17" ht="15.75" customHeight="1" x14ac:dyDescent="0.35">
      <c r="C929" s="3"/>
      <c r="E929" s="3"/>
      <c r="Q929" s="16"/>
    </row>
    <row r="930" spans="3:17" ht="15.75" customHeight="1" x14ac:dyDescent="0.35">
      <c r="C930" s="3"/>
      <c r="E930" s="3"/>
      <c r="Q930" s="16"/>
    </row>
    <row r="931" spans="3:17" ht="15.75" customHeight="1" x14ac:dyDescent="0.35">
      <c r="C931" s="3"/>
      <c r="E931" s="3"/>
      <c r="Q931" s="16"/>
    </row>
    <row r="932" spans="3:17" ht="15.75" customHeight="1" x14ac:dyDescent="0.35">
      <c r="C932" s="3"/>
      <c r="E932" s="3"/>
      <c r="Q932" s="16"/>
    </row>
    <row r="933" spans="3:17" ht="15.75" customHeight="1" x14ac:dyDescent="0.35">
      <c r="C933" s="3"/>
      <c r="E933" s="3"/>
      <c r="Q933" s="16"/>
    </row>
    <row r="934" spans="3:17" ht="15.75" customHeight="1" x14ac:dyDescent="0.35">
      <c r="C934" s="3"/>
      <c r="E934" s="3"/>
      <c r="Q934" s="16"/>
    </row>
    <row r="935" spans="3:17" ht="15.75" customHeight="1" x14ac:dyDescent="0.35">
      <c r="C935" s="3"/>
      <c r="E935" s="3"/>
      <c r="Q935" s="16"/>
    </row>
    <row r="936" spans="3:17" ht="15.75" customHeight="1" x14ac:dyDescent="0.35">
      <c r="C936" s="3"/>
      <c r="E936" s="3"/>
      <c r="Q936" s="16"/>
    </row>
    <row r="937" spans="3:17" ht="15.75" customHeight="1" x14ac:dyDescent="0.35">
      <c r="C937" s="3"/>
      <c r="E937" s="3"/>
      <c r="Q937" s="16"/>
    </row>
    <row r="938" spans="3:17" ht="15.75" customHeight="1" x14ac:dyDescent="0.35">
      <c r="C938" s="3"/>
      <c r="E938" s="3"/>
      <c r="Q938" s="16"/>
    </row>
    <row r="939" spans="3:17" ht="15.75" customHeight="1" x14ac:dyDescent="0.35">
      <c r="C939" s="3"/>
      <c r="E939" s="3"/>
      <c r="Q939" s="16"/>
    </row>
    <row r="940" spans="3:17" ht="15.75" customHeight="1" x14ac:dyDescent="0.35">
      <c r="C940" s="3"/>
      <c r="E940" s="3"/>
      <c r="Q940" s="16"/>
    </row>
    <row r="941" spans="3:17" ht="15.75" customHeight="1" x14ac:dyDescent="0.35">
      <c r="C941" s="3"/>
      <c r="E941" s="3"/>
      <c r="Q941" s="16"/>
    </row>
    <row r="942" spans="3:17" ht="15.75" customHeight="1" x14ac:dyDescent="0.35">
      <c r="C942" s="3"/>
      <c r="E942" s="3"/>
      <c r="Q942" s="16"/>
    </row>
    <row r="943" spans="3:17" ht="15.75" customHeight="1" x14ac:dyDescent="0.35">
      <c r="C943" s="3"/>
      <c r="E943" s="3"/>
      <c r="Q943" s="16"/>
    </row>
    <row r="944" spans="3:17" ht="15.75" customHeight="1" x14ac:dyDescent="0.35">
      <c r="C944" s="3"/>
      <c r="E944" s="3"/>
      <c r="Q944" s="16"/>
    </row>
    <row r="945" spans="3:17" ht="15.75" customHeight="1" x14ac:dyDescent="0.35">
      <c r="C945" s="3"/>
      <c r="E945" s="3"/>
      <c r="Q945" s="16"/>
    </row>
    <row r="946" spans="3:17" ht="15.75" customHeight="1" x14ac:dyDescent="0.35">
      <c r="C946" s="3"/>
      <c r="E946" s="3"/>
      <c r="Q946" s="16"/>
    </row>
    <row r="947" spans="3:17" ht="15.75" customHeight="1" x14ac:dyDescent="0.35">
      <c r="C947" s="3"/>
      <c r="E947" s="3"/>
      <c r="Q947" s="16"/>
    </row>
    <row r="948" spans="3:17" ht="15.75" customHeight="1" x14ac:dyDescent="0.35">
      <c r="C948" s="3"/>
      <c r="E948" s="3"/>
      <c r="Q948" s="16"/>
    </row>
    <row r="949" spans="3:17" ht="15.75" customHeight="1" x14ac:dyDescent="0.35">
      <c r="C949" s="3"/>
      <c r="E949" s="3"/>
      <c r="Q949" s="16"/>
    </row>
    <row r="950" spans="3:17" ht="15.75" customHeight="1" x14ac:dyDescent="0.35">
      <c r="C950" s="3"/>
      <c r="E950" s="3"/>
      <c r="Q950" s="16"/>
    </row>
    <row r="951" spans="3:17" ht="15.75" customHeight="1" x14ac:dyDescent="0.35">
      <c r="C951" s="3"/>
      <c r="E951" s="3"/>
      <c r="Q951" s="16"/>
    </row>
    <row r="952" spans="3:17" ht="15.75" customHeight="1" x14ac:dyDescent="0.35">
      <c r="C952" s="3"/>
      <c r="E952" s="3"/>
      <c r="Q952" s="16"/>
    </row>
    <row r="953" spans="3:17" ht="15.75" customHeight="1" x14ac:dyDescent="0.35">
      <c r="C953" s="3"/>
      <c r="E953" s="3"/>
      <c r="Q953" s="16"/>
    </row>
    <row r="954" spans="3:17" ht="15.75" customHeight="1" x14ac:dyDescent="0.35">
      <c r="C954" s="3"/>
      <c r="E954" s="3"/>
      <c r="Q954" s="16"/>
    </row>
    <row r="955" spans="3:17" ht="15.75" customHeight="1" x14ac:dyDescent="0.35">
      <c r="C955" s="3"/>
      <c r="E955" s="3"/>
      <c r="Q955" s="16"/>
    </row>
    <row r="956" spans="3:17" ht="15.75" customHeight="1" x14ac:dyDescent="0.35">
      <c r="C956" s="3"/>
      <c r="E956" s="3"/>
      <c r="Q956" s="16"/>
    </row>
    <row r="957" spans="3:17" ht="15.75" customHeight="1" x14ac:dyDescent="0.35">
      <c r="C957" s="3"/>
      <c r="E957" s="3"/>
      <c r="Q957" s="16"/>
    </row>
    <row r="958" spans="3:17" ht="15.75" customHeight="1" x14ac:dyDescent="0.35">
      <c r="C958" s="3"/>
      <c r="E958" s="3"/>
      <c r="Q958" s="16"/>
    </row>
    <row r="959" spans="3:17" ht="15.75" customHeight="1" x14ac:dyDescent="0.35">
      <c r="C959" s="3"/>
      <c r="E959" s="3"/>
      <c r="Q959" s="16"/>
    </row>
    <row r="960" spans="3:17" ht="15.75" customHeight="1" x14ac:dyDescent="0.35">
      <c r="C960" s="3"/>
      <c r="E960" s="3"/>
      <c r="Q960" s="16"/>
    </row>
    <row r="961" spans="3:17" ht="15.75" customHeight="1" x14ac:dyDescent="0.35">
      <c r="C961" s="3"/>
      <c r="E961" s="3"/>
      <c r="Q961" s="16"/>
    </row>
    <row r="962" spans="3:17" ht="15.75" customHeight="1" x14ac:dyDescent="0.35">
      <c r="C962" s="3"/>
      <c r="E962" s="3"/>
      <c r="Q962" s="16"/>
    </row>
    <row r="963" spans="3:17" ht="15.75" customHeight="1" x14ac:dyDescent="0.35">
      <c r="C963" s="3"/>
      <c r="E963" s="3"/>
      <c r="Q963" s="16"/>
    </row>
    <row r="964" spans="3:17" ht="15.75" customHeight="1" x14ac:dyDescent="0.35">
      <c r="C964" s="3"/>
      <c r="E964" s="3"/>
      <c r="Q964" s="16"/>
    </row>
    <row r="965" spans="3:17" ht="15.75" customHeight="1" x14ac:dyDescent="0.35">
      <c r="C965" s="3"/>
      <c r="E965" s="3"/>
      <c r="Q965" s="16"/>
    </row>
    <row r="966" spans="3:17" ht="15.75" customHeight="1" x14ac:dyDescent="0.35">
      <c r="C966" s="3"/>
      <c r="E966" s="3"/>
      <c r="Q966" s="16"/>
    </row>
    <row r="967" spans="3:17" ht="15.75" customHeight="1" x14ac:dyDescent="0.35">
      <c r="C967" s="3"/>
      <c r="E967" s="3"/>
      <c r="Q967" s="16"/>
    </row>
    <row r="968" spans="3:17" ht="15.75" customHeight="1" x14ac:dyDescent="0.35">
      <c r="C968" s="3"/>
      <c r="E968" s="3"/>
      <c r="Q968" s="16"/>
    </row>
    <row r="969" spans="3:17" ht="15.75" customHeight="1" x14ac:dyDescent="0.35">
      <c r="C969" s="3"/>
      <c r="E969" s="3"/>
      <c r="Q969" s="16"/>
    </row>
    <row r="970" spans="3:17" ht="15.75" customHeight="1" x14ac:dyDescent="0.35">
      <c r="C970" s="3"/>
      <c r="E970" s="3"/>
      <c r="Q970" s="16"/>
    </row>
    <row r="971" spans="3:17" ht="15.75" customHeight="1" x14ac:dyDescent="0.35">
      <c r="C971" s="3"/>
      <c r="E971" s="3"/>
      <c r="Q971" s="16"/>
    </row>
    <row r="972" spans="3:17" ht="15.75" customHeight="1" x14ac:dyDescent="0.35">
      <c r="C972" s="3"/>
      <c r="E972" s="3"/>
      <c r="Q972" s="16"/>
    </row>
    <row r="973" spans="3:17" ht="15.75" customHeight="1" x14ac:dyDescent="0.35">
      <c r="C973" s="3"/>
      <c r="E973" s="3"/>
      <c r="Q973" s="16"/>
    </row>
    <row r="974" spans="3:17" ht="15.75" customHeight="1" x14ac:dyDescent="0.35">
      <c r="C974" s="3"/>
      <c r="E974" s="3"/>
      <c r="Q974" s="16"/>
    </row>
    <row r="975" spans="3:17" ht="15.75" customHeight="1" x14ac:dyDescent="0.35">
      <c r="C975" s="3"/>
      <c r="E975" s="3"/>
      <c r="Q975" s="16"/>
    </row>
    <row r="976" spans="3:17" ht="15.75" customHeight="1" x14ac:dyDescent="0.35">
      <c r="C976" s="3"/>
      <c r="E976" s="3"/>
      <c r="Q976" s="16"/>
    </row>
    <row r="977" spans="3:17" ht="15.75" customHeight="1" x14ac:dyDescent="0.35">
      <c r="C977" s="3"/>
      <c r="E977" s="3"/>
      <c r="Q977" s="16"/>
    </row>
    <row r="978" spans="3:17" ht="15.75" customHeight="1" x14ac:dyDescent="0.35">
      <c r="C978" s="3"/>
      <c r="E978" s="3"/>
      <c r="Q978" s="16"/>
    </row>
    <row r="979" spans="3:17" ht="15.75" customHeight="1" x14ac:dyDescent="0.35">
      <c r="C979" s="3"/>
      <c r="E979" s="3"/>
      <c r="Q979" s="16"/>
    </row>
    <row r="980" spans="3:17" ht="15.75" customHeight="1" x14ac:dyDescent="0.35">
      <c r="C980" s="3"/>
      <c r="E980" s="3"/>
      <c r="Q980" s="16"/>
    </row>
    <row r="981" spans="3:17" ht="15.75" customHeight="1" x14ac:dyDescent="0.35">
      <c r="C981" s="3"/>
      <c r="E981" s="3"/>
      <c r="Q981" s="16"/>
    </row>
    <row r="982" spans="3:17" ht="15.75" customHeight="1" x14ac:dyDescent="0.35">
      <c r="C982" s="3"/>
      <c r="E982" s="3"/>
      <c r="Q982" s="16"/>
    </row>
    <row r="983" spans="3:17" ht="15.75" customHeight="1" x14ac:dyDescent="0.35">
      <c r="C983" s="3"/>
      <c r="E983" s="3"/>
      <c r="Q983" s="16"/>
    </row>
    <row r="984" spans="3:17" ht="15.75" customHeight="1" x14ac:dyDescent="0.35">
      <c r="C984" s="3"/>
      <c r="E984" s="3"/>
      <c r="Q984" s="16"/>
    </row>
    <row r="985" spans="3:17" ht="15.75" customHeight="1" x14ac:dyDescent="0.35">
      <c r="C985" s="3"/>
      <c r="E985" s="3"/>
      <c r="Q985" s="16"/>
    </row>
    <row r="986" spans="3:17" ht="15.75" customHeight="1" x14ac:dyDescent="0.35">
      <c r="C986" s="3"/>
      <c r="E986" s="3"/>
      <c r="Q986" s="16"/>
    </row>
    <row r="987" spans="3:17" ht="15.75" customHeight="1" x14ac:dyDescent="0.35">
      <c r="C987" s="3"/>
      <c r="E987" s="3"/>
      <c r="Q987" s="16"/>
    </row>
    <row r="988" spans="3:17" ht="15.75" customHeight="1" x14ac:dyDescent="0.35">
      <c r="C988" s="3"/>
      <c r="E988" s="3"/>
      <c r="Q988" s="16"/>
    </row>
    <row r="989" spans="3:17" ht="15.75" customHeight="1" x14ac:dyDescent="0.35">
      <c r="C989" s="3"/>
      <c r="E989" s="3"/>
      <c r="Q989" s="16"/>
    </row>
    <row r="990" spans="3:17" ht="15.75" customHeight="1" x14ac:dyDescent="0.35">
      <c r="C990" s="3"/>
      <c r="E990" s="3"/>
      <c r="Q990" s="16"/>
    </row>
    <row r="991" spans="3:17" ht="15.75" customHeight="1" x14ac:dyDescent="0.35">
      <c r="C991" s="3"/>
      <c r="E991" s="3"/>
      <c r="Q991" s="16"/>
    </row>
    <row r="992" spans="3:17" ht="15.75" customHeight="1" x14ac:dyDescent="0.35">
      <c r="C992" s="3"/>
      <c r="E992" s="3"/>
      <c r="Q992" s="16"/>
    </row>
    <row r="993" spans="3:17" ht="15.75" customHeight="1" x14ac:dyDescent="0.35">
      <c r="C993" s="3"/>
      <c r="E993" s="3"/>
      <c r="Q993" s="16"/>
    </row>
    <row r="994" spans="3:17" ht="15.75" customHeight="1" x14ac:dyDescent="0.35">
      <c r="C994" s="3"/>
      <c r="E994" s="3"/>
      <c r="Q994" s="16"/>
    </row>
    <row r="995" spans="3:17" ht="15.75" customHeight="1" x14ac:dyDescent="0.35">
      <c r="C995" s="3"/>
      <c r="E995" s="3"/>
      <c r="Q995" s="16"/>
    </row>
    <row r="996" spans="3:17" ht="15.75" customHeight="1" x14ac:dyDescent="0.35">
      <c r="C996" s="3"/>
      <c r="E996" s="3"/>
      <c r="Q996" s="16"/>
    </row>
    <row r="997" spans="3:17" ht="15.75" customHeight="1" x14ac:dyDescent="0.35">
      <c r="C997" s="3"/>
      <c r="E997" s="3"/>
      <c r="Q997" s="16"/>
    </row>
    <row r="998" spans="3:17" ht="15.75" customHeight="1" x14ac:dyDescent="0.35">
      <c r="C998" s="3"/>
      <c r="E998" s="3"/>
      <c r="Q998" s="16"/>
    </row>
    <row r="999" spans="3:17" ht="15.75" customHeight="1" x14ac:dyDescent="0.35">
      <c r="C999" s="3"/>
      <c r="E999" s="3"/>
      <c r="Q999" s="16"/>
    </row>
    <row r="1000" spans="3:17" ht="15.75" customHeight="1" x14ac:dyDescent="0.35">
      <c r="C1000" s="3"/>
      <c r="E1000" s="3"/>
      <c r="Q1000" s="16"/>
    </row>
  </sheetData>
  <mergeCells count="9">
    <mergeCell ref="M1:N1"/>
    <mergeCell ref="O1:P1"/>
    <mergeCell ref="A1:A2"/>
    <mergeCell ref="B1:B2"/>
    <mergeCell ref="C1:D1"/>
    <mergeCell ref="E1:F1"/>
    <mergeCell ref="G1:H1"/>
    <mergeCell ref="I1:J1"/>
    <mergeCell ref="K1:L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KENDARAAN DINAS</vt:lpstr>
      <vt:lpstr>REKAP KENDARAAN DINAS</vt:lpstr>
      <vt:lpstr>peralatan_dan_Mesin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YOPIE</dc:creator>
  <cp:lastModifiedBy>achmad faudiannur</cp:lastModifiedBy>
  <dcterms:created xsi:type="dcterms:W3CDTF">2026-03-09T04:38:32Z</dcterms:created>
  <dcterms:modified xsi:type="dcterms:W3CDTF">2026-09-11T01:21:47Z</dcterms:modified>
</cp:coreProperties>
</file>